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tables/table7.xml" ContentType="application/vnd.openxmlformats-officedocument.spreadsheetml.table+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drawings/drawing13.xml" ContentType="application/vnd.openxmlformats-officedocument.drawing+xml"/>
  <Override PartName="/xl/tables/table10.xml" ContentType="application/vnd.openxmlformats-officedocument.spreadsheetml.table+xml"/>
  <Override PartName="/xl/drawings/drawing14.xml" ContentType="application/vnd.openxmlformats-officedocument.drawing+xml"/>
  <Override PartName="/xl/tables/table11.xml" ContentType="application/vnd.openxmlformats-officedocument.spreadsheetml.table+xml"/>
  <Override PartName="/xl/drawings/drawing15.xml" ContentType="application/vnd.openxmlformats-officedocument.drawing+xml"/>
  <Override PartName="/xl/tables/table12.xml" ContentType="application/vnd.openxmlformats-officedocument.spreadsheetml.table+xml"/>
  <Override PartName="/xl/drawings/drawing16.xml" ContentType="application/vnd.openxmlformats-officedocument.drawing+xml"/>
  <Override PartName="/xl/tables/table13.xml" ContentType="application/vnd.openxmlformats-officedocument.spreadsheetml.table+xml"/>
  <Override PartName="/xl/drawings/drawing17.xml" ContentType="application/vnd.openxmlformats-officedocument.drawing+xml"/>
  <Override PartName="/xl/tables/table14.xml" ContentType="application/vnd.openxmlformats-officedocument.spreadsheetml.table+xml"/>
  <Override PartName="/xl/drawings/drawing18.xml" ContentType="application/vnd.openxmlformats-officedocument.drawing+xml"/>
  <Override PartName="/xl/tables/table15.xml" ContentType="application/vnd.openxmlformats-officedocument.spreadsheetml.table+xml"/>
  <Override PartName="/xl/drawings/drawing19.xml" ContentType="application/vnd.openxmlformats-officedocument.drawing+xml"/>
  <Override PartName="/xl/tables/table16.xml" ContentType="application/vnd.openxmlformats-officedocument.spreadsheetml.table+xml"/>
  <Override PartName="/xl/drawings/drawing20.xml" ContentType="application/vnd.openxmlformats-officedocument.drawing+xml"/>
  <Override PartName="/xl/tables/table17.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tables/table18.xml" ContentType="application/vnd.openxmlformats-officedocument.spreadsheetml.table+xml"/>
  <Override PartName="/xl/drawings/drawing23.xml" ContentType="application/vnd.openxmlformats-officedocument.drawing+xml"/>
  <Override PartName="/xl/tables/table19.xml" ContentType="application/vnd.openxmlformats-officedocument.spreadsheetml.table+xml"/>
  <Override PartName="/xl/drawings/drawing2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5.xml" ContentType="application/vnd.openxmlformats-officedocument.drawing+xml"/>
  <Override PartName="/xl/drawings/drawing26.xml" ContentType="application/vnd.openxmlformats-officedocument.drawing+xml"/>
  <Override PartName="/xl/tables/table20.xml" ContentType="application/vnd.openxmlformats-officedocument.spreadsheetml.table+xml"/>
  <Override PartName="/xl/drawings/drawing2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Questa_cartella_di_lavoro"/>
  <mc:AlternateContent xmlns:mc="http://schemas.openxmlformats.org/markup-compatibility/2006">
    <mc:Choice Requires="x15">
      <x15ac:absPath xmlns:x15ac="http://schemas.microsoft.com/office/spreadsheetml/2010/11/ac" url="C:\Users\mfumante\Downloads\"/>
    </mc:Choice>
  </mc:AlternateContent>
  <xr:revisionPtr revIDLastSave="0" documentId="8_{F7C0F619-9B9F-4EF0-A357-B1792D5CC4C5}" xr6:coauthVersionLast="47" xr6:coauthVersionMax="47" xr10:uidLastSave="{00000000-0000-0000-0000-000000000000}"/>
  <bookViews>
    <workbookView xWindow="-110" yWindow="-110" windowWidth="19420" windowHeight="10300" tabRatio="827" firstSheet="4" activeTab="4" xr2:uid="{00000000-000D-0000-FFFF-FFFF00000000}"/>
  </bookViews>
  <sheets>
    <sheet name="Cover" sheetId="5" r:id="rId1"/>
    <sheet name="Istruzioni" sheetId="40" r:id="rId2"/>
    <sheet name="BIA &gt;" sheetId="41" r:id="rId3"/>
    <sheet name="Engagement Scope" sheetId="15" r:id="rId4"/>
    <sheet name="Appoggio_BIA Servizio" sheetId="2" r:id="rId5"/>
    <sheet name="Appoggio_BIA Servizio_val impat" sheetId="49" state="hidden" r:id="rId6"/>
    <sheet name="BIA Servizio" sheetId="48" r:id="rId7"/>
    <sheet name="Processi" sheetId="22" r:id="rId8"/>
    <sheet name="Siti" sheetId="23" r:id="rId9"/>
    <sheet name="Personale Critico" sheetId="24" r:id="rId10"/>
    <sheet name="Addetti Critici" sheetId="35" r:id="rId11"/>
    <sheet name="Fornitori" sheetId="25" r:id="rId12"/>
    <sheet name="Applicazioni" sheetId="26" r:id="rId13"/>
    <sheet name="SW Locali" sheetId="29" r:id="rId14"/>
    <sheet name="Documentazione" sheetId="27" r:id="rId15"/>
    <sheet name="Infrastrutture" sheetId="28" r:id="rId16"/>
    <sheet name="Dipendenze" sheetId="30" r:id="rId17"/>
    <sheet name="Clienti" sheetId="33" r:id="rId18"/>
    <sheet name="Scenari BC" sheetId="31" r:id="rId19"/>
    <sheet name="Impatto RI" sheetId="20" r:id="rId20"/>
    <sheet name="ICT RA &gt;" sheetId="42" r:id="rId21"/>
    <sheet name="Valutazione controlli" sheetId="38" r:id="rId22"/>
    <sheet name="Risk Register" sheetId="36" r:id="rId23"/>
    <sheet name="Dashboard" sheetId="39" r:id="rId24"/>
    <sheet name="Supporto &gt;" sheetId="44" r:id="rId25"/>
    <sheet name="Parametri_BIA" sheetId="45" r:id="rId26"/>
    <sheet name="Parametri_RA" sheetId="37" r:id="rId27"/>
  </sheets>
  <definedNames>
    <definedName name="_56F9DC9755BA473782653E2940F9FormId">"X9lXRiIQDk-ye4NFJN5HPeE_38HdU6BOriK_LMhvpPlUMEpSNUExMlM4RURJRkhVODdIQUUzRjEwSy4u"</definedName>
    <definedName name="_56F9DC9755BA473782653E2940F9ResponseSheet">"Form1"</definedName>
    <definedName name="_56F9DC9755BA473782653E2940F9SourceDocId">"{4d3ccde5-3f4b-95aa-6bad-9c78478057ef}"</definedName>
    <definedName name="_xlnm._FilterDatabase" localSheetId="10" hidden="1">'Addetti Critici'!$D$5:$J$23</definedName>
    <definedName name="_xlnm._FilterDatabase" localSheetId="21" hidden="1">'Valutazione controlli'!$C$5:$BK$140</definedName>
    <definedName name="_xlcn.WorksheetConnection_CONTROLLI_TARGETA1P9491" localSheetId="23" hidden="1">#REF!</definedName>
    <definedName name="_xlcn.WorksheetConnection_CONTROLLI_TARGETA1P9491" localSheetId="26" hidden="1">#REF!</definedName>
    <definedName name="_xlcn.WorksheetConnection_CONTROLLI_TARGETA1P9491" localSheetId="22" hidden="1">#REF!</definedName>
    <definedName name="_xlcn.WorksheetConnection_CONTROLLI_TARGETA1P9491" localSheetId="21" hidden="1">#REF!</definedName>
    <definedName name="_xlcn.WorksheetConnection_CONTROLLI_TARGETA1P9491" hidden="1">#REF!</definedName>
    <definedName name="_xleta.AVERAGE" hidden="1" xlm="1">#NAME?</definedName>
    <definedName name="AAA" localSheetId="23">#REF!</definedName>
    <definedName name="AAA" localSheetId="26">#REF!</definedName>
    <definedName name="AAA" localSheetId="22">#REF!</definedName>
    <definedName name="AAA" localSheetId="21">#REF!</definedName>
    <definedName name="AAA">#REF!</definedName>
    <definedName name="ADDETTO">Cover!#REF!</definedName>
    <definedName name="adr" localSheetId="23">#REF!</definedName>
    <definedName name="adr" localSheetId="26">#REF!</definedName>
    <definedName name="adr" localSheetId="22">#REF!</definedName>
    <definedName name="adr" localSheetId="21">#REF!</definedName>
    <definedName name="adr">#REF!</definedName>
    <definedName name="ALTO">Cover!$F$19:$F$21</definedName>
    <definedName name="_xlnm.Print_Area" localSheetId="4">'Appoggio_BIA Servizio'!$B$2:$AC$11</definedName>
    <definedName name="_xlnm.Print_Area" localSheetId="5">'Appoggio_BIA Servizio_val impat'!$B$2:$I$8</definedName>
    <definedName name="_xlnm.Print_Area" localSheetId="6">'BIA Servizio'!$B$5:$N$28</definedName>
    <definedName name="ASSET" localSheetId="6">#REF!</definedName>
    <definedName name="ASSET">Cover!$F$15:$F$18</definedName>
    <definedName name="BACKUP">Cover!#REF!</definedName>
    <definedName name="BCDR">Cover!#REF!</definedName>
    <definedName name="BRBCodes" localSheetId="23">#REF!</definedName>
    <definedName name="BRBCodes" localSheetId="26">#REF!</definedName>
    <definedName name="BRBCodes" localSheetId="22">#REF!</definedName>
    <definedName name="BRBCodes" localSheetId="21">#REF!</definedName>
    <definedName name="BRBCodes">#REF!</definedName>
    <definedName name="BRBCodes1" localSheetId="23">#REF!</definedName>
    <definedName name="BRBCodes1" localSheetId="26">#REF!</definedName>
    <definedName name="BRBCodes1" localSheetId="22">#REF!</definedName>
    <definedName name="BRBCodes1" localSheetId="21">#REF!</definedName>
    <definedName name="BRBCodes1">#REF!</definedName>
    <definedName name="BRBCodes3" localSheetId="23">#REF!</definedName>
    <definedName name="BRBCodes3" localSheetId="26">#REF!</definedName>
    <definedName name="BRBCodes3" localSheetId="22">#REF!</definedName>
    <definedName name="BRBCodes3" localSheetId="21">#REF!</definedName>
    <definedName name="BRBCodes3">#REF!</definedName>
    <definedName name="BRBCodes4" localSheetId="23">#REF!</definedName>
    <definedName name="BRBCodes4" localSheetId="26">#REF!</definedName>
    <definedName name="BRBCodes4" localSheetId="22">#REF!</definedName>
    <definedName name="BRBCodes4" localSheetId="21">#REF!</definedName>
    <definedName name="BRBCodes4">#REF!</definedName>
    <definedName name="CRITICITA">Cover!#REF!</definedName>
    <definedName name="Current" localSheetId="10">OFFEST([0]!Domains,0,1)</definedName>
    <definedName name="Current" localSheetId="5">OFFEST([0]!Domains,0,1)</definedName>
    <definedName name="Current" localSheetId="6">OFFEST(Domains,0,1)</definedName>
    <definedName name="Current" localSheetId="23">OFFEST(Dashboard!Domains,0,1)</definedName>
    <definedName name="Current" localSheetId="20">OFFEST([0]!Domains,0,1)</definedName>
    <definedName name="Current" localSheetId="26">OFFEST(Parametri_RA!Domains,0,1)</definedName>
    <definedName name="Current" localSheetId="22">OFFEST('Risk Register'!Domains,0,1)</definedName>
    <definedName name="Current" localSheetId="24">OFFEST([0]!Domains,0,1)</definedName>
    <definedName name="Current" localSheetId="21">OFFEST(Domains,0,1)</definedName>
    <definedName name="CUTOFF">Cover!$G$15:$G$19</definedName>
    <definedName name="DECISIONALE">Cover!$G$1:$G$5</definedName>
    <definedName name="DISPONIBILITA" localSheetId="6">#REF!</definedName>
    <definedName name="DOCUMENTAZIONE">Cover!$G$6:$G$7</definedName>
    <definedName name="Domains" localSheetId="23">OFFSET(#REF!,0,0,COUNTA(#REF!),1)</definedName>
    <definedName name="Domains" localSheetId="26">OFFSET(#REF!,0,0,COUNTA(#REF!),1)</definedName>
    <definedName name="Domains" localSheetId="22">OFFSET(#REF!,0,0,COUNTA(#REF!),1)</definedName>
    <definedName name="Domains">OFFSET(#REF!,0,0,COUNTA(#REF!),1)</definedName>
    <definedName name="IMPATTO" localSheetId="23">#REF!</definedName>
    <definedName name="IMPATTO" localSheetId="26">#REF!</definedName>
    <definedName name="IMPATTO" localSheetId="22">#REF!</definedName>
    <definedName name="IMPATTO" localSheetId="21">#REF!</definedName>
    <definedName name="IMPATTO">Cover!#REF!</definedName>
    <definedName name="IMPORTANZA">Cover!#REF!</definedName>
    <definedName name="IPEILO">Cover!#REF!</definedName>
    <definedName name="PROVA" localSheetId="23" hidden="1">#REF!</definedName>
    <definedName name="PROVA" localSheetId="26" hidden="1">#REF!</definedName>
    <definedName name="PROVA" localSheetId="22" hidden="1">#REF!</definedName>
    <definedName name="PROVA" localSheetId="21" hidden="1">#REF!</definedName>
    <definedName name="PROVA" hidden="1">#REF!</definedName>
    <definedName name="RB" localSheetId="23">#REF!</definedName>
    <definedName name="RB" localSheetId="26">#REF!</definedName>
    <definedName name="RB" localSheetId="22">#REF!</definedName>
    <definedName name="RB" localSheetId="21">#REF!</definedName>
    <definedName name="RB">#REF!</definedName>
    <definedName name="RPORTO" localSheetId="23">#REF!</definedName>
    <definedName name="RPORTO" localSheetId="26">#REF!</definedName>
    <definedName name="RPORTO" localSheetId="22">#REF!</definedName>
    <definedName name="RPORTO">Cover!$G$8:$G$14</definedName>
    <definedName name="Slicer_Foglio">#N/A</definedName>
    <definedName name="Target" localSheetId="6">OFFSET(Domains,0,2)</definedName>
    <definedName name="Target" localSheetId="23">OFFSET(Dashboard!Domains,0,2)</definedName>
    <definedName name="Target" localSheetId="26">OFFSET(Parametri_RA!Domains,0,2)</definedName>
    <definedName name="Target" localSheetId="22">OFFSET('Risk Register'!Domains,0,2)</definedName>
    <definedName name="Target" localSheetId="21">OFFSET(Domains,0,2)</definedName>
    <definedName name="TDR">Cover!$G$8:$G$14</definedName>
    <definedName name="TestCur" localSheetId="23">OFFSET(#REF!,0,0,COUNTA(#REF!)-1)</definedName>
    <definedName name="TestCur" localSheetId="26">OFFSET(#REF!,0,0,COUNTA(#REF!)-1)</definedName>
    <definedName name="TestCur" localSheetId="22">OFFSET(#REF!,0,0,COUNTA(#REF!)-1)</definedName>
    <definedName name="TestCur">OFFSET(#REF!,0,0,COUNTA(#REF!)-1)</definedName>
    <definedName name="TestDom" localSheetId="23">OFFSET(#REF!,0,0,COUNTA(#REF!)-1)</definedName>
    <definedName name="TestDom" localSheetId="26">OFFSET(#REF!,0,0,COUNTA(#REF!)-1)</definedName>
    <definedName name="TestDom" localSheetId="22">OFFSET(#REF!,0,0,COUNTA(#REF!)-1)</definedName>
    <definedName name="TestDom" localSheetId="21">OFFSET(#REF!,0,0,COUNTA(#REF!)-1)</definedName>
    <definedName name="TestDom">OFFSET(#REF!,0,0,COUNTA(#REF!)-1)</definedName>
    <definedName name="TIPOLOGIA">Cover!#REF!</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Q7" i="38" l="1"/>
  <c r="BQ9" i="38"/>
  <c r="BQ10" i="38"/>
  <c r="BQ11" i="38"/>
  <c r="BQ12" i="38"/>
  <c r="BQ13" i="38"/>
  <c r="BQ14" i="38"/>
  <c r="BQ15" i="38"/>
  <c r="DI15" i="38" s="1"/>
  <c r="BQ21" i="38"/>
  <c r="BQ22" i="38"/>
  <c r="DF22" i="38" s="1"/>
  <c r="BQ23" i="38"/>
  <c r="CO23" i="38" s="1"/>
  <c r="BQ24" i="38"/>
  <c r="BQ25" i="38"/>
  <c r="DF25" i="38" s="1"/>
  <c r="BQ27" i="38"/>
  <c r="BQ30" i="38"/>
  <c r="DC30" i="38" s="1"/>
  <c r="BQ40" i="38"/>
  <c r="CO40" i="38" s="1"/>
  <c r="BQ42" i="38"/>
  <c r="CP42" i="38" s="1"/>
  <c r="BQ43" i="38"/>
  <c r="CQ43" i="38" s="1"/>
  <c r="BQ44" i="38"/>
  <c r="BQ45" i="38"/>
  <c r="DD45" i="38" s="1"/>
  <c r="BQ46" i="38"/>
  <c r="CV46" i="38" s="1"/>
  <c r="BQ47" i="38"/>
  <c r="BQ52" i="38"/>
  <c r="BQ53" i="38"/>
  <c r="DG53" i="38" s="1"/>
  <c r="BQ54" i="38"/>
  <c r="CX54" i="38" s="1"/>
  <c r="BQ55" i="38"/>
  <c r="CO55" i="38" s="1"/>
  <c r="BQ57" i="38"/>
  <c r="CP57" i="38" s="1"/>
  <c r="BQ60" i="38"/>
  <c r="CP60" i="38" s="1"/>
  <c r="BQ61" i="38"/>
  <c r="BQ66" i="38"/>
  <c r="CV66" i="38" s="1"/>
  <c r="BQ67" i="38"/>
  <c r="BQ68" i="38"/>
  <c r="BQ71" i="38"/>
  <c r="CN71" i="38" s="1"/>
  <c r="BQ74" i="38"/>
  <c r="CU74" i="38" s="1"/>
  <c r="BQ76" i="38"/>
  <c r="CW76" i="38" s="1"/>
  <c r="BQ82" i="38"/>
  <c r="CZ82" i="38" s="1"/>
  <c r="BQ83" i="38"/>
  <c r="BQ84" i="38"/>
  <c r="BQ87" i="38"/>
  <c r="CR87" i="38" s="1"/>
  <c r="BQ88" i="38"/>
  <c r="DE88" i="38" s="1"/>
  <c r="BQ90" i="38"/>
  <c r="CR90" i="38" s="1"/>
  <c r="BQ93" i="38"/>
  <c r="CQ93" i="38" s="1"/>
  <c r="BQ96" i="38"/>
  <c r="CV96" i="38" s="1"/>
  <c r="BQ107" i="38"/>
  <c r="DA107" i="38" s="1"/>
  <c r="BQ125" i="38"/>
  <c r="CO125" i="38" s="1"/>
  <c r="BQ126" i="38"/>
  <c r="CN126" i="38" s="1"/>
  <c r="BQ127" i="38"/>
  <c r="DH127" i="38" s="1"/>
  <c r="BQ128" i="38"/>
  <c r="DE128" i="38" s="1"/>
  <c r="BQ130" i="38"/>
  <c r="CV130" i="38" s="1"/>
  <c r="BQ135" i="38"/>
  <c r="CY135" i="38" s="1"/>
  <c r="BP18" i="38"/>
  <c r="BP41" i="38"/>
  <c r="BP62" i="38"/>
  <c r="BP77" i="38"/>
  <c r="BP99" i="38"/>
  <c r="CK99" i="38" s="1"/>
  <c r="BP100" i="38"/>
  <c r="CL100" i="38" s="1"/>
  <c r="BP102" i="38"/>
  <c r="BP108" i="38"/>
  <c r="BP109" i="38"/>
  <c r="BP112" i="38"/>
  <c r="CJ112" i="38" s="1"/>
  <c r="BP113" i="38"/>
  <c r="BP114" i="38"/>
  <c r="BX114" i="38" s="1"/>
  <c r="BP115" i="38"/>
  <c r="CC115" i="38" s="1"/>
  <c r="BP116" i="38"/>
  <c r="CJ116" i="38" s="1"/>
  <c r="BP117" i="38"/>
  <c r="CJ117" i="38" s="1"/>
  <c r="BP118" i="38"/>
  <c r="CL118" i="38" s="1"/>
  <c r="BP119" i="38"/>
  <c r="BT119" i="38" s="1"/>
  <c r="BP121" i="38"/>
  <c r="BP123" i="38"/>
  <c r="CJ123" i="38" s="1"/>
  <c r="BP134" i="38"/>
  <c r="CG134" i="38" s="1"/>
  <c r="BP136" i="38"/>
  <c r="CK136" i="38" s="1"/>
  <c r="BP138" i="38"/>
  <c r="BP139" i="38"/>
  <c r="CK139" i="38" s="1"/>
  <c r="F68" i="39"/>
  <c r="F69" i="39"/>
  <c r="F70" i="39"/>
  <c r="F71" i="39"/>
  <c r="F72" i="39"/>
  <c r="F73" i="39"/>
  <c r="F74" i="39"/>
  <c r="F75" i="39"/>
  <c r="F76" i="39"/>
  <c r="F77" i="39"/>
  <c r="F78" i="39"/>
  <c r="F79" i="39"/>
  <c r="F80" i="39"/>
  <c r="F81" i="39"/>
  <c r="E68" i="39"/>
  <c r="E69" i="39"/>
  <c r="E70" i="39"/>
  <c r="E71" i="39"/>
  <c r="E72" i="39"/>
  <c r="E73" i="39"/>
  <c r="E74" i="39"/>
  <c r="E75" i="39"/>
  <c r="E76" i="39"/>
  <c r="E77" i="39"/>
  <c r="E78" i="39"/>
  <c r="E79" i="39"/>
  <c r="E80" i="39"/>
  <c r="E81" i="39"/>
  <c r="D68" i="39"/>
  <c r="D69" i="39"/>
  <c r="D70" i="39"/>
  <c r="D71" i="39"/>
  <c r="D72" i="39"/>
  <c r="D73" i="39"/>
  <c r="D74" i="39"/>
  <c r="D75" i="39"/>
  <c r="D76" i="39"/>
  <c r="D77" i="39"/>
  <c r="D78" i="39"/>
  <c r="D79" i="39"/>
  <c r="D80" i="39"/>
  <c r="D81" i="39"/>
  <c r="F43" i="39"/>
  <c r="F44" i="39"/>
  <c r="F45" i="39"/>
  <c r="F46" i="39"/>
  <c r="F47" i="39"/>
  <c r="F48" i="39"/>
  <c r="F49" i="39"/>
  <c r="F50" i="39"/>
  <c r="F51" i="39"/>
  <c r="F52" i="39"/>
  <c r="F53" i="39"/>
  <c r="F54" i="39"/>
  <c r="F55" i="39"/>
  <c r="F56" i="39"/>
  <c r="F57" i="39"/>
  <c r="F58" i="39"/>
  <c r="F59" i="39"/>
  <c r="F60" i="39"/>
  <c r="F61" i="39"/>
  <c r="F62" i="39"/>
  <c r="F63" i="39"/>
  <c r="F42" i="39"/>
  <c r="E43" i="39"/>
  <c r="E44" i="39"/>
  <c r="E45" i="39"/>
  <c r="E46" i="39"/>
  <c r="E47" i="39"/>
  <c r="E48" i="39"/>
  <c r="E49" i="39"/>
  <c r="E50" i="39"/>
  <c r="E51" i="39"/>
  <c r="E52" i="39"/>
  <c r="E53" i="39"/>
  <c r="E54" i="39"/>
  <c r="E55" i="39"/>
  <c r="E56" i="39"/>
  <c r="E57" i="39"/>
  <c r="E58" i="39"/>
  <c r="E59" i="39"/>
  <c r="E60" i="39"/>
  <c r="E61" i="39"/>
  <c r="E62" i="39"/>
  <c r="E63" i="39"/>
  <c r="E42" i="39"/>
  <c r="D43" i="39"/>
  <c r="D44" i="39"/>
  <c r="D45" i="39"/>
  <c r="D46" i="39"/>
  <c r="D47" i="39"/>
  <c r="D48" i="39"/>
  <c r="D49" i="39"/>
  <c r="D50" i="39"/>
  <c r="D51" i="39"/>
  <c r="D52" i="39"/>
  <c r="D53" i="39"/>
  <c r="D54" i="39"/>
  <c r="D55" i="39"/>
  <c r="D56" i="39"/>
  <c r="D57" i="39"/>
  <c r="D58" i="39"/>
  <c r="D59" i="39"/>
  <c r="D60" i="39"/>
  <c r="D61" i="39"/>
  <c r="D62" i="39"/>
  <c r="D63" i="39"/>
  <c r="D42" i="39"/>
  <c r="C43" i="39"/>
  <c r="C44" i="39"/>
  <c r="C45" i="39"/>
  <c r="C46" i="39"/>
  <c r="C47" i="39"/>
  <c r="C48" i="39"/>
  <c r="C49" i="39"/>
  <c r="C50" i="39"/>
  <c r="C51" i="39"/>
  <c r="C52" i="39"/>
  <c r="C53" i="39"/>
  <c r="C54" i="39"/>
  <c r="C55" i="39"/>
  <c r="C56" i="39"/>
  <c r="C57" i="39"/>
  <c r="C58" i="39"/>
  <c r="C59" i="39"/>
  <c r="C60" i="39"/>
  <c r="C61" i="39"/>
  <c r="C62" i="39"/>
  <c r="C63" i="39"/>
  <c r="C42" i="39"/>
  <c r="C6" i="20"/>
  <c r="C7" i="20"/>
  <c r="C8" i="20"/>
  <c r="C9" i="20"/>
  <c r="C10" i="20"/>
  <c r="C11" i="20"/>
  <c r="C12" i="20"/>
  <c r="C13" i="20"/>
  <c r="C14" i="20"/>
  <c r="C15" i="20"/>
  <c r="C16" i="20"/>
  <c r="C17" i="20"/>
  <c r="C18" i="20"/>
  <c r="C19" i="20"/>
  <c r="C20" i="20"/>
  <c r="C21" i="20"/>
  <c r="C22" i="20"/>
  <c r="C23" i="20"/>
  <c r="DC135" i="38" l="1"/>
  <c r="CV135" i="38"/>
  <c r="DG74" i="38"/>
  <c r="DB57" i="38"/>
  <c r="CO57" i="38"/>
  <c r="DE25" i="38"/>
  <c r="CV74" i="38"/>
  <c r="CJ136" i="38"/>
  <c r="CQ57" i="38"/>
  <c r="DI127" i="38"/>
  <c r="CW25" i="38"/>
  <c r="CR127" i="38"/>
  <c r="DH126" i="38"/>
  <c r="CV125" i="38"/>
  <c r="CK123" i="38"/>
  <c r="CJ119" i="38"/>
  <c r="CW96" i="38"/>
  <c r="CT96" i="38"/>
  <c r="CV93" i="38"/>
  <c r="CQ87" i="38"/>
  <c r="DH135" i="38"/>
  <c r="CP125" i="38"/>
  <c r="CU96" i="38"/>
  <c r="DG76" i="38"/>
  <c r="CR57" i="38"/>
  <c r="DD25" i="38"/>
  <c r="DB135" i="38"/>
  <c r="DI126" i="38"/>
  <c r="CR96" i="38"/>
  <c r="CY74" i="38"/>
  <c r="CQ15" i="38"/>
  <c r="CP15" i="38"/>
  <c r="CU135" i="38"/>
  <c r="CT126" i="38"/>
  <c r="CM118" i="38"/>
  <c r="CU93" i="38"/>
  <c r="CT74" i="38"/>
  <c r="CO15" i="38"/>
  <c r="CT135" i="38"/>
  <c r="CS126" i="38"/>
  <c r="CT93" i="38"/>
  <c r="DI71" i="38"/>
  <c r="BX100" i="38"/>
  <c r="CS135" i="38"/>
  <c r="CR126" i="38"/>
  <c r="CL117" i="38"/>
  <c r="CS93" i="38"/>
  <c r="DH71" i="38"/>
  <c r="DI46" i="38"/>
  <c r="CR135" i="38"/>
  <c r="CQ126" i="38"/>
  <c r="CJ115" i="38"/>
  <c r="DG71" i="38"/>
  <c r="DF46" i="38"/>
  <c r="CX130" i="38"/>
  <c r="CP126" i="38"/>
  <c r="CL114" i="38"/>
  <c r="CT90" i="38"/>
  <c r="DF71" i="38"/>
  <c r="CO126" i="38"/>
  <c r="CK114" i="38"/>
  <c r="CS90" i="38"/>
  <c r="CT71" i="38"/>
  <c r="DE45" i="38"/>
  <c r="DF128" i="38"/>
  <c r="CJ114" i="38"/>
  <c r="CR43" i="38"/>
  <c r="DD128" i="38"/>
  <c r="CZ125" i="38"/>
  <c r="DF107" i="38"/>
  <c r="DC87" i="38"/>
  <c r="DC60" i="38"/>
  <c r="CM136" i="38"/>
  <c r="DC128" i="38"/>
  <c r="CY125" i="38"/>
  <c r="CT107" i="38"/>
  <c r="CT87" i="38"/>
  <c r="CR60" i="38"/>
  <c r="DA42" i="38"/>
  <c r="CL136" i="38"/>
  <c r="DB128" i="38"/>
  <c r="CX125" i="38"/>
  <c r="CL99" i="38"/>
  <c r="CS87" i="38"/>
  <c r="CQ60" i="38"/>
  <c r="CZ128" i="38"/>
  <c r="CW125" i="38"/>
  <c r="CO60" i="38"/>
  <c r="BU138" i="38"/>
  <c r="BV138" i="38"/>
  <c r="BW138" i="38"/>
  <c r="BX138" i="38"/>
  <c r="CA138" i="38"/>
  <c r="CB138" i="38"/>
  <c r="CC138" i="38"/>
  <c r="CD138" i="38"/>
  <c r="CH138" i="38"/>
  <c r="CI138" i="38"/>
  <c r="BR138" i="38"/>
  <c r="BS138" i="38"/>
  <c r="BT138" i="38"/>
  <c r="BY138" i="38"/>
  <c r="CJ138" i="38"/>
  <c r="CK138" i="38"/>
  <c r="CL138" i="38"/>
  <c r="CM138" i="38"/>
  <c r="BZ138" i="38"/>
  <c r="CE138" i="38"/>
  <c r="CF138" i="38"/>
  <c r="CG138" i="38"/>
  <c r="DA53" i="38"/>
  <c r="DB53" i="38"/>
  <c r="CR53" i="38"/>
  <c r="CS53" i="38"/>
  <c r="CT53" i="38"/>
  <c r="CX53" i="38"/>
  <c r="CY53" i="38"/>
  <c r="CZ53" i="38"/>
  <c r="CN53" i="38"/>
  <c r="CO53" i="38"/>
  <c r="CP53" i="38"/>
  <c r="CQ53" i="38"/>
  <c r="CV53" i="38"/>
  <c r="CW53" i="38"/>
  <c r="DC53" i="38"/>
  <c r="DD53" i="38"/>
  <c r="DE53" i="38"/>
  <c r="DF53" i="38"/>
  <c r="CU53" i="38"/>
  <c r="DH53" i="38"/>
  <c r="DI53" i="38"/>
  <c r="CD41" i="38"/>
  <c r="CF41" i="38"/>
  <c r="CG41" i="38"/>
  <c r="BR41" i="38"/>
  <c r="CH41" i="38"/>
  <c r="BS41" i="38"/>
  <c r="CI41" i="38"/>
  <c r="BU41" i="38"/>
  <c r="BV41" i="38"/>
  <c r="BW41" i="38"/>
  <c r="BX41" i="38"/>
  <c r="CC41" i="38"/>
  <c r="BY41" i="38"/>
  <c r="BZ41" i="38"/>
  <c r="CA41" i="38"/>
  <c r="CB41" i="38"/>
  <c r="BT41" i="38"/>
  <c r="CE41" i="38"/>
  <c r="CJ41" i="38"/>
  <c r="CL41" i="38"/>
  <c r="CM41" i="38"/>
  <c r="CK41" i="38"/>
  <c r="BV77" i="38"/>
  <c r="BX77" i="38"/>
  <c r="BY77" i="38"/>
  <c r="BZ77" i="38"/>
  <c r="CA77" i="38"/>
  <c r="CC77" i="38"/>
  <c r="CD77" i="38"/>
  <c r="CE77" i="38"/>
  <c r="CF77" i="38"/>
  <c r="BU77" i="38"/>
  <c r="BR77" i="38"/>
  <c r="BS77" i="38"/>
  <c r="BT77" i="38"/>
  <c r="CG77" i="38"/>
  <c r="CH77" i="38"/>
  <c r="BW77" i="38"/>
  <c r="CJ77" i="38"/>
  <c r="CB77" i="38"/>
  <c r="CI77" i="38"/>
  <c r="CL77" i="38"/>
  <c r="CM77" i="38"/>
  <c r="CD109" i="38"/>
  <c r="CE109" i="38"/>
  <c r="CF109" i="38"/>
  <c r="CG109" i="38"/>
  <c r="BT109" i="38"/>
  <c r="BW109" i="38"/>
  <c r="BS109" i="38"/>
  <c r="BU109" i="38"/>
  <c r="BV109" i="38"/>
  <c r="BX109" i="38"/>
  <c r="CA109" i="38"/>
  <c r="CB109" i="38"/>
  <c r="CC109" i="38"/>
  <c r="CH109" i="38"/>
  <c r="CI109" i="38"/>
  <c r="BY109" i="38"/>
  <c r="BZ109" i="38"/>
  <c r="BR109" i="38"/>
  <c r="CK109" i="38"/>
  <c r="CM109" i="38"/>
  <c r="CP130" i="38"/>
  <c r="DF130" i="38"/>
  <c r="CQ130" i="38"/>
  <c r="DG130" i="38"/>
  <c r="CR130" i="38"/>
  <c r="DH130" i="38"/>
  <c r="CS130" i="38"/>
  <c r="DI130" i="38"/>
  <c r="CY130" i="38"/>
  <c r="CZ130" i="38"/>
  <c r="DA130" i="38"/>
  <c r="DB130" i="38"/>
  <c r="DC130" i="38"/>
  <c r="DD130" i="38"/>
  <c r="DE130" i="38"/>
  <c r="CN130" i="38"/>
  <c r="CO130" i="38"/>
  <c r="CW130" i="38"/>
  <c r="CU130" i="38"/>
  <c r="CF108" i="38"/>
  <c r="CG108" i="38"/>
  <c r="BR108" i="38"/>
  <c r="CH108" i="38"/>
  <c r="BS108" i="38"/>
  <c r="CI108" i="38"/>
  <c r="BV108" i="38"/>
  <c r="BY108" i="38"/>
  <c r="BU108" i="38"/>
  <c r="BW108" i="38"/>
  <c r="BX108" i="38"/>
  <c r="BZ108" i="38"/>
  <c r="CA108" i="38"/>
  <c r="BT108" i="38"/>
  <c r="CB108" i="38"/>
  <c r="CC108" i="38"/>
  <c r="CD108" i="38"/>
  <c r="CE108" i="38"/>
  <c r="CJ108" i="38"/>
  <c r="CK108" i="38"/>
  <c r="CL108" i="38"/>
  <c r="CW47" i="38"/>
  <c r="CX47" i="38"/>
  <c r="DB47" i="38"/>
  <c r="DC47" i="38"/>
  <c r="DD47" i="38"/>
  <c r="DE47" i="38"/>
  <c r="CP47" i="38"/>
  <c r="DH47" i="38"/>
  <c r="CQ47" i="38"/>
  <c r="DI47" i="38"/>
  <c r="CR47" i="38"/>
  <c r="CS47" i="38"/>
  <c r="CT47" i="38"/>
  <c r="CU47" i="38"/>
  <c r="CV47" i="38"/>
  <c r="CY47" i="38"/>
  <c r="DA47" i="38"/>
  <c r="DF47" i="38"/>
  <c r="DG47" i="38"/>
  <c r="CO47" i="38"/>
  <c r="CZ47" i="38"/>
  <c r="CT130" i="38"/>
  <c r="CN47" i="38"/>
  <c r="CN127" i="38"/>
  <c r="DD127" i="38"/>
  <c r="CO127" i="38"/>
  <c r="DE127" i="38"/>
  <c r="CP127" i="38"/>
  <c r="DF127" i="38"/>
  <c r="CQ127" i="38"/>
  <c r="DG127" i="38"/>
  <c r="CS127" i="38"/>
  <c r="CT127" i="38"/>
  <c r="CU127" i="38"/>
  <c r="CV127" i="38"/>
  <c r="CW127" i="38"/>
  <c r="CX127" i="38"/>
  <c r="CY127" i="38"/>
  <c r="CZ127" i="38"/>
  <c r="DA127" i="38"/>
  <c r="DB127" i="38"/>
  <c r="DC127" i="38"/>
  <c r="DC67" i="38"/>
  <c r="CN67" i="38"/>
  <c r="DD67" i="38"/>
  <c r="CR67" i="38"/>
  <c r="DH67" i="38"/>
  <c r="CS67" i="38"/>
  <c r="DI67" i="38"/>
  <c r="CT67" i="38"/>
  <c r="CY67" i="38"/>
  <c r="CZ67" i="38"/>
  <c r="DA67" i="38"/>
  <c r="DB67" i="38"/>
  <c r="DE67" i="38"/>
  <c r="DG67" i="38"/>
  <c r="CO67" i="38"/>
  <c r="CP67" i="38"/>
  <c r="CQ67" i="38"/>
  <c r="CU67" i="38"/>
  <c r="CV67" i="38"/>
  <c r="CW67" i="38"/>
  <c r="CX67" i="38"/>
  <c r="DF67" i="38"/>
  <c r="DA21" i="38"/>
  <c r="DB21" i="38"/>
  <c r="DC21" i="38"/>
  <c r="CN21" i="38"/>
  <c r="DD21" i="38"/>
  <c r="CQ21" i="38"/>
  <c r="DG21" i="38"/>
  <c r="CR21" i="38"/>
  <c r="DH21" i="38"/>
  <c r="CP21" i="38"/>
  <c r="CS21" i="38"/>
  <c r="CT21" i="38"/>
  <c r="CU21" i="38"/>
  <c r="CV21" i="38"/>
  <c r="CX21" i="38"/>
  <c r="CY21" i="38"/>
  <c r="CZ21" i="38"/>
  <c r="DE21" i="38"/>
  <c r="DF21" i="38"/>
  <c r="CO21" i="38"/>
  <c r="CW21" i="38"/>
  <c r="DI21" i="38"/>
  <c r="BR123" i="38"/>
  <c r="CH123" i="38"/>
  <c r="BS123" i="38"/>
  <c r="CI123" i="38"/>
  <c r="BT123" i="38"/>
  <c r="BU123" i="38"/>
  <c r="BX123" i="38"/>
  <c r="CG123" i="38"/>
  <c r="BV123" i="38"/>
  <c r="BW123" i="38"/>
  <c r="BY123" i="38"/>
  <c r="BZ123" i="38"/>
  <c r="CB123" i="38"/>
  <c r="CC123" i="38"/>
  <c r="CD123" i="38"/>
  <c r="CE123" i="38"/>
  <c r="CF123" i="38"/>
  <c r="CA123" i="38"/>
  <c r="CM123" i="38"/>
  <c r="BT62" i="38"/>
  <c r="BV62" i="38"/>
  <c r="BW62" i="38"/>
  <c r="BX62" i="38"/>
  <c r="BY62" i="38"/>
  <c r="CA62" i="38"/>
  <c r="CB62" i="38"/>
  <c r="CC62" i="38"/>
  <c r="CD62" i="38"/>
  <c r="BS62" i="38"/>
  <c r="CI62" i="38"/>
  <c r="CE62" i="38"/>
  <c r="CF62" i="38"/>
  <c r="CG62" i="38"/>
  <c r="CH62" i="38"/>
  <c r="BU62" i="38"/>
  <c r="BR62" i="38"/>
  <c r="BZ62" i="38"/>
  <c r="CJ62" i="38"/>
  <c r="CK62" i="38"/>
  <c r="CL62" i="38"/>
  <c r="CM62" i="38"/>
  <c r="CW66" i="38"/>
  <c r="CX66" i="38"/>
  <c r="DB66" i="38"/>
  <c r="DC66" i="38"/>
  <c r="CN66" i="38"/>
  <c r="DD66" i="38"/>
  <c r="DA66" i="38"/>
  <c r="DE66" i="38"/>
  <c r="DF66" i="38"/>
  <c r="DG66" i="38"/>
  <c r="DH66" i="38"/>
  <c r="CO66" i="38"/>
  <c r="CP66" i="38"/>
  <c r="CQ66" i="38"/>
  <c r="CR66" i="38"/>
  <c r="CS66" i="38"/>
  <c r="CT66" i="38"/>
  <c r="DI66" i="38"/>
  <c r="CU66" i="38"/>
  <c r="CY66" i="38"/>
  <c r="DD82" i="38"/>
  <c r="BV121" i="38"/>
  <c r="BW121" i="38"/>
  <c r="BX121" i="38"/>
  <c r="BY121" i="38"/>
  <c r="CB121" i="38"/>
  <c r="BZ121" i="38"/>
  <c r="CA121" i="38"/>
  <c r="CC121" i="38"/>
  <c r="CD121" i="38"/>
  <c r="CG121" i="38"/>
  <c r="CH121" i="38"/>
  <c r="CI121" i="38"/>
  <c r="BR121" i="38"/>
  <c r="BS121" i="38"/>
  <c r="BT121" i="38"/>
  <c r="BU121" i="38"/>
  <c r="CJ121" i="38"/>
  <c r="CK121" i="38"/>
  <c r="CL121" i="38"/>
  <c r="CM121" i="38"/>
  <c r="CE121" i="38"/>
  <c r="CF121" i="38"/>
  <c r="CL109" i="38"/>
  <c r="CJ109" i="38"/>
  <c r="DA13" i="38"/>
  <c r="DB13" i="38"/>
  <c r="DC13" i="38"/>
  <c r="CN13" i="38"/>
  <c r="DD13" i="38"/>
  <c r="CQ13" i="38"/>
  <c r="DG13" i="38"/>
  <c r="CR13" i="38"/>
  <c r="DH13" i="38"/>
  <c r="CS13" i="38"/>
  <c r="DI13" i="38"/>
  <c r="CT13" i="38"/>
  <c r="CO13" i="38"/>
  <c r="CP13" i="38"/>
  <c r="CV13" i="38"/>
  <c r="CW13" i="38"/>
  <c r="CX13" i="38"/>
  <c r="CY13" i="38"/>
  <c r="CZ13" i="38"/>
  <c r="CU13" i="38"/>
  <c r="DF13" i="38"/>
  <c r="DE13" i="38"/>
  <c r="CS84" i="38"/>
  <c r="DI84" i="38"/>
  <c r="CT84" i="38"/>
  <c r="CY84" i="38"/>
  <c r="CV84" i="38"/>
  <c r="CW84" i="38"/>
  <c r="CX84" i="38"/>
  <c r="CZ84" i="38"/>
  <c r="DA84" i="38"/>
  <c r="DC84" i="38"/>
  <c r="DD84" i="38"/>
  <c r="DE84" i="38"/>
  <c r="DF84" i="38"/>
  <c r="CN84" i="38"/>
  <c r="DG84" i="38"/>
  <c r="CO84" i="38"/>
  <c r="DH84" i="38"/>
  <c r="CP84" i="38"/>
  <c r="CQ84" i="38"/>
  <c r="CR84" i="38"/>
  <c r="CU84" i="38"/>
  <c r="DB84" i="38"/>
  <c r="CM108" i="38"/>
  <c r="DC83" i="38"/>
  <c r="CN83" i="38"/>
  <c r="DD83" i="38"/>
  <c r="CR83" i="38"/>
  <c r="DH83" i="38"/>
  <c r="CS83" i="38"/>
  <c r="DI83" i="38"/>
  <c r="CZ83" i="38"/>
  <c r="DA83" i="38"/>
  <c r="DB83" i="38"/>
  <c r="DE83" i="38"/>
  <c r="DF83" i="38"/>
  <c r="CO83" i="38"/>
  <c r="CP83" i="38"/>
  <c r="CQ83" i="38"/>
  <c r="CT83" i="38"/>
  <c r="CU83" i="38"/>
  <c r="CV83" i="38"/>
  <c r="CW83" i="38"/>
  <c r="CX83" i="38"/>
  <c r="CY83" i="38"/>
  <c r="DG83" i="38"/>
  <c r="BS139" i="38"/>
  <c r="CI139" i="38"/>
  <c r="BT139" i="38"/>
  <c r="BU139" i="38"/>
  <c r="BV139" i="38"/>
  <c r="BY139" i="38"/>
  <c r="BZ139" i="38"/>
  <c r="CA139" i="38"/>
  <c r="CB139" i="38"/>
  <c r="BR139" i="38"/>
  <c r="BW139" i="38"/>
  <c r="BX139" i="38"/>
  <c r="CD139" i="38"/>
  <c r="CE139" i="38"/>
  <c r="CF139" i="38"/>
  <c r="CG139" i="38"/>
  <c r="CH139" i="38"/>
  <c r="CC139" i="38"/>
  <c r="CJ139" i="38"/>
  <c r="CL139" i="38"/>
  <c r="CW82" i="38"/>
  <c r="CX82" i="38"/>
  <c r="DB82" i="38"/>
  <c r="DC82" i="38"/>
  <c r="DF82" i="38"/>
  <c r="DG82" i="38"/>
  <c r="CN82" i="38"/>
  <c r="DH82" i="38"/>
  <c r="CO82" i="38"/>
  <c r="DI82" i="38"/>
  <c r="CP82" i="38"/>
  <c r="CR82" i="38"/>
  <c r="CS82" i="38"/>
  <c r="CT82" i="38"/>
  <c r="CU82" i="38"/>
  <c r="CV82" i="38"/>
  <c r="CY82" i="38"/>
  <c r="CQ82" i="38"/>
  <c r="DA82" i="38"/>
  <c r="DE82" i="38"/>
  <c r="CM139" i="38"/>
  <c r="CL123" i="38"/>
  <c r="CK77" i="38"/>
  <c r="CZ66" i="38"/>
  <c r="CS68" i="38"/>
  <c r="DI68" i="38"/>
  <c r="CT68" i="38"/>
  <c r="CX68" i="38"/>
  <c r="CY68" i="38"/>
  <c r="CZ68" i="38"/>
  <c r="CV68" i="38"/>
  <c r="CW68" i="38"/>
  <c r="DA68" i="38"/>
  <c r="DB68" i="38"/>
  <c r="DC68" i="38"/>
  <c r="DE68" i="38"/>
  <c r="DF68" i="38"/>
  <c r="DG68" i="38"/>
  <c r="DH68" i="38"/>
  <c r="CN68" i="38"/>
  <c r="CO68" i="38"/>
  <c r="CU52" i="38"/>
  <c r="CV52" i="38"/>
  <c r="CZ52" i="38"/>
  <c r="DA52" i="38"/>
  <c r="DB52" i="38"/>
  <c r="CN52" i="38"/>
  <c r="DF52" i="38"/>
  <c r="CO52" i="38"/>
  <c r="DG52" i="38"/>
  <c r="CP52" i="38"/>
  <c r="DH52" i="38"/>
  <c r="CQ52" i="38"/>
  <c r="CS52" i="38"/>
  <c r="CT52" i="38"/>
  <c r="CW52" i="38"/>
  <c r="CX52" i="38"/>
  <c r="CY52" i="38"/>
  <c r="DC52" i="38"/>
  <c r="CT128" i="38"/>
  <c r="CU128" i="38"/>
  <c r="CV128" i="38"/>
  <c r="CW128" i="38"/>
  <c r="DA96" i="38"/>
  <c r="DB96" i="38"/>
  <c r="CQ96" i="38"/>
  <c r="DG96" i="38"/>
  <c r="CX96" i="38"/>
  <c r="CY96" i="38"/>
  <c r="CZ96" i="38"/>
  <c r="DC96" i="38"/>
  <c r="DD96" i="38"/>
  <c r="CO96" i="38"/>
  <c r="DI96" i="38"/>
  <c r="CP96" i="38"/>
  <c r="CS96" i="38"/>
  <c r="CQ14" i="38"/>
  <c r="DG14" i="38"/>
  <c r="CR14" i="38"/>
  <c r="DH14" i="38"/>
  <c r="CS14" i="38"/>
  <c r="DI14" i="38"/>
  <c r="CT14" i="38"/>
  <c r="CW14" i="38"/>
  <c r="CX14" i="38"/>
  <c r="CY14" i="38"/>
  <c r="CZ14" i="38"/>
  <c r="CN14" i="38"/>
  <c r="CO14" i="38"/>
  <c r="CP14" i="38"/>
  <c r="CU14" i="38"/>
  <c r="CV14" i="38"/>
  <c r="DB14" i="38"/>
  <c r="DC14" i="38"/>
  <c r="DD14" i="38"/>
  <c r="DE14" i="38"/>
  <c r="DF14" i="38"/>
  <c r="DA14" i="38"/>
  <c r="DA128" i="38"/>
  <c r="CQ125" i="38"/>
  <c r="CM117" i="38"/>
  <c r="DG107" i="38"/>
  <c r="CN96" i="38"/>
  <c r="DH76" i="38"/>
  <c r="DD68" i="38"/>
  <c r="DI45" i="38"/>
  <c r="CU68" i="38"/>
  <c r="BY136" i="38"/>
  <c r="BZ136" i="38"/>
  <c r="CA136" i="38"/>
  <c r="CB136" i="38"/>
  <c r="CE136" i="38"/>
  <c r="CF136" i="38"/>
  <c r="CG136" i="38"/>
  <c r="BR136" i="38"/>
  <c r="CH136" i="38"/>
  <c r="BT136" i="38"/>
  <c r="BU136" i="38"/>
  <c r="BV136" i="38"/>
  <c r="BW136" i="38"/>
  <c r="BX136" i="38"/>
  <c r="BS136" i="38"/>
  <c r="CD136" i="38"/>
  <c r="CI136" i="38"/>
  <c r="CX126" i="38"/>
  <c r="CY126" i="38"/>
  <c r="CZ126" i="38"/>
  <c r="DA126" i="38"/>
  <c r="CQ46" i="38"/>
  <c r="DG46" i="38"/>
  <c r="CR46" i="38"/>
  <c r="DH46" i="38"/>
  <c r="CP46" i="38"/>
  <c r="CS46" i="38"/>
  <c r="CT46" i="38"/>
  <c r="CU46" i="38"/>
  <c r="CX46" i="38"/>
  <c r="CY46" i="38"/>
  <c r="CZ46" i="38"/>
  <c r="CN46" i="38"/>
  <c r="CO46" i="38"/>
  <c r="CW46" i="38"/>
  <c r="DA46" i="38"/>
  <c r="DB46" i="38"/>
  <c r="DC46" i="38"/>
  <c r="DD46" i="38"/>
  <c r="DE46" i="38"/>
  <c r="CQ30" i="38"/>
  <c r="DG30" i="38"/>
  <c r="CR30" i="38"/>
  <c r="DH30" i="38"/>
  <c r="DD30" i="38"/>
  <c r="DE30" i="38"/>
  <c r="CN30" i="38"/>
  <c r="DF30" i="38"/>
  <c r="CO30" i="38"/>
  <c r="DI30" i="38"/>
  <c r="CP30" i="38"/>
  <c r="CT30" i="38"/>
  <c r="CU30" i="38"/>
  <c r="CV30" i="38"/>
  <c r="CW30" i="38"/>
  <c r="CX30" i="38"/>
  <c r="CS30" i="38"/>
  <c r="CY30" i="38"/>
  <c r="CZ30" i="38"/>
  <c r="DA30" i="38"/>
  <c r="DB30" i="38"/>
  <c r="CU12" i="38"/>
  <c r="CV12" i="38"/>
  <c r="CW12" i="38"/>
  <c r="CX12" i="38"/>
  <c r="DA12" i="38"/>
  <c r="DB12" i="38"/>
  <c r="DC12" i="38"/>
  <c r="CN12" i="38"/>
  <c r="DD12" i="38"/>
  <c r="DH12" i="38"/>
  <c r="DI12" i="38"/>
  <c r="CP12" i="38"/>
  <c r="CQ12" i="38"/>
  <c r="CR12" i="38"/>
  <c r="CS12" i="38"/>
  <c r="CT12" i="38"/>
  <c r="CZ12" i="38"/>
  <c r="DE12" i="38"/>
  <c r="DF12" i="38"/>
  <c r="DG12" i="38"/>
  <c r="DI135" i="38"/>
  <c r="CY128" i="38"/>
  <c r="DG126" i="38"/>
  <c r="CK117" i="38"/>
  <c r="CM112" i="38"/>
  <c r="DE107" i="38"/>
  <c r="CM100" i="38"/>
  <c r="DF76" i="38"/>
  <c r="CR68" i="38"/>
  <c r="DI52" i="38"/>
  <c r="CC136" i="38"/>
  <c r="CA116" i="38"/>
  <c r="BZ119" i="38"/>
  <c r="CA119" i="38"/>
  <c r="CB119" i="38"/>
  <c r="CC119" i="38"/>
  <c r="CF119" i="38"/>
  <c r="BR119" i="38"/>
  <c r="BS119" i="38"/>
  <c r="BV119" i="38"/>
  <c r="BW119" i="38"/>
  <c r="BX119" i="38"/>
  <c r="BY119" i="38"/>
  <c r="CH119" i="38"/>
  <c r="CI119" i="38"/>
  <c r="BU119" i="38"/>
  <c r="CD119" i="38"/>
  <c r="CE119" i="38"/>
  <c r="CG119" i="38"/>
  <c r="CR125" i="38"/>
  <c r="DH125" i="38"/>
  <c r="CS125" i="38"/>
  <c r="DI125" i="38"/>
  <c r="CT125" i="38"/>
  <c r="CU125" i="38"/>
  <c r="CY93" i="38"/>
  <c r="CZ93" i="38"/>
  <c r="CO93" i="38"/>
  <c r="DE93" i="38"/>
  <c r="CW93" i="38"/>
  <c r="CX93" i="38"/>
  <c r="DA93" i="38"/>
  <c r="DB93" i="38"/>
  <c r="DC93" i="38"/>
  <c r="CN93" i="38"/>
  <c r="DH93" i="38"/>
  <c r="CP93" i="38"/>
  <c r="DI93" i="38"/>
  <c r="CR93" i="38"/>
  <c r="CY61" i="38"/>
  <c r="CZ61" i="38"/>
  <c r="CN61" i="38"/>
  <c r="DD61" i="38"/>
  <c r="CO61" i="38"/>
  <c r="DE61" i="38"/>
  <c r="CP61" i="38"/>
  <c r="DF61" i="38"/>
  <c r="CS61" i="38"/>
  <c r="CT61" i="38"/>
  <c r="CU61" i="38"/>
  <c r="CV61" i="38"/>
  <c r="CW61" i="38"/>
  <c r="DA61" i="38"/>
  <c r="DB61" i="38"/>
  <c r="DC61" i="38"/>
  <c r="DG61" i="38"/>
  <c r="DH61" i="38"/>
  <c r="DI61" i="38"/>
  <c r="DA45" i="38"/>
  <c r="DB45" i="38"/>
  <c r="CX45" i="38"/>
  <c r="CY45" i="38"/>
  <c r="CZ45" i="38"/>
  <c r="DC45" i="38"/>
  <c r="CN45" i="38"/>
  <c r="DF45" i="38"/>
  <c r="CO45" i="38"/>
  <c r="DG45" i="38"/>
  <c r="CP45" i="38"/>
  <c r="DH45" i="38"/>
  <c r="CR45" i="38"/>
  <c r="CS45" i="38"/>
  <c r="CT45" i="38"/>
  <c r="CU45" i="38"/>
  <c r="CV45" i="38"/>
  <c r="CW45" i="38"/>
  <c r="CO11" i="38"/>
  <c r="DE11" i="38"/>
  <c r="CP11" i="38"/>
  <c r="DF11" i="38"/>
  <c r="CQ11" i="38"/>
  <c r="DG11" i="38"/>
  <c r="CR11" i="38"/>
  <c r="DH11" i="38"/>
  <c r="CU11" i="38"/>
  <c r="CV11" i="38"/>
  <c r="CW11" i="38"/>
  <c r="CX11" i="38"/>
  <c r="DB11" i="38"/>
  <c r="DC11" i="38"/>
  <c r="DD11" i="38"/>
  <c r="DI11" i="38"/>
  <c r="CN11" i="38"/>
  <c r="CS11" i="38"/>
  <c r="CT11" i="38"/>
  <c r="CY11" i="38"/>
  <c r="CX128" i="38"/>
  <c r="DF126" i="38"/>
  <c r="CN125" i="38"/>
  <c r="CL112" i="38"/>
  <c r="DB107" i="38"/>
  <c r="CQ68" i="38"/>
  <c r="DE52" i="38"/>
  <c r="CQ45" i="38"/>
  <c r="CC134" i="38"/>
  <c r="CD134" i="38"/>
  <c r="CE134" i="38"/>
  <c r="CF134" i="38"/>
  <c r="BS134" i="38"/>
  <c r="CI134" i="38"/>
  <c r="BT134" i="38"/>
  <c r="BU134" i="38"/>
  <c r="BV134" i="38"/>
  <c r="BR134" i="38"/>
  <c r="BX134" i="38"/>
  <c r="BY134" i="38"/>
  <c r="BZ134" i="38"/>
  <c r="CA134" i="38"/>
  <c r="CB134" i="38"/>
  <c r="CH134" i="38"/>
  <c r="CJ134" i="38"/>
  <c r="CK134" i="38"/>
  <c r="CB118" i="38"/>
  <c r="CC118" i="38"/>
  <c r="CD118" i="38"/>
  <c r="CE118" i="38"/>
  <c r="BR118" i="38"/>
  <c r="CH118" i="38"/>
  <c r="CG118" i="38"/>
  <c r="CI118" i="38"/>
  <c r="BS118" i="38"/>
  <c r="BT118" i="38"/>
  <c r="BU118" i="38"/>
  <c r="BV118" i="38"/>
  <c r="BX118" i="38"/>
  <c r="BY118" i="38"/>
  <c r="BZ118" i="38"/>
  <c r="CA118" i="38"/>
  <c r="CF118" i="38"/>
  <c r="CJ118" i="38"/>
  <c r="CK118" i="38"/>
  <c r="BW118" i="38"/>
  <c r="CB102" i="38"/>
  <c r="CC102" i="38"/>
  <c r="CD102" i="38"/>
  <c r="CE102" i="38"/>
  <c r="BR102" i="38"/>
  <c r="CH102" i="38"/>
  <c r="BS102" i="38"/>
  <c r="CI102" i="38"/>
  <c r="BU102" i="38"/>
  <c r="BV102" i="38"/>
  <c r="BZ102" i="38"/>
  <c r="CA102" i="38"/>
  <c r="CF102" i="38"/>
  <c r="CG102" i="38"/>
  <c r="BT102" i="38"/>
  <c r="BW102" i="38"/>
  <c r="BX102" i="38"/>
  <c r="BY102" i="38"/>
  <c r="CJ102" i="38"/>
  <c r="CS76" i="38"/>
  <c r="DI76" i="38"/>
  <c r="CT76" i="38"/>
  <c r="CX76" i="38"/>
  <c r="CY76" i="38"/>
  <c r="CP76" i="38"/>
  <c r="CQ76" i="38"/>
  <c r="CR76" i="38"/>
  <c r="CU76" i="38"/>
  <c r="CV76" i="38"/>
  <c r="CZ76" i="38"/>
  <c r="DA76" i="38"/>
  <c r="DB76" i="38"/>
  <c r="DC76" i="38"/>
  <c r="DD76" i="38"/>
  <c r="DE76" i="38"/>
  <c r="CS60" i="38"/>
  <c r="DI60" i="38"/>
  <c r="CT60" i="38"/>
  <c r="CX60" i="38"/>
  <c r="CY60" i="38"/>
  <c r="CZ60" i="38"/>
  <c r="CU60" i="38"/>
  <c r="CV60" i="38"/>
  <c r="CW60" i="38"/>
  <c r="DA60" i="38"/>
  <c r="DB60" i="38"/>
  <c r="DD60" i="38"/>
  <c r="DE60" i="38"/>
  <c r="DF60" i="38"/>
  <c r="DG60" i="38"/>
  <c r="DH60" i="38"/>
  <c r="CN60" i="38"/>
  <c r="CU44" i="38"/>
  <c r="CV44" i="38"/>
  <c r="CN44" i="38"/>
  <c r="DF44" i="38"/>
  <c r="CO44" i="38"/>
  <c r="DG44" i="38"/>
  <c r="CP44" i="38"/>
  <c r="DH44" i="38"/>
  <c r="CQ44" i="38"/>
  <c r="DI44" i="38"/>
  <c r="CT44" i="38"/>
  <c r="CW44" i="38"/>
  <c r="CX44" i="38"/>
  <c r="DC44" i="38"/>
  <c r="DD44" i="38"/>
  <c r="DE44" i="38"/>
  <c r="CR44" i="38"/>
  <c r="CS44" i="38"/>
  <c r="CY10" i="38"/>
  <c r="CZ10" i="38"/>
  <c r="DA10" i="38"/>
  <c r="DB10" i="38"/>
  <c r="CO10" i="38"/>
  <c r="DE10" i="38"/>
  <c r="CP10" i="38"/>
  <c r="DF10" i="38"/>
  <c r="CQ10" i="38"/>
  <c r="DG10" i="38"/>
  <c r="CR10" i="38"/>
  <c r="DH10" i="38"/>
  <c r="CV10" i="38"/>
  <c r="CW10" i="38"/>
  <c r="CX10" i="38"/>
  <c r="DC10" i="38"/>
  <c r="DD10" i="38"/>
  <c r="CN10" i="38"/>
  <c r="CT10" i="38"/>
  <c r="CU10" i="38"/>
  <c r="DI10" i="38"/>
  <c r="CS128" i="38"/>
  <c r="DE126" i="38"/>
  <c r="DG125" i="38"/>
  <c r="CK116" i="38"/>
  <c r="CK112" i="38"/>
  <c r="DI88" i="38"/>
  <c r="CO76" i="38"/>
  <c r="CP68" i="38"/>
  <c r="DD52" i="38"/>
  <c r="DB44" i="38"/>
  <c r="DG40" i="38"/>
  <c r="CY12" i="38"/>
  <c r="BW134" i="38"/>
  <c r="BY114" i="38"/>
  <c r="CD117" i="38"/>
  <c r="CE117" i="38"/>
  <c r="CF117" i="38"/>
  <c r="CG117" i="38"/>
  <c r="BT117" i="38"/>
  <c r="BZ117" i="38"/>
  <c r="CA117" i="38"/>
  <c r="CB117" i="38"/>
  <c r="CC117" i="38"/>
  <c r="BR117" i="38"/>
  <c r="BW117" i="38"/>
  <c r="BX117" i="38"/>
  <c r="BY117" i="38"/>
  <c r="CH117" i="38"/>
  <c r="CI117" i="38"/>
  <c r="BS117" i="38"/>
  <c r="BU117" i="38"/>
  <c r="BV117" i="38"/>
  <c r="DC107" i="38"/>
  <c r="CN107" i="38"/>
  <c r="DD107" i="38"/>
  <c r="CS107" i="38"/>
  <c r="DI107" i="38"/>
  <c r="CO107" i="38"/>
  <c r="DH107" i="38"/>
  <c r="CP107" i="38"/>
  <c r="CQ107" i="38"/>
  <c r="CR107" i="38"/>
  <c r="CO43" i="38"/>
  <c r="DE43" i="38"/>
  <c r="CP43" i="38"/>
  <c r="DF43" i="38"/>
  <c r="CV43" i="38"/>
  <c r="CW43" i="38"/>
  <c r="CX43" i="38"/>
  <c r="CY43" i="38"/>
  <c r="DB43" i="38"/>
  <c r="DC43" i="38"/>
  <c r="DD43" i="38"/>
  <c r="CU43" i="38"/>
  <c r="CZ43" i="38"/>
  <c r="DA43" i="38"/>
  <c r="DG43" i="38"/>
  <c r="DH43" i="38"/>
  <c r="CN43" i="38"/>
  <c r="CO27" i="38"/>
  <c r="DE27" i="38"/>
  <c r="CP27" i="38"/>
  <c r="DF27" i="38"/>
  <c r="CQ27" i="38"/>
  <c r="DG27" i="38"/>
  <c r="CR27" i="38"/>
  <c r="DH27" i="38"/>
  <c r="DA27" i="38"/>
  <c r="DB27" i="38"/>
  <c r="DC27" i="38"/>
  <c r="DD27" i="38"/>
  <c r="DI27" i="38"/>
  <c r="CN27" i="38"/>
  <c r="CS27" i="38"/>
  <c r="CT27" i="38"/>
  <c r="CU27" i="38"/>
  <c r="CV27" i="38"/>
  <c r="CW27" i="38"/>
  <c r="CX27" i="38"/>
  <c r="CS9" i="38"/>
  <c r="DI9" i="38"/>
  <c r="CT9" i="38"/>
  <c r="CU9" i="38"/>
  <c r="CV9" i="38"/>
  <c r="CY9" i="38"/>
  <c r="CZ9" i="38"/>
  <c r="DA9" i="38"/>
  <c r="DB9" i="38"/>
  <c r="CP9" i="38"/>
  <c r="CQ9" i="38"/>
  <c r="CR9" i="38"/>
  <c r="CW9" i="38"/>
  <c r="CX9" i="38"/>
  <c r="DD9" i="38"/>
  <c r="DE9" i="38"/>
  <c r="DF9" i="38"/>
  <c r="DG9" i="38"/>
  <c r="DH9" i="38"/>
  <c r="CN9" i="38"/>
  <c r="CO9" i="38"/>
  <c r="DC9" i="38"/>
  <c r="CR128" i="38"/>
  <c r="DD126" i="38"/>
  <c r="DF125" i="38"/>
  <c r="CZ107" i="38"/>
  <c r="DH88" i="38"/>
  <c r="CN76" i="38"/>
  <c r="CR52" i="38"/>
  <c r="DA44" i="38"/>
  <c r="DF40" i="38"/>
  <c r="CO12" i="38"/>
  <c r="CF116" i="38"/>
  <c r="CG116" i="38"/>
  <c r="BR116" i="38"/>
  <c r="CH116" i="38"/>
  <c r="BS116" i="38"/>
  <c r="CI116" i="38"/>
  <c r="BV116" i="38"/>
  <c r="BY116" i="38"/>
  <c r="BU116" i="38"/>
  <c r="BW116" i="38"/>
  <c r="BX116" i="38"/>
  <c r="BZ116" i="38"/>
  <c r="CC116" i="38"/>
  <c r="CD116" i="38"/>
  <c r="CE116" i="38"/>
  <c r="BT116" i="38"/>
  <c r="CB116" i="38"/>
  <c r="CL116" i="38"/>
  <c r="CM116" i="38"/>
  <c r="CF100" i="38"/>
  <c r="CG100" i="38"/>
  <c r="BR100" i="38"/>
  <c r="CH100" i="38"/>
  <c r="BS100" i="38"/>
  <c r="CI100" i="38"/>
  <c r="BV100" i="38"/>
  <c r="BW100" i="38"/>
  <c r="BY100" i="38"/>
  <c r="BZ100" i="38"/>
  <c r="CD100" i="38"/>
  <c r="CE100" i="38"/>
  <c r="BT100" i="38"/>
  <c r="CA100" i="38"/>
  <c r="CB100" i="38"/>
  <c r="CC100" i="38"/>
  <c r="BU100" i="38"/>
  <c r="CJ100" i="38"/>
  <c r="CK100" i="38"/>
  <c r="CW90" i="38"/>
  <c r="CX90" i="38"/>
  <c r="DC90" i="38"/>
  <c r="CV90" i="38"/>
  <c r="CY90" i="38"/>
  <c r="CZ90" i="38"/>
  <c r="DA90" i="38"/>
  <c r="DB90" i="38"/>
  <c r="CN90" i="38"/>
  <c r="DG90" i="38"/>
  <c r="CO90" i="38"/>
  <c r="DH90" i="38"/>
  <c r="CP90" i="38"/>
  <c r="DI90" i="38"/>
  <c r="CQ90" i="38"/>
  <c r="CW74" i="38"/>
  <c r="CX74" i="38"/>
  <c r="DB74" i="38"/>
  <c r="DC74" i="38"/>
  <c r="CZ74" i="38"/>
  <c r="DA74" i="38"/>
  <c r="DD74" i="38"/>
  <c r="DE74" i="38"/>
  <c r="DF74" i="38"/>
  <c r="CN74" i="38"/>
  <c r="DH74" i="38"/>
  <c r="CO74" i="38"/>
  <c r="DI74" i="38"/>
  <c r="CP74" i="38"/>
  <c r="CQ74" i="38"/>
  <c r="CR74" i="38"/>
  <c r="CS74" i="38"/>
  <c r="CY42" i="38"/>
  <c r="CZ42" i="38"/>
  <c r="DD42" i="38"/>
  <c r="DE42" i="38"/>
  <c r="CN42" i="38"/>
  <c r="DF42" i="38"/>
  <c r="CO42" i="38"/>
  <c r="DG42" i="38"/>
  <c r="CR42" i="38"/>
  <c r="CS42" i="38"/>
  <c r="CT42" i="38"/>
  <c r="CQ42" i="38"/>
  <c r="CU42" i="38"/>
  <c r="CV42" i="38"/>
  <c r="CW42" i="38"/>
  <c r="CX42" i="38"/>
  <c r="DB42" i="38"/>
  <c r="DC42" i="38"/>
  <c r="DH42" i="38"/>
  <c r="DI42" i="38"/>
  <c r="DA135" i="38"/>
  <c r="CM134" i="38"/>
  <c r="CQ128" i="38"/>
  <c r="DC126" i="38"/>
  <c r="DE125" i="38"/>
  <c r="CY107" i="38"/>
  <c r="DF88" i="38"/>
  <c r="DA55" i="38"/>
  <c r="CZ44" i="38"/>
  <c r="CY40" i="38"/>
  <c r="DA11" i="38"/>
  <c r="BR115" i="38"/>
  <c r="CH115" i="38"/>
  <c r="BS115" i="38"/>
  <c r="CI115" i="38"/>
  <c r="BT115" i="38"/>
  <c r="BU115" i="38"/>
  <c r="BX115" i="38"/>
  <c r="CA115" i="38"/>
  <c r="BW115" i="38"/>
  <c r="BY115" i="38"/>
  <c r="BZ115" i="38"/>
  <c r="CB115" i="38"/>
  <c r="BV115" i="38"/>
  <c r="CD115" i="38"/>
  <c r="CE115" i="38"/>
  <c r="CF115" i="38"/>
  <c r="CG115" i="38"/>
  <c r="BR99" i="38"/>
  <c r="CH99" i="38"/>
  <c r="BS99" i="38"/>
  <c r="CI99" i="38"/>
  <c r="BT99" i="38"/>
  <c r="BU99" i="38"/>
  <c r="BX99" i="38"/>
  <c r="BY99" i="38"/>
  <c r="CA99" i="38"/>
  <c r="CB99" i="38"/>
  <c r="BV99" i="38"/>
  <c r="BW99" i="38"/>
  <c r="CD99" i="38"/>
  <c r="CE99" i="38"/>
  <c r="CF99" i="38"/>
  <c r="CG99" i="38"/>
  <c r="CM99" i="38"/>
  <c r="BZ99" i="38"/>
  <c r="CC99" i="38"/>
  <c r="CJ99" i="38"/>
  <c r="CS57" i="38"/>
  <c r="DI57" i="38"/>
  <c r="CT57" i="38"/>
  <c r="CY57" i="38"/>
  <c r="CZ57" i="38"/>
  <c r="DD57" i="38"/>
  <c r="DE57" i="38"/>
  <c r="CN57" i="38"/>
  <c r="DF57" i="38"/>
  <c r="CU57" i="38"/>
  <c r="CV57" i="38"/>
  <c r="CW57" i="38"/>
  <c r="CX57" i="38"/>
  <c r="DA57" i="38"/>
  <c r="DC57" i="38"/>
  <c r="DG57" i="38"/>
  <c r="DH57" i="38"/>
  <c r="CS25" i="38"/>
  <c r="DI25" i="38"/>
  <c r="CT25" i="38"/>
  <c r="CU25" i="38"/>
  <c r="CV25" i="38"/>
  <c r="CY25" i="38"/>
  <c r="CN25" i="38"/>
  <c r="CO25" i="38"/>
  <c r="CP25" i="38"/>
  <c r="CQ25" i="38"/>
  <c r="CR25" i="38"/>
  <c r="CX25" i="38"/>
  <c r="CZ25" i="38"/>
  <c r="DA25" i="38"/>
  <c r="DB25" i="38"/>
  <c r="DC25" i="38"/>
  <c r="DG25" i="38"/>
  <c r="DH25" i="38"/>
  <c r="CW7" i="38"/>
  <c r="CX7" i="38"/>
  <c r="CY7" i="38"/>
  <c r="CZ7" i="38"/>
  <c r="DC7" i="38"/>
  <c r="CN7" i="38"/>
  <c r="DD7" i="38"/>
  <c r="CO7" i="38"/>
  <c r="DE7" i="38"/>
  <c r="CP7" i="38"/>
  <c r="DF7" i="38"/>
  <c r="CR7" i="38"/>
  <c r="CS7" i="38"/>
  <c r="CT7" i="38"/>
  <c r="CU7" i="38"/>
  <c r="CV7" i="38"/>
  <c r="CQ7" i="38"/>
  <c r="DA7" i="38"/>
  <c r="DB7" i="38"/>
  <c r="DG7" i="38"/>
  <c r="DH7" i="38"/>
  <c r="DI7" i="38"/>
  <c r="CZ135" i="38"/>
  <c r="CL134" i="38"/>
  <c r="CP128" i="38"/>
  <c r="DB126" i="38"/>
  <c r="DD125" i="38"/>
  <c r="CX107" i="38"/>
  <c r="CM102" i="38"/>
  <c r="DF90" i="38"/>
  <c r="CP55" i="38"/>
  <c r="CY44" i="38"/>
  <c r="CZ11" i="38"/>
  <c r="BT114" i="38"/>
  <c r="BU114" i="38"/>
  <c r="BV114" i="38"/>
  <c r="BW114" i="38"/>
  <c r="BZ114" i="38"/>
  <c r="CC114" i="38"/>
  <c r="CE114" i="38"/>
  <c r="CF114" i="38"/>
  <c r="CG114" i="38"/>
  <c r="CH114" i="38"/>
  <c r="BR114" i="38"/>
  <c r="CA114" i="38"/>
  <c r="CB114" i="38"/>
  <c r="CD114" i="38"/>
  <c r="CI114" i="38"/>
  <c r="BS114" i="38"/>
  <c r="CB18" i="38"/>
  <c r="CD18" i="38"/>
  <c r="CE18" i="38"/>
  <c r="CF18" i="38"/>
  <c r="CG18" i="38"/>
  <c r="BS18" i="38"/>
  <c r="CI18" i="38"/>
  <c r="BT18" i="38"/>
  <c r="BU18" i="38"/>
  <c r="BV18" i="38"/>
  <c r="CA18" i="38"/>
  <c r="BR18" i="38"/>
  <c r="BY18" i="38"/>
  <c r="BZ18" i="38"/>
  <c r="CC18" i="38"/>
  <c r="CH18" i="38"/>
  <c r="CJ18" i="38"/>
  <c r="CK18" i="38"/>
  <c r="CL18" i="38"/>
  <c r="BW18" i="38"/>
  <c r="BX18" i="38"/>
  <c r="DA88" i="38"/>
  <c r="DB88" i="38"/>
  <c r="CQ88" i="38"/>
  <c r="DG88" i="38"/>
  <c r="CP88" i="38"/>
  <c r="CR88" i="38"/>
  <c r="CS88" i="38"/>
  <c r="CT88" i="38"/>
  <c r="CU88" i="38"/>
  <c r="CW88" i="38"/>
  <c r="CX88" i="38"/>
  <c r="CY88" i="38"/>
  <c r="CZ88" i="38"/>
  <c r="DC88" i="38"/>
  <c r="DD88" i="38"/>
  <c r="DC40" i="38"/>
  <c r="CN40" i="38"/>
  <c r="DD40" i="38"/>
  <c r="CZ40" i="38"/>
  <c r="DA40" i="38"/>
  <c r="DB40" i="38"/>
  <c r="DE40" i="38"/>
  <c r="CP40" i="38"/>
  <c r="DH40" i="38"/>
  <c r="CQ40" i="38"/>
  <c r="DI40" i="38"/>
  <c r="CR40" i="38"/>
  <c r="CS40" i="38"/>
  <c r="CT40" i="38"/>
  <c r="CU40" i="38"/>
  <c r="CV40" i="38"/>
  <c r="CW40" i="38"/>
  <c r="CX40" i="38"/>
  <c r="DC24" i="38"/>
  <c r="CN24" i="38"/>
  <c r="DD24" i="38"/>
  <c r="CO24" i="38"/>
  <c r="DE24" i="38"/>
  <c r="CP24" i="38"/>
  <c r="DF24" i="38"/>
  <c r="CS24" i="38"/>
  <c r="DI24" i="38"/>
  <c r="CT24" i="38"/>
  <c r="CQ24" i="38"/>
  <c r="CR24" i="38"/>
  <c r="CU24" i="38"/>
  <c r="CV24" i="38"/>
  <c r="CX24" i="38"/>
  <c r="CY24" i="38"/>
  <c r="CZ24" i="38"/>
  <c r="DA24" i="38"/>
  <c r="DB24" i="38"/>
  <c r="CW24" i="38"/>
  <c r="DG24" i="38"/>
  <c r="DH24" i="38"/>
  <c r="DI128" i="38"/>
  <c r="CO128" i="38"/>
  <c r="CW126" i="38"/>
  <c r="DC125" i="38"/>
  <c r="CM119" i="38"/>
  <c r="CM115" i="38"/>
  <c r="CW107" i="38"/>
  <c r="CL102" i="38"/>
  <c r="DH96" i="38"/>
  <c r="DG93" i="38"/>
  <c r="DE90" i="38"/>
  <c r="CV88" i="38"/>
  <c r="CX61" i="38"/>
  <c r="DI43" i="38"/>
  <c r="CZ27" i="38"/>
  <c r="CS10" i="38"/>
  <c r="BV113" i="38"/>
  <c r="BW113" i="38"/>
  <c r="BX113" i="38"/>
  <c r="BY113" i="38"/>
  <c r="CB113" i="38"/>
  <c r="CE113" i="38"/>
  <c r="BU113" i="38"/>
  <c r="BZ113" i="38"/>
  <c r="CA113" i="38"/>
  <c r="CC113" i="38"/>
  <c r="CG113" i="38"/>
  <c r="CH113" i="38"/>
  <c r="CI113" i="38"/>
  <c r="BR113" i="38"/>
  <c r="BS113" i="38"/>
  <c r="BT113" i="38"/>
  <c r="CJ113" i="38"/>
  <c r="CK113" i="38"/>
  <c r="CL113" i="38"/>
  <c r="CM113" i="38"/>
  <c r="CD113" i="38"/>
  <c r="CF113" i="38"/>
  <c r="CN135" i="38"/>
  <c r="DD135" i="38"/>
  <c r="CO135" i="38"/>
  <c r="DE135" i="38"/>
  <c r="CP135" i="38"/>
  <c r="DF135" i="38"/>
  <c r="CQ135" i="38"/>
  <c r="DG135" i="38"/>
  <c r="CU87" i="38"/>
  <c r="CV87" i="38"/>
  <c r="DA87" i="38"/>
  <c r="CW87" i="38"/>
  <c r="CX87" i="38"/>
  <c r="CY87" i="38"/>
  <c r="CZ87" i="38"/>
  <c r="DB87" i="38"/>
  <c r="DD87" i="38"/>
  <c r="DE87" i="38"/>
  <c r="DF87" i="38"/>
  <c r="CN87" i="38"/>
  <c r="DG87" i="38"/>
  <c r="CO87" i="38"/>
  <c r="DH87" i="38"/>
  <c r="CP87" i="38"/>
  <c r="DI87" i="38"/>
  <c r="CU71" i="38"/>
  <c r="CV71" i="38"/>
  <c r="CZ71" i="38"/>
  <c r="DA71" i="38"/>
  <c r="DB71" i="38"/>
  <c r="CO71" i="38"/>
  <c r="CP71" i="38"/>
  <c r="CQ71" i="38"/>
  <c r="CR71" i="38"/>
  <c r="CS71" i="38"/>
  <c r="CW71" i="38"/>
  <c r="CX71" i="38"/>
  <c r="CY71" i="38"/>
  <c r="DC71" i="38"/>
  <c r="DD71" i="38"/>
  <c r="DE71" i="38"/>
  <c r="CW55" i="38"/>
  <c r="CX55" i="38"/>
  <c r="CT55" i="38"/>
  <c r="CU55" i="38"/>
  <c r="CV55" i="38"/>
  <c r="DB55" i="38"/>
  <c r="DC55" i="38"/>
  <c r="DD55" i="38"/>
  <c r="CQ55" i="38"/>
  <c r="CR55" i="38"/>
  <c r="CS55" i="38"/>
  <c r="CY55" i="38"/>
  <c r="CZ55" i="38"/>
  <c r="DE55" i="38"/>
  <c r="DF55" i="38"/>
  <c r="DG55" i="38"/>
  <c r="DH55" i="38"/>
  <c r="DI55" i="38"/>
  <c r="CW23" i="38"/>
  <c r="CX23" i="38"/>
  <c r="CY23" i="38"/>
  <c r="CZ23" i="38"/>
  <c r="DC23" i="38"/>
  <c r="CN23" i="38"/>
  <c r="DD23" i="38"/>
  <c r="CP23" i="38"/>
  <c r="CQ23" i="38"/>
  <c r="CR23" i="38"/>
  <c r="CS23" i="38"/>
  <c r="CT23" i="38"/>
  <c r="CV23" i="38"/>
  <c r="DA23" i="38"/>
  <c r="DB23" i="38"/>
  <c r="DE23" i="38"/>
  <c r="DF23" i="38"/>
  <c r="CU23" i="38"/>
  <c r="DG23" i="38"/>
  <c r="DH23" i="38"/>
  <c r="DI23" i="38"/>
  <c r="CX135" i="38"/>
  <c r="DH128" i="38"/>
  <c r="CN128" i="38"/>
  <c r="CV126" i="38"/>
  <c r="DB125" i="38"/>
  <c r="CL119" i="38"/>
  <c r="CL115" i="38"/>
  <c r="CV107" i="38"/>
  <c r="CK102" i="38"/>
  <c r="DF96" i="38"/>
  <c r="DF93" i="38"/>
  <c r="DD90" i="38"/>
  <c r="CO88" i="38"/>
  <c r="CR61" i="38"/>
  <c r="CN55" i="38"/>
  <c r="CT43" i="38"/>
  <c r="CY27" i="38"/>
  <c r="BX112" i="38"/>
  <c r="BY112" i="38"/>
  <c r="BZ112" i="38"/>
  <c r="CA112" i="38"/>
  <c r="CD112" i="38"/>
  <c r="CG112" i="38"/>
  <c r="BR112" i="38"/>
  <c r="BS112" i="38"/>
  <c r="BT112" i="38"/>
  <c r="BW112" i="38"/>
  <c r="CB112" i="38"/>
  <c r="CC112" i="38"/>
  <c r="CE112" i="38"/>
  <c r="CF112" i="38"/>
  <c r="BU112" i="38"/>
  <c r="CH112" i="38"/>
  <c r="CI112" i="38"/>
  <c r="BV112" i="38"/>
  <c r="CQ54" i="38"/>
  <c r="DG54" i="38"/>
  <c r="CR54" i="38"/>
  <c r="DH54" i="38"/>
  <c r="DB54" i="38"/>
  <c r="DC54" i="38"/>
  <c r="DD54" i="38"/>
  <c r="CP54" i="38"/>
  <c r="CS54" i="38"/>
  <c r="CT54" i="38"/>
  <c r="CN54" i="38"/>
  <c r="CO54" i="38"/>
  <c r="CU54" i="38"/>
  <c r="CV54" i="38"/>
  <c r="CW54" i="38"/>
  <c r="CY54" i="38"/>
  <c r="CZ54" i="38"/>
  <c r="DA54" i="38"/>
  <c r="DE54" i="38"/>
  <c r="DF54" i="38"/>
  <c r="DI54" i="38"/>
  <c r="CQ22" i="38"/>
  <c r="DG22" i="38"/>
  <c r="CR22" i="38"/>
  <c r="DH22" i="38"/>
  <c r="CS22" i="38"/>
  <c r="DI22" i="38"/>
  <c r="CT22" i="38"/>
  <c r="CW22" i="38"/>
  <c r="CX22" i="38"/>
  <c r="CN22" i="38"/>
  <c r="CO22" i="38"/>
  <c r="CP22" i="38"/>
  <c r="CU22" i="38"/>
  <c r="CV22" i="38"/>
  <c r="CZ22" i="38"/>
  <c r="DA22" i="38"/>
  <c r="DB22" i="38"/>
  <c r="DC22" i="38"/>
  <c r="DD22" i="38"/>
  <c r="CY22" i="38"/>
  <c r="DE22" i="38"/>
  <c r="CW135" i="38"/>
  <c r="DG128" i="38"/>
  <c r="CU126" i="38"/>
  <c r="DA125" i="38"/>
  <c r="CK119" i="38"/>
  <c r="CK115" i="38"/>
  <c r="CM114" i="38"/>
  <c r="CU107" i="38"/>
  <c r="DE96" i="38"/>
  <c r="DD93" i="38"/>
  <c r="CU90" i="38"/>
  <c r="CN88" i="38"/>
  <c r="CQ61" i="38"/>
  <c r="CS43" i="38"/>
  <c r="CM18" i="38"/>
  <c r="CW15" i="38"/>
  <c r="CX15" i="38"/>
  <c r="CY15" i="38"/>
  <c r="CZ15" i="38"/>
  <c r="DC15" i="38"/>
  <c r="CN15" i="38"/>
  <c r="DD15" i="38"/>
  <c r="CR15" i="38"/>
  <c r="CS15" i="38"/>
  <c r="CT15" i="38"/>
  <c r="CU15" i="38"/>
  <c r="CV15" i="38"/>
  <c r="DB15" i="38"/>
  <c r="DE15" i="38"/>
  <c r="DF15" i="38"/>
  <c r="DG15" i="38"/>
  <c r="DH15" i="38"/>
  <c r="DA15" i="38"/>
  <c r="W28" i="39"/>
  <c r="W23" i="39"/>
  <c r="W24" i="39"/>
  <c r="W25" i="39"/>
  <c r="W26" i="39"/>
  <c r="W27" i="39"/>
  <c r="W9" i="39"/>
  <c r="W10" i="39"/>
  <c r="W11" i="39"/>
  <c r="W12" i="39"/>
  <c r="W13" i="39"/>
  <c r="W14" i="39"/>
  <c r="W15" i="39"/>
  <c r="W16" i="39"/>
  <c r="W17" i="39"/>
  <c r="W18" i="39"/>
  <c r="W19" i="39"/>
  <c r="W20" i="39"/>
  <c r="W21" i="39"/>
  <c r="W22" i="39"/>
  <c r="W8" i="39"/>
  <c r="U9" i="36"/>
  <c r="U10" i="36"/>
  <c r="U11" i="36"/>
  <c r="U12" i="36"/>
  <c r="U13" i="36"/>
  <c r="U14" i="36"/>
  <c r="U15" i="36"/>
  <c r="U16" i="36"/>
  <c r="U17" i="36"/>
  <c r="U18" i="36"/>
  <c r="U19" i="36"/>
  <c r="U20" i="36"/>
  <c r="U21" i="36"/>
  <c r="U22" i="36"/>
  <c r="U23" i="36"/>
  <c r="U24" i="36"/>
  <c r="U25" i="36"/>
  <c r="U26" i="36"/>
  <c r="U27" i="36"/>
  <c r="U28" i="36"/>
  <c r="U29" i="36"/>
  <c r="T12" i="36" l="1"/>
  <c r="T14" i="36"/>
  <c r="T16" i="36"/>
  <c r="T17" i="36"/>
  <c r="T23" i="36"/>
  <c r="T24" i="36"/>
  <c r="T25" i="36"/>
  <c r="T27" i="36"/>
  <c r="T28" i="36"/>
  <c r="S16" i="36"/>
  <c r="S17" i="36"/>
  <c r="S18" i="36"/>
  <c r="S23" i="36"/>
  <c r="S24" i="36"/>
  <c r="S25" i="36"/>
  <c r="S26" i="36"/>
  <c r="S27" i="36"/>
  <c r="S28" i="36"/>
  <c r="Q17" i="36" l="1"/>
  <c r="Q18" i="36"/>
  <c r="Q19" i="36"/>
  <c r="Q20" i="36"/>
  <c r="Q21" i="36"/>
  <c r="Q22" i="36"/>
  <c r="Q23" i="36"/>
  <c r="Q24" i="36"/>
  <c r="Q25" i="36"/>
  <c r="Q26" i="36"/>
  <c r="Q27" i="36"/>
  <c r="Q28" i="36"/>
  <c r="Y28" i="39" s="1"/>
  <c r="Q29" i="36"/>
  <c r="R29" i="36" s="1"/>
  <c r="W17" i="36"/>
  <c r="W18" i="36"/>
  <c r="W23" i="36"/>
  <c r="W24" i="36"/>
  <c r="W26" i="36"/>
  <c r="W27" i="36"/>
  <c r="W28" i="36"/>
  <c r="X17" i="36"/>
  <c r="X23" i="36"/>
  <c r="X24" i="36"/>
  <c r="X25" i="36"/>
  <c r="X27" i="36"/>
  <c r="X28" i="36"/>
  <c r="Y17" i="36"/>
  <c r="Y18" i="36"/>
  <c r="Y19" i="36"/>
  <c r="Y20" i="36"/>
  <c r="Y21" i="36"/>
  <c r="Y22" i="36"/>
  <c r="Y23" i="36"/>
  <c r="Y24" i="36"/>
  <c r="Y25" i="36"/>
  <c r="Y26" i="36"/>
  <c r="Y27" i="36"/>
  <c r="Y28" i="36"/>
  <c r="Y29" i="36"/>
  <c r="Q14" i="36"/>
  <c r="Y14" i="36"/>
  <c r="Q15" i="36"/>
  <c r="Q11" i="36"/>
  <c r="Y11" i="36"/>
  <c r="Y10" i="36"/>
  <c r="Q10" i="36"/>
  <c r="Y10" i="39" s="1"/>
  <c r="Y11" i="39" l="1"/>
  <c r="R11" i="36"/>
  <c r="L11" i="36" s="1"/>
  <c r="L29" i="36"/>
  <c r="Y15" i="39"/>
  <c r="R15" i="36"/>
  <c r="L15" i="36" s="1"/>
  <c r="R27" i="36"/>
  <c r="L27" i="36" s="1"/>
  <c r="Y27" i="39"/>
  <c r="Y26" i="39"/>
  <c r="R26" i="36"/>
  <c r="L26" i="36" s="1"/>
  <c r="Y23" i="39"/>
  <c r="R23" i="36"/>
  <c r="L23" i="36" s="1"/>
  <c r="Y25" i="39"/>
  <c r="R25" i="36"/>
  <c r="L25" i="36" s="1"/>
  <c r="Y22" i="39"/>
  <c r="R22" i="36"/>
  <c r="L22" i="36" s="1"/>
  <c r="Y21" i="39"/>
  <c r="R21" i="36"/>
  <c r="L21" i="36" s="1"/>
  <c r="Y20" i="39"/>
  <c r="R20" i="36"/>
  <c r="L20" i="36" s="1"/>
  <c r="Y14" i="39"/>
  <c r="R14" i="36"/>
  <c r="L14" i="36" s="1"/>
  <c r="Y19" i="39"/>
  <c r="R19" i="36"/>
  <c r="L19" i="36" s="1"/>
  <c r="Y24" i="39"/>
  <c r="R24" i="36"/>
  <c r="L24" i="36" s="1"/>
  <c r="Y18" i="39"/>
  <c r="R18" i="36"/>
  <c r="L18" i="36" s="1"/>
  <c r="Y17" i="39"/>
  <c r="R17" i="36"/>
  <c r="L17" i="36" s="1"/>
  <c r="V24" i="36"/>
  <c r="V25" i="36"/>
  <c r="X25" i="39" s="1"/>
  <c r="W25" i="36"/>
  <c r="V23" i="36"/>
  <c r="X23" i="39" s="1"/>
  <c r="V17" i="36"/>
  <c r="X17" i="39" s="1"/>
  <c r="V28" i="36"/>
  <c r="X28" i="39" s="1"/>
  <c r="V27" i="36"/>
  <c r="X27" i="39" s="1"/>
  <c r="X14" i="36"/>
  <c r="Y15" i="36"/>
  <c r="Z24" i="36" l="1"/>
  <c r="X24" i="39"/>
  <c r="AA24" i="36"/>
  <c r="Z25" i="36"/>
  <c r="AA25" i="36"/>
  <c r="AA23" i="36"/>
  <c r="D24" i="39" s="1"/>
  <c r="Z23" i="36"/>
  <c r="Z28" i="36"/>
  <c r="AA17" i="36"/>
  <c r="D17" i="39" s="1"/>
  <c r="Z17" i="36"/>
  <c r="AA27" i="36"/>
  <c r="Z27" i="36"/>
  <c r="D25" i="39" l="1"/>
  <c r="AB7" i="25" l="1"/>
  <c r="AB8" i="25"/>
  <c r="AB9" i="25"/>
  <c r="AB10" i="25"/>
  <c r="AB11" i="25"/>
  <c r="AB12" i="25"/>
  <c r="AB13" i="25"/>
  <c r="AB6" i="25"/>
  <c r="AA7" i="25"/>
  <c r="AA8" i="25"/>
  <c r="AA9" i="25"/>
  <c r="AA10" i="25"/>
  <c r="AA11" i="25"/>
  <c r="AA12" i="25"/>
  <c r="AA13" i="25"/>
  <c r="AA6" i="25"/>
  <c r="Z7" i="25"/>
  <c r="Z8" i="25"/>
  <c r="Z9" i="25"/>
  <c r="Z10" i="25"/>
  <c r="Z11" i="25"/>
  <c r="Z12" i="25"/>
  <c r="Z13" i="25"/>
  <c r="Z6" i="25"/>
  <c r="Y7" i="25"/>
  <c r="Y8" i="25"/>
  <c r="Y9" i="25"/>
  <c r="Y10" i="25"/>
  <c r="Y11" i="25"/>
  <c r="Y12" i="25"/>
  <c r="Y13" i="25"/>
  <c r="Y6" i="25"/>
  <c r="X7" i="25"/>
  <c r="X8" i="25"/>
  <c r="X9" i="25"/>
  <c r="X10" i="25"/>
  <c r="X11" i="25"/>
  <c r="X12" i="25"/>
  <c r="X13" i="25"/>
  <c r="X6" i="25"/>
  <c r="B5" i="5"/>
  <c r="V7" i="25"/>
  <c r="V8" i="25"/>
  <c r="V9" i="25"/>
  <c r="V10" i="25"/>
  <c r="V11" i="25"/>
  <c r="V12" i="25"/>
  <c r="V13" i="25"/>
  <c r="V6" i="25"/>
  <c r="Q9" i="36"/>
  <c r="Q12" i="36"/>
  <c r="Q13" i="36"/>
  <c r="Q16" i="36"/>
  <c r="Q8" i="36"/>
  <c r="K7" i="25" l="1" a="1"/>
  <c r="K7" i="25" s="1"/>
  <c r="K13" i="25" a="1"/>
  <c r="K13" i="25" s="1"/>
  <c r="K12" i="25" a="1"/>
  <c r="K12" i="25" s="1"/>
  <c r="K11" i="25" a="1"/>
  <c r="K11" i="25" s="1"/>
  <c r="K10" i="25" a="1"/>
  <c r="K10" i="25" s="1"/>
  <c r="K6" i="25" a="1"/>
  <c r="K6" i="25" s="1"/>
  <c r="K9" i="25" a="1"/>
  <c r="K9" i="25" s="1"/>
  <c r="K8" i="25" a="1"/>
  <c r="K8" i="25" s="1"/>
  <c r="Y12" i="39"/>
  <c r="R12" i="36"/>
  <c r="L12" i="36" s="1"/>
  <c r="Y16" i="39"/>
  <c r="R16" i="36"/>
  <c r="L16" i="36" s="1"/>
  <c r="Y9" i="39"/>
  <c r="R9" i="36"/>
  <c r="Y8" i="39"/>
  <c r="R8" i="36"/>
  <c r="Y13" i="39"/>
  <c r="R13" i="36"/>
  <c r="L13" i="36" s="1"/>
  <c r="R28" i="36"/>
  <c r="L28" i="36" s="1"/>
  <c r="R10" i="36"/>
  <c r="L10" i="36" s="1"/>
  <c r="Y9" i="36"/>
  <c r="U8" i="36"/>
  <c r="O7" i="20"/>
  <c r="P7" i="20"/>
  <c r="Q7" i="20"/>
  <c r="R7" i="20"/>
  <c r="T7" i="20"/>
  <c r="U7" i="20"/>
  <c r="V7" i="20"/>
  <c r="W7" i="20"/>
  <c r="O8" i="20"/>
  <c r="P8" i="20"/>
  <c r="Q8" i="20"/>
  <c r="R8" i="20"/>
  <c r="T8" i="20"/>
  <c r="U8" i="20"/>
  <c r="V8" i="20"/>
  <c r="W8" i="20"/>
  <c r="O9" i="20"/>
  <c r="P9" i="20"/>
  <c r="Q9" i="20"/>
  <c r="R9" i="20"/>
  <c r="T9" i="20"/>
  <c r="U9" i="20"/>
  <c r="V9" i="20"/>
  <c r="W9" i="20"/>
  <c r="O10" i="20"/>
  <c r="P10" i="20"/>
  <c r="Q10" i="20"/>
  <c r="R10" i="20"/>
  <c r="T10" i="20"/>
  <c r="U10" i="20"/>
  <c r="V10" i="20"/>
  <c r="W10" i="20"/>
  <c r="O11" i="20"/>
  <c r="P11" i="20"/>
  <c r="Q11" i="20"/>
  <c r="R11" i="20"/>
  <c r="T11" i="20"/>
  <c r="U11" i="20"/>
  <c r="V11" i="20"/>
  <c r="W11" i="20"/>
  <c r="O12" i="20"/>
  <c r="P12" i="20"/>
  <c r="Q12" i="20"/>
  <c r="R12" i="20"/>
  <c r="T12" i="20"/>
  <c r="U12" i="20"/>
  <c r="V12" i="20"/>
  <c r="W12" i="20"/>
  <c r="O13" i="20"/>
  <c r="P13" i="20"/>
  <c r="Q13" i="20"/>
  <c r="R13" i="20"/>
  <c r="T13" i="20"/>
  <c r="U13" i="20"/>
  <c r="V13" i="20"/>
  <c r="W13" i="20"/>
  <c r="O14" i="20"/>
  <c r="P14" i="20"/>
  <c r="Q14" i="20"/>
  <c r="R14" i="20"/>
  <c r="T14" i="20"/>
  <c r="U14" i="20"/>
  <c r="V14" i="20"/>
  <c r="W14" i="20"/>
  <c r="O15" i="20"/>
  <c r="P15" i="20"/>
  <c r="Q15" i="20"/>
  <c r="R15" i="20"/>
  <c r="T15" i="20"/>
  <c r="U15" i="20"/>
  <c r="V15" i="20"/>
  <c r="W15" i="20"/>
  <c r="O16" i="20"/>
  <c r="P16" i="20"/>
  <c r="Q16" i="20"/>
  <c r="R16" i="20"/>
  <c r="T16" i="20"/>
  <c r="U16" i="20"/>
  <c r="V16" i="20"/>
  <c r="W16" i="20"/>
  <c r="O17" i="20"/>
  <c r="P17" i="20"/>
  <c r="Q17" i="20"/>
  <c r="R17" i="20"/>
  <c r="T17" i="20"/>
  <c r="U17" i="20"/>
  <c r="V17" i="20"/>
  <c r="W17" i="20"/>
  <c r="O18" i="20"/>
  <c r="P18" i="20"/>
  <c r="Q18" i="20"/>
  <c r="R18" i="20"/>
  <c r="T18" i="20"/>
  <c r="U18" i="20"/>
  <c r="V18" i="20"/>
  <c r="W18" i="20"/>
  <c r="O19" i="20"/>
  <c r="P19" i="20"/>
  <c r="Q19" i="20"/>
  <c r="R19" i="20"/>
  <c r="T19" i="20"/>
  <c r="U19" i="20"/>
  <c r="V19" i="20"/>
  <c r="W19" i="20"/>
  <c r="O20" i="20"/>
  <c r="P20" i="20"/>
  <c r="Q20" i="20"/>
  <c r="R20" i="20"/>
  <c r="T20" i="20"/>
  <c r="U20" i="20"/>
  <c r="V20" i="20"/>
  <c r="W20" i="20"/>
  <c r="O21" i="20"/>
  <c r="P21" i="20"/>
  <c r="Q21" i="20"/>
  <c r="R21" i="20"/>
  <c r="T21" i="20"/>
  <c r="U21" i="20"/>
  <c r="V21" i="20"/>
  <c r="W21" i="20"/>
  <c r="O22" i="20"/>
  <c r="P22" i="20"/>
  <c r="Q22" i="20"/>
  <c r="R22" i="20"/>
  <c r="T22" i="20"/>
  <c r="U22" i="20"/>
  <c r="V22" i="20"/>
  <c r="W22" i="20"/>
  <c r="O23" i="20"/>
  <c r="P23" i="20"/>
  <c r="Q23" i="20"/>
  <c r="R23" i="20"/>
  <c r="T23" i="20"/>
  <c r="U23" i="20"/>
  <c r="V23" i="20"/>
  <c r="W23" i="20"/>
  <c r="P6" i="20"/>
  <c r="Q6" i="20"/>
  <c r="R6" i="20"/>
  <c r="T6" i="20"/>
  <c r="U6" i="20"/>
  <c r="V6" i="20"/>
  <c r="W6" i="20"/>
  <c r="O6" i="20"/>
  <c r="AA28" i="36" l="1"/>
  <c r="X23" i="20"/>
  <c r="X13" i="20"/>
  <c r="X17" i="20"/>
  <c r="S14" i="20"/>
  <c r="X19" i="20"/>
  <c r="X9" i="20"/>
  <c r="X7" i="20"/>
  <c r="X21" i="20"/>
  <c r="X15" i="20"/>
  <c r="X11" i="20"/>
  <c r="S11" i="20"/>
  <c r="S21" i="20"/>
  <c r="S7" i="20"/>
  <c r="S23" i="20"/>
  <c r="S17" i="20"/>
  <c r="S13" i="20"/>
  <c r="S9" i="20"/>
  <c r="S19" i="20"/>
  <c r="S15" i="20"/>
  <c r="S6" i="20"/>
  <c r="X18" i="20"/>
  <c r="X16" i="20"/>
  <c r="X14" i="20"/>
  <c r="X12" i="20"/>
  <c r="X10" i="20"/>
  <c r="X8" i="20"/>
  <c r="X20" i="20"/>
  <c r="X6" i="20"/>
  <c r="S20" i="20"/>
  <c r="S16" i="20"/>
  <c r="S10" i="20"/>
  <c r="S8" i="20"/>
  <c r="S18" i="20"/>
  <c r="S12" i="20"/>
  <c r="X22" i="20"/>
  <c r="S22" i="20"/>
  <c r="V16" i="36"/>
  <c r="L9" i="36"/>
  <c r="Z5" i="2"/>
  <c r="Y5" i="2"/>
  <c r="X5" i="2"/>
  <c r="W5" i="2"/>
  <c r="V5" i="2"/>
  <c r="U5" i="2"/>
  <c r="T5" i="2"/>
  <c r="S5" i="2"/>
  <c r="R5" i="2"/>
  <c r="Q5" i="2"/>
  <c r="P5" i="2"/>
  <c r="O5" i="2"/>
  <c r="N5" i="2"/>
  <c r="M5" i="2"/>
  <c r="L5" i="2"/>
  <c r="K5" i="2"/>
  <c r="J5" i="2"/>
  <c r="I5" i="2"/>
  <c r="H5" i="2"/>
  <c r="G5" i="2"/>
  <c r="F5" i="2"/>
  <c r="E5" i="2"/>
  <c r="D5" i="2"/>
  <c r="C5" i="2"/>
  <c r="M4" i="49"/>
  <c r="M5" i="49"/>
  <c r="M6" i="49"/>
  <c r="M7" i="49"/>
  <c r="E4" i="49"/>
  <c r="F4" i="49"/>
  <c r="G4" i="49"/>
  <c r="H4" i="49"/>
  <c r="I4" i="49"/>
  <c r="J4" i="49"/>
  <c r="K4" i="49"/>
  <c r="L4" i="49"/>
  <c r="E5" i="49"/>
  <c r="F5" i="49"/>
  <c r="G5" i="49"/>
  <c r="H5" i="49"/>
  <c r="I5" i="49"/>
  <c r="J5" i="49"/>
  <c r="K5" i="49"/>
  <c r="L5" i="49"/>
  <c r="E6" i="49"/>
  <c r="F6" i="49"/>
  <c r="G6" i="49"/>
  <c r="H6" i="49"/>
  <c r="I6" i="49"/>
  <c r="J6" i="49"/>
  <c r="K6" i="49"/>
  <c r="L6" i="49"/>
  <c r="E7" i="49"/>
  <c r="F7" i="49"/>
  <c r="G7" i="49"/>
  <c r="H7" i="49"/>
  <c r="I7" i="49"/>
  <c r="J7" i="49"/>
  <c r="K7" i="49"/>
  <c r="L7" i="49"/>
  <c r="D4" i="49"/>
  <c r="D5" i="49"/>
  <c r="D6" i="49"/>
  <c r="D7" i="49"/>
  <c r="B5" i="2"/>
  <c r="B5" i="49"/>
  <c r="B6" i="49"/>
  <c r="B7" i="49"/>
  <c r="B4" i="49"/>
  <c r="D28" i="39" l="1"/>
  <c r="T21" i="36"/>
  <c r="X21" i="36" s="1"/>
  <c r="T22" i="36"/>
  <c r="T9" i="36"/>
  <c r="T10" i="36"/>
  <c r="X10" i="36" s="1"/>
  <c r="T11" i="36"/>
  <c r="T13" i="36"/>
  <c r="T29" i="36"/>
  <c r="X29" i="36" s="1"/>
  <c r="T15" i="36"/>
  <c r="X15" i="36" s="1"/>
  <c r="T18" i="36"/>
  <c r="T19" i="36"/>
  <c r="X19" i="36" s="1"/>
  <c r="T26" i="36"/>
  <c r="T20" i="36"/>
  <c r="X20" i="36" s="1"/>
  <c r="B138" i="38"/>
  <c r="B22" i="36"/>
  <c r="B23" i="36"/>
  <c r="C8" i="22"/>
  <c r="B24" i="36"/>
  <c r="B10" i="36"/>
  <c r="C11" i="22"/>
  <c r="B25" i="36"/>
  <c r="B26" i="36"/>
  <c r="C10" i="22"/>
  <c r="B27" i="36"/>
  <c r="C9" i="22"/>
  <c r="B28" i="36"/>
  <c r="B29" i="36"/>
  <c r="C7" i="22"/>
  <c r="B18" i="36"/>
  <c r="B14" i="36"/>
  <c r="C6" i="22"/>
  <c r="C5" i="22"/>
  <c r="B17" i="36"/>
  <c r="B15" i="36"/>
  <c r="B19" i="36"/>
  <c r="B11" i="36"/>
  <c r="B20" i="36"/>
  <c r="B21" i="36"/>
  <c r="B114" i="38"/>
  <c r="B115" i="38"/>
  <c r="B73" i="38"/>
  <c r="B84" i="38"/>
  <c r="B129" i="38"/>
  <c r="B122" i="38"/>
  <c r="B123" i="38"/>
  <c r="B124" i="38"/>
  <c r="B74" i="38"/>
  <c r="B108" i="38"/>
  <c r="B109" i="38"/>
  <c r="B99" i="38"/>
  <c r="B77" i="38"/>
  <c r="B106" i="38"/>
  <c r="B100" i="38"/>
  <c r="B79" i="38"/>
  <c r="B76" i="38"/>
  <c r="B33" i="38"/>
  <c r="B26" i="38"/>
  <c r="B35" i="38"/>
  <c r="B36" i="38"/>
  <c r="B37" i="38"/>
  <c r="B38" i="38"/>
  <c r="B67" i="38"/>
  <c r="B54" i="38"/>
  <c r="B40" i="38"/>
  <c r="B49" i="38"/>
  <c r="B39" i="38"/>
  <c r="B32" i="38"/>
  <c r="B28" i="38"/>
  <c r="B34" i="38"/>
  <c r="B29" i="38"/>
  <c r="B27" i="38"/>
  <c r="B31" i="38"/>
  <c r="S21" i="36"/>
  <c r="S10" i="36"/>
  <c r="S11" i="36"/>
  <c r="S14" i="36"/>
  <c r="S29" i="36"/>
  <c r="S15" i="36"/>
  <c r="S19" i="36"/>
  <c r="S20" i="36"/>
  <c r="S22" i="36"/>
  <c r="S9" i="36"/>
  <c r="S12" i="36"/>
  <c r="V12" i="36" s="1"/>
  <c r="S13" i="36"/>
  <c r="AA16" i="36"/>
  <c r="D16" i="39" s="1"/>
  <c r="X16" i="39"/>
  <c r="X11" i="36"/>
  <c r="X22" i="36"/>
  <c r="B9" i="36"/>
  <c r="B16" i="38"/>
  <c r="B46" i="38"/>
  <c r="B61" i="38"/>
  <c r="B70" i="38"/>
  <c r="B93" i="38"/>
  <c r="B137" i="38"/>
  <c r="B12" i="36"/>
  <c r="B10" i="38"/>
  <c r="B45" i="38"/>
  <c r="B63" i="38"/>
  <c r="B71" i="38"/>
  <c r="B96" i="38"/>
  <c r="B135" i="38"/>
  <c r="B13" i="36"/>
  <c r="B13" i="38"/>
  <c r="B43" i="38"/>
  <c r="B64" i="38"/>
  <c r="B83" i="38"/>
  <c r="B102" i="38"/>
  <c r="B116" i="38"/>
  <c r="B136" i="38"/>
  <c r="B11" i="31"/>
  <c r="B17" i="15"/>
  <c r="B19" i="38"/>
  <c r="B66" i="38"/>
  <c r="B86" i="38"/>
  <c r="B105" i="38"/>
  <c r="B126" i="38"/>
  <c r="B19" i="15"/>
  <c r="B16" i="36"/>
  <c r="B9" i="38"/>
  <c r="B48" i="38"/>
  <c r="B55" i="38"/>
  <c r="B87" i="38"/>
  <c r="B104" i="38"/>
  <c r="B140" i="38"/>
  <c r="B18" i="15"/>
  <c r="B44" i="38"/>
  <c r="B17" i="38"/>
  <c r="B47" i="38"/>
  <c r="B68" i="38"/>
  <c r="B91" i="38"/>
  <c r="B107" i="38"/>
  <c r="B119" i="38"/>
  <c r="B139" i="38"/>
  <c r="B20" i="15"/>
  <c r="B29" i="15"/>
  <c r="B14" i="15"/>
  <c r="B15" i="15"/>
  <c r="B4" i="15"/>
  <c r="B6" i="38"/>
  <c r="B58" i="38"/>
  <c r="B90" i="38"/>
  <c r="B103" i="38"/>
  <c r="B120" i="38"/>
  <c r="B5" i="15"/>
  <c r="B21" i="15"/>
  <c r="B22" i="15"/>
  <c r="B23" i="15"/>
  <c r="B25" i="15"/>
  <c r="B56" i="38"/>
  <c r="B22" i="38"/>
  <c r="B94" i="38"/>
  <c r="B20" i="38"/>
  <c r="B42" i="38"/>
  <c r="B60" i="38"/>
  <c r="B85" i="38"/>
  <c r="B111" i="38"/>
  <c r="B121" i="38"/>
  <c r="B6" i="15"/>
  <c r="B24" i="15"/>
  <c r="B9" i="15"/>
  <c r="B75" i="38"/>
  <c r="B131" i="38"/>
  <c r="B10" i="15"/>
  <c r="B57" i="38"/>
  <c r="B12" i="15"/>
  <c r="B23" i="38"/>
  <c r="B82" i="38"/>
  <c r="B128" i="38"/>
  <c r="B134" i="38"/>
  <c r="B18" i="38"/>
  <c r="B51" i="38"/>
  <c r="B65" i="38"/>
  <c r="B88" i="38"/>
  <c r="B112" i="38"/>
  <c r="B118" i="38"/>
  <c r="B7" i="15"/>
  <c r="B11" i="15"/>
  <c r="B101" i="38"/>
  <c r="B31" i="15"/>
  <c r="B25" i="38"/>
  <c r="B52" i="38"/>
  <c r="B81" i="38"/>
  <c r="B89" i="38"/>
  <c r="B110" i="38"/>
  <c r="B117" i="38"/>
  <c r="B8" i="15"/>
  <c r="B21" i="38"/>
  <c r="B30" i="38"/>
  <c r="B95" i="38"/>
  <c r="B130" i="38"/>
  <c r="B8" i="36"/>
  <c r="B24" i="38"/>
  <c r="B50" i="38"/>
  <c r="B69" i="38"/>
  <c r="B98" i="38"/>
  <c r="B113" i="38"/>
  <c r="B125" i="38"/>
  <c r="B14" i="38"/>
  <c r="B97" i="38"/>
  <c r="B26" i="15"/>
  <c r="B53" i="38"/>
  <c r="B72" i="38"/>
  <c r="B132" i="38"/>
  <c r="B28" i="15"/>
  <c r="B59" i="38"/>
  <c r="B13" i="15"/>
  <c r="B30" i="15"/>
  <c r="B16" i="15"/>
  <c r="B15" i="38"/>
  <c r="B7" i="38"/>
  <c r="B78" i="38"/>
  <c r="B27" i="15"/>
  <c r="B12" i="38"/>
  <c r="B11" i="38"/>
  <c r="B8" i="38"/>
  <c r="B41" i="38"/>
  <c r="B62" i="38"/>
  <c r="B80" i="38"/>
  <c r="B92" i="38"/>
  <c r="B127" i="38"/>
  <c r="B133" i="38"/>
  <c r="AA12" i="36" l="1"/>
  <c r="D12" i="39" s="1"/>
  <c r="X12" i="39"/>
  <c r="X18" i="36"/>
  <c r="V18" i="36"/>
  <c r="X18" i="39" s="1"/>
  <c r="X26" i="36"/>
  <c r="V26" i="36"/>
  <c r="X26" i="39" s="1"/>
  <c r="W11" i="36"/>
  <c r="V11" i="36"/>
  <c r="X11" i="39" s="1"/>
  <c r="W15" i="36"/>
  <c r="V15" i="36"/>
  <c r="X15" i="39" s="1"/>
  <c r="W20" i="36"/>
  <c r="V20" i="36"/>
  <c r="X20" i="39" s="1"/>
  <c r="W19" i="36"/>
  <c r="V19" i="36"/>
  <c r="X19" i="39" s="1"/>
  <c r="W10" i="36"/>
  <c r="V10" i="36"/>
  <c r="X10" i="39" s="1"/>
  <c r="W22" i="36"/>
  <c r="V22" i="36"/>
  <c r="X22" i="39" s="1"/>
  <c r="W21" i="36"/>
  <c r="V21" i="36"/>
  <c r="X21" i="39" s="1"/>
  <c r="W29" i="36"/>
  <c r="V29" i="36"/>
  <c r="W14" i="36"/>
  <c r="V14" i="36"/>
  <c r="X14" i="39" s="1"/>
  <c r="V13" i="36"/>
  <c r="V9" i="36"/>
  <c r="B9" i="31"/>
  <c r="B11" i="28"/>
  <c r="B15" i="26"/>
  <c r="B11" i="25"/>
  <c r="B7" i="35"/>
  <c r="B9" i="23"/>
  <c r="B10" i="31"/>
  <c r="B12" i="28"/>
  <c r="B16" i="26"/>
  <c r="B12" i="25"/>
  <c r="B8" i="35"/>
  <c r="B9" i="35"/>
  <c r="B6" i="22"/>
  <c r="B5" i="23"/>
  <c r="B21" i="20"/>
  <c r="B5" i="31"/>
  <c r="B6" i="28"/>
  <c r="B17" i="26"/>
  <c r="B13" i="25"/>
  <c r="B12" i="23"/>
  <c r="B9" i="24"/>
  <c r="B24" i="26"/>
  <c r="B14" i="20"/>
  <c r="B20" i="35"/>
  <c r="B23" i="35"/>
  <c r="B22" i="20"/>
  <c r="B7" i="33"/>
  <c r="B5" i="27"/>
  <c r="B18" i="26"/>
  <c r="B11" i="35"/>
  <c r="B10" i="35"/>
  <c r="B23" i="20"/>
  <c r="B6" i="20"/>
  <c r="B6" i="33"/>
  <c r="B6" i="27"/>
  <c r="B19" i="26"/>
  <c r="B12" i="35"/>
  <c r="B6" i="35"/>
  <c r="B10" i="23"/>
  <c r="B8" i="24"/>
  <c r="B10" i="24"/>
  <c r="B11" i="24"/>
  <c r="B5" i="22"/>
  <c r="B7" i="26"/>
  <c r="B19" i="20"/>
  <c r="B11" i="26"/>
  <c r="B7" i="20"/>
  <c r="B6" i="30"/>
  <c r="B7" i="27"/>
  <c r="B20" i="26"/>
  <c r="B13" i="35"/>
  <c r="B7" i="24"/>
  <c r="B11" i="23"/>
  <c r="B6" i="29"/>
  <c r="B21" i="26"/>
  <c r="B14" i="35"/>
  <c r="B8" i="26"/>
  <c r="B17" i="35"/>
  <c r="B13" i="24"/>
  <c r="B7" i="22"/>
  <c r="B8" i="22"/>
  <c r="B8" i="23"/>
  <c r="B8" i="20"/>
  <c r="B7" i="30"/>
  <c r="B9" i="20"/>
  <c r="B8" i="30"/>
  <c r="B7" i="29"/>
  <c r="B22" i="26"/>
  <c r="B15" i="35"/>
  <c r="B15" i="20"/>
  <c r="B10" i="20"/>
  <c r="B9" i="30"/>
  <c r="B5" i="29"/>
  <c r="B23" i="26"/>
  <c r="B16" i="35"/>
  <c r="B18" i="35"/>
  <c r="B12" i="24"/>
  <c r="B7" i="25"/>
  <c r="B16" i="20"/>
  <c r="B11" i="20"/>
  <c r="B10" i="30"/>
  <c r="B17" i="20"/>
  <c r="B12" i="20"/>
  <c r="B11" i="30"/>
  <c r="B9" i="26"/>
  <c r="B18" i="20"/>
  <c r="B13" i="20"/>
  <c r="B12" i="30"/>
  <c r="B10" i="26"/>
  <c r="B6" i="25"/>
  <c r="B19" i="35"/>
  <c r="B7" i="28"/>
  <c r="B20" i="20"/>
  <c r="B6" i="31"/>
  <c r="B8" i="28"/>
  <c r="B12" i="26"/>
  <c r="B8" i="25"/>
  <c r="B21" i="35"/>
  <c r="B6" i="23"/>
  <c r="B9" i="22"/>
  <c r="B7" i="23"/>
  <c r="B10" i="22"/>
  <c r="B7" i="31"/>
  <c r="B9" i="28"/>
  <c r="B13" i="26"/>
  <c r="B9" i="25"/>
  <c r="B22" i="35"/>
  <c r="B8" i="31"/>
  <c r="B10" i="28"/>
  <c r="B14" i="26"/>
  <c r="B10" i="25"/>
  <c r="B11" i="22"/>
  <c r="BQ6" i="38"/>
  <c r="C13" i="24"/>
  <c r="BE3" i="38"/>
  <c r="Y8" i="36"/>
  <c r="BD3" i="38"/>
  <c r="AF3" i="38"/>
  <c r="AG3" i="38"/>
  <c r="AH3" i="38"/>
  <c r="AI3" i="38"/>
  <c r="AJ3" i="38"/>
  <c r="AK3" i="38"/>
  <c r="BB3" i="38"/>
  <c r="F67" i="39"/>
  <c r="E67" i="39"/>
  <c r="D67" i="39"/>
  <c r="C7" i="39"/>
  <c r="W7" i="39"/>
  <c r="BC3" i="38"/>
  <c r="BA3" i="38"/>
  <c r="AZ3" i="38"/>
  <c r="AY3" i="38"/>
  <c r="AX3" i="38"/>
  <c r="AW3" i="38"/>
  <c r="AV3" i="38"/>
  <c r="AU3" i="38"/>
  <c r="AT3" i="38"/>
  <c r="AS3" i="38"/>
  <c r="AR3" i="38"/>
  <c r="AQ3" i="38"/>
  <c r="AP3" i="38"/>
  <c r="AO3" i="38"/>
  <c r="AN3" i="38"/>
  <c r="AM3" i="38"/>
  <c r="AL3" i="38"/>
  <c r="AE3" i="38"/>
  <c r="C8" i="24"/>
  <c r="C9" i="24"/>
  <c r="C10" i="24"/>
  <c r="C11" i="24"/>
  <c r="C12" i="24"/>
  <c r="C7" i="24"/>
  <c r="AA13" i="36" l="1"/>
  <c r="D13" i="39" s="1"/>
  <c r="X13" i="39"/>
  <c r="AA9" i="36"/>
  <c r="X9" i="39"/>
  <c r="AA26" i="36"/>
  <c r="Z26" i="36"/>
  <c r="AA18" i="36"/>
  <c r="D18" i="39" s="1"/>
  <c r="Z18" i="36"/>
  <c r="Z10" i="36"/>
  <c r="AA10" i="36"/>
  <c r="AA19" i="36"/>
  <c r="D19" i="39" s="1"/>
  <c r="Z19" i="36"/>
  <c r="Z20" i="36"/>
  <c r="AA20" i="36"/>
  <c r="AA21" i="36"/>
  <c r="Z21" i="36"/>
  <c r="Z14" i="36"/>
  <c r="AA14" i="36"/>
  <c r="D14" i="39" s="1"/>
  <c r="AA15" i="36"/>
  <c r="D15" i="39" s="1"/>
  <c r="Z15" i="36"/>
  <c r="Z22" i="36"/>
  <c r="AA22" i="36"/>
  <c r="D23" i="39" s="1"/>
  <c r="AA29" i="36"/>
  <c r="D29" i="39" s="1"/>
  <c r="Z29" i="36"/>
  <c r="Z11" i="36"/>
  <c r="AA11" i="36"/>
  <c r="BF138" i="38"/>
  <c r="BG138" i="38" s="1"/>
  <c r="BQ138" i="38" s="1"/>
  <c r="CS6" i="38"/>
  <c r="DG6" i="38"/>
  <c r="CT6" i="38"/>
  <c r="CR6" i="38"/>
  <c r="CU6" i="38"/>
  <c r="DI6" i="38"/>
  <c r="CV6" i="38"/>
  <c r="CW6" i="38"/>
  <c r="CX6" i="38"/>
  <c r="CY6" i="38"/>
  <c r="DD6" i="38"/>
  <c r="CZ6" i="38"/>
  <c r="DA6" i="38"/>
  <c r="DB6" i="38"/>
  <c r="DC6" i="38"/>
  <c r="CO6" i="38"/>
  <c r="DE6" i="38"/>
  <c r="CP6" i="38"/>
  <c r="DF6" i="38"/>
  <c r="CQ6" i="38"/>
  <c r="DH6" i="38"/>
  <c r="BF114" i="38"/>
  <c r="BG114" i="38" s="1"/>
  <c r="BQ114" i="38" s="1"/>
  <c r="BF115" i="38"/>
  <c r="BF129" i="38"/>
  <c r="BG129" i="38" s="1"/>
  <c r="BF124" i="38"/>
  <c r="BG124" i="38" s="1"/>
  <c r="BF123" i="38"/>
  <c r="BG123" i="38" s="1"/>
  <c r="BQ123" i="38" s="1"/>
  <c r="BF122" i="38"/>
  <c r="BG122" i="38" s="1"/>
  <c r="BF108" i="38"/>
  <c r="BG108" i="38" s="1"/>
  <c r="BF109" i="38"/>
  <c r="BG109" i="38" s="1"/>
  <c r="BQ109" i="38" s="1"/>
  <c r="BF106" i="38"/>
  <c r="BF100" i="38"/>
  <c r="BG100" i="38" s="1"/>
  <c r="BF99" i="38"/>
  <c r="BG99" i="38" s="1"/>
  <c r="BQ99" i="38" s="1"/>
  <c r="BF84" i="38"/>
  <c r="BG84" i="38" s="1"/>
  <c r="BP84" i="38" s="1"/>
  <c r="BF79" i="38"/>
  <c r="BG79" i="38" s="1"/>
  <c r="BF77" i="38"/>
  <c r="BG77" i="38" s="1"/>
  <c r="BQ77" i="38" s="1"/>
  <c r="BF76" i="38"/>
  <c r="BG76" i="38" s="1"/>
  <c r="BP76" i="38" s="1"/>
  <c r="BF74" i="38"/>
  <c r="BF73" i="38"/>
  <c r="BG73" i="38" s="1"/>
  <c r="BF37" i="38"/>
  <c r="BG37" i="38" s="1"/>
  <c r="BF33" i="38"/>
  <c r="BG33" i="38" s="1"/>
  <c r="BF38" i="38"/>
  <c r="BG38" i="38" s="1"/>
  <c r="BF34" i="38"/>
  <c r="BG34" i="38" s="1"/>
  <c r="BF36" i="38"/>
  <c r="BG36" i="38" s="1"/>
  <c r="BF35" i="38"/>
  <c r="BG35" i="38" s="1"/>
  <c r="BF67" i="38"/>
  <c r="BG67" i="38" s="1"/>
  <c r="BP67" i="38" s="1"/>
  <c r="BF54" i="38"/>
  <c r="BG54" i="38" s="1"/>
  <c r="BP54" i="38" s="1"/>
  <c r="BF40" i="38"/>
  <c r="BG40" i="38" s="1"/>
  <c r="BF49" i="38"/>
  <c r="BG49" i="38" s="1"/>
  <c r="BF39" i="38"/>
  <c r="BG39" i="38" s="1"/>
  <c r="BF32" i="38"/>
  <c r="BG32" i="38" s="1"/>
  <c r="BF31" i="38"/>
  <c r="BG31" i="38" s="1"/>
  <c r="BF29" i="38"/>
  <c r="BG29" i="38" s="1"/>
  <c r="BF28" i="38"/>
  <c r="BG28" i="38" s="1"/>
  <c r="BF27" i="38"/>
  <c r="BG27" i="38" s="1"/>
  <c r="BP27" i="38" s="1"/>
  <c r="BF26" i="38"/>
  <c r="BG26" i="38" s="1"/>
  <c r="L8" i="36"/>
  <c r="CN6" i="38"/>
  <c r="Y16" i="36"/>
  <c r="BF14" i="38"/>
  <c r="BG14" i="38" s="1"/>
  <c r="BP14" i="38" s="1"/>
  <c r="BF117" i="38"/>
  <c r="BG117" i="38" s="1"/>
  <c r="BQ117" i="38" s="1"/>
  <c r="BF107" i="38"/>
  <c r="BG107" i="38" s="1"/>
  <c r="BP107" i="38" s="1"/>
  <c r="BF42" i="38"/>
  <c r="BG42" i="38" s="1"/>
  <c r="BP42" i="38" s="1"/>
  <c r="BF53" i="38"/>
  <c r="BG53" i="38" s="1"/>
  <c r="BP53" i="38" s="1"/>
  <c r="BF133" i="38"/>
  <c r="BG133" i="38" s="1"/>
  <c r="BF56" i="38"/>
  <c r="BG56" i="38" s="1"/>
  <c r="BF110" i="38"/>
  <c r="BG110" i="38" s="1"/>
  <c r="BF118" i="38"/>
  <c r="BG118" i="38" s="1"/>
  <c r="BQ118" i="38" s="1"/>
  <c r="BF58" i="38"/>
  <c r="BF72" i="38"/>
  <c r="BF30" i="38"/>
  <c r="BG30" i="38" s="1"/>
  <c r="BP30" i="38" s="1"/>
  <c r="BF91" i="38"/>
  <c r="BG91" i="38" s="1"/>
  <c r="BF78" i="38"/>
  <c r="BG78" i="38" s="1"/>
  <c r="BF16" i="38"/>
  <c r="BG16" i="38" s="1"/>
  <c r="BF98" i="38"/>
  <c r="BG98" i="38" s="1"/>
  <c r="BF96" i="38"/>
  <c r="BG96" i="38" s="1"/>
  <c r="BP96" i="38" s="1"/>
  <c r="BF121" i="38"/>
  <c r="BG121" i="38" s="1"/>
  <c r="BQ121" i="38" s="1"/>
  <c r="BF20" i="38"/>
  <c r="BG20" i="38" s="1"/>
  <c r="BF59" i="38"/>
  <c r="BG59" i="38" s="1"/>
  <c r="BF68" i="38"/>
  <c r="BG68" i="38" s="1"/>
  <c r="BP68" i="38" s="1"/>
  <c r="BF75" i="38"/>
  <c r="BG75" i="38" s="1"/>
  <c r="BF8" i="38"/>
  <c r="BF89" i="38"/>
  <c r="BG89" i="38" s="1"/>
  <c r="BF112" i="38"/>
  <c r="BF57" i="38"/>
  <c r="BG57" i="38" s="1"/>
  <c r="BP57" i="38" s="1"/>
  <c r="BF19" i="38"/>
  <c r="BG19" i="38" s="1"/>
  <c r="BF48" i="38"/>
  <c r="BG48" i="38" s="1"/>
  <c r="BF83" i="38"/>
  <c r="BG83" i="38" s="1"/>
  <c r="BP83" i="38" s="1"/>
  <c r="BF71" i="38"/>
  <c r="BG71" i="38" s="1"/>
  <c r="BP71" i="38" s="1"/>
  <c r="BF93" i="38"/>
  <c r="BG93" i="38" s="1"/>
  <c r="BP93" i="38" s="1"/>
  <c r="BF127" i="38"/>
  <c r="BG127" i="38" s="1"/>
  <c r="BP127" i="38" s="1"/>
  <c r="BF23" i="38"/>
  <c r="BG23" i="38" s="1"/>
  <c r="BP23" i="38" s="1"/>
  <c r="BF47" i="38"/>
  <c r="BG47" i="38" s="1"/>
  <c r="BP47" i="38" s="1"/>
  <c r="BF7" i="38"/>
  <c r="BG7" i="38" s="1"/>
  <c r="BF21" i="38"/>
  <c r="BG21" i="38" s="1"/>
  <c r="BF69" i="38"/>
  <c r="BG69" i="38" s="1"/>
  <c r="BF81" i="38"/>
  <c r="BG81" i="38" s="1"/>
  <c r="BF88" i="38"/>
  <c r="BG88" i="38" s="1"/>
  <c r="BP88" i="38" s="1"/>
  <c r="BF111" i="38"/>
  <c r="BG111" i="38" s="1"/>
  <c r="BF6" i="38"/>
  <c r="BG6" i="38" s="1"/>
  <c r="BF22" i="38"/>
  <c r="BF105" i="38"/>
  <c r="BG105" i="38" s="1"/>
  <c r="BF9" i="38"/>
  <c r="BG9" i="38" s="1"/>
  <c r="BP9" i="38" s="1"/>
  <c r="BF64" i="38"/>
  <c r="BF63" i="38"/>
  <c r="BG63" i="38" s="1"/>
  <c r="BF70" i="38"/>
  <c r="BG70" i="38" s="1"/>
  <c r="BF12" i="38"/>
  <c r="BG12" i="38" s="1"/>
  <c r="BP12" i="38" s="1"/>
  <c r="BF17" i="38"/>
  <c r="BG17" i="38" s="1"/>
  <c r="BF113" i="38"/>
  <c r="BG113" i="38" s="1"/>
  <c r="BQ113" i="38" s="1"/>
  <c r="BF82" i="38"/>
  <c r="BG82" i="38" s="1"/>
  <c r="BP82" i="38" s="1"/>
  <c r="BF95" i="38"/>
  <c r="BG95" i="38" s="1"/>
  <c r="BF102" i="38"/>
  <c r="BG102" i="38" s="1"/>
  <c r="BQ102" i="38" s="1"/>
  <c r="BF66" i="38"/>
  <c r="BG66" i="38" s="1"/>
  <c r="BP66" i="38" s="1"/>
  <c r="BF131" i="38"/>
  <c r="BG131" i="38" s="1"/>
  <c r="BF50" i="38"/>
  <c r="BG50" i="38" s="1"/>
  <c r="BF134" i="38"/>
  <c r="BF11" i="38"/>
  <c r="BG11" i="38" s="1"/>
  <c r="BP11" i="38" s="1"/>
  <c r="BF137" i="38"/>
  <c r="BG137" i="38" s="1"/>
  <c r="BF94" i="38"/>
  <c r="BF97" i="38"/>
  <c r="BG97" i="38" s="1"/>
  <c r="BF15" i="38"/>
  <c r="BG15" i="38" s="1"/>
  <c r="BP15" i="38" s="1"/>
  <c r="BF43" i="38"/>
  <c r="BG43" i="38" s="1"/>
  <c r="BP43" i="38" s="1"/>
  <c r="BF52" i="38"/>
  <c r="BG52" i="38" s="1"/>
  <c r="BP52" i="38" s="1"/>
  <c r="BF65" i="38"/>
  <c r="BF92" i="38"/>
  <c r="BF120" i="38"/>
  <c r="BG120" i="38" s="1"/>
  <c r="BF139" i="38"/>
  <c r="BF126" i="38"/>
  <c r="BG126" i="38" s="1"/>
  <c r="BP126" i="38" s="1"/>
  <c r="BF24" i="38"/>
  <c r="BG24" i="38" s="1"/>
  <c r="BP24" i="38" s="1"/>
  <c r="BF45" i="38"/>
  <c r="BG45" i="38" s="1"/>
  <c r="BP45" i="38" s="1"/>
  <c r="BF61" i="38"/>
  <c r="BG61" i="38" s="1"/>
  <c r="BP61" i="38" s="1"/>
  <c r="BF130" i="38"/>
  <c r="BG130" i="38" s="1"/>
  <c r="BP130" i="38" s="1"/>
  <c r="BF10" i="38"/>
  <c r="BG10" i="38" s="1"/>
  <c r="BP10" i="38" s="1"/>
  <c r="BF41" i="38"/>
  <c r="BG41" i="38" s="1"/>
  <c r="BQ41" i="38" s="1"/>
  <c r="BF140" i="38"/>
  <c r="BF86" i="38"/>
  <c r="BG86" i="38" s="1"/>
  <c r="BF136" i="38"/>
  <c r="BG136" i="38" s="1"/>
  <c r="BQ136" i="38" s="1"/>
  <c r="BF13" i="38"/>
  <c r="BG13" i="38" s="1"/>
  <c r="BP13" i="38" s="1"/>
  <c r="BF25" i="38"/>
  <c r="BG25" i="38" s="1"/>
  <c r="BP25" i="38" s="1"/>
  <c r="BF85" i="38"/>
  <c r="BG85" i="38" s="1"/>
  <c r="BF128" i="38"/>
  <c r="BG128" i="38" s="1"/>
  <c r="BP128" i="38" s="1"/>
  <c r="BF104" i="38"/>
  <c r="BG104" i="38" s="1"/>
  <c r="BF44" i="38"/>
  <c r="BG44" i="38" s="1"/>
  <c r="BP44" i="38" s="1"/>
  <c r="BF125" i="38"/>
  <c r="BF51" i="38"/>
  <c r="BG51" i="38" s="1"/>
  <c r="BF80" i="38"/>
  <c r="BG80" i="38" s="1"/>
  <c r="BF103" i="38"/>
  <c r="BG103" i="38" s="1"/>
  <c r="BF132" i="38"/>
  <c r="BG132" i="38" s="1"/>
  <c r="BF55" i="38"/>
  <c r="BG55" i="38" s="1"/>
  <c r="BP55" i="38" s="1"/>
  <c r="BF46" i="38"/>
  <c r="BG46" i="38" s="1"/>
  <c r="BP46" i="38" s="1"/>
  <c r="BF60" i="38"/>
  <c r="BG60" i="38" s="1"/>
  <c r="BP60" i="38" s="1"/>
  <c r="BF101" i="38"/>
  <c r="BG101" i="38" s="1"/>
  <c r="BF119" i="38"/>
  <c r="BG119" i="38" s="1"/>
  <c r="BQ119" i="38" s="1"/>
  <c r="BF87" i="38"/>
  <c r="BG87" i="38" s="1"/>
  <c r="BP87" i="38" s="1"/>
  <c r="BF116" i="38"/>
  <c r="BF135" i="38"/>
  <c r="BG135" i="38" s="1"/>
  <c r="BP135" i="38" s="1"/>
  <c r="BF18" i="38"/>
  <c r="BF62" i="38"/>
  <c r="BG62" i="38" s="1"/>
  <c r="BF90" i="38"/>
  <c r="D22" i="39" l="1"/>
  <c r="BP40" i="38"/>
  <c r="BQ100" i="38"/>
  <c r="BP21" i="38"/>
  <c r="BQ108" i="38"/>
  <c r="DF108" i="38" s="1"/>
  <c r="G62" i="39"/>
  <c r="BQ62" i="38"/>
  <c r="BP7" i="38"/>
  <c r="BR7" i="38" s="1"/>
  <c r="BV13" i="38"/>
  <c r="BX13" i="38"/>
  <c r="BY13" i="38"/>
  <c r="BZ13" i="38"/>
  <c r="CA13" i="38"/>
  <c r="CC13" i="38"/>
  <c r="CD13" i="38"/>
  <c r="CE13" i="38"/>
  <c r="CF13" i="38"/>
  <c r="BU13" i="38"/>
  <c r="BR13" i="38"/>
  <c r="BS13" i="38"/>
  <c r="BT13" i="38"/>
  <c r="CG13" i="38"/>
  <c r="CH13" i="38"/>
  <c r="CI13" i="38"/>
  <c r="CK13" i="38"/>
  <c r="CL13" i="38"/>
  <c r="CM13" i="38"/>
  <c r="BW13" i="38"/>
  <c r="CB13" i="38"/>
  <c r="CJ13" i="38"/>
  <c r="BP97" i="38"/>
  <c r="BQ97" i="38"/>
  <c r="BX60" i="38"/>
  <c r="BZ60" i="38"/>
  <c r="CA60" i="38"/>
  <c r="CB60" i="38"/>
  <c r="CC60" i="38"/>
  <c r="CE60" i="38"/>
  <c r="CF60" i="38"/>
  <c r="CG60" i="38"/>
  <c r="BR60" i="38"/>
  <c r="CH60" i="38"/>
  <c r="BW60" i="38"/>
  <c r="BU60" i="38"/>
  <c r="BV60" i="38"/>
  <c r="BY60" i="38"/>
  <c r="CD60" i="38"/>
  <c r="BS60" i="38"/>
  <c r="BT60" i="38"/>
  <c r="CI60" i="38"/>
  <c r="CJ60" i="38"/>
  <c r="CK60" i="38"/>
  <c r="CL60" i="38"/>
  <c r="CM60" i="38"/>
  <c r="CB10" i="38"/>
  <c r="CD10" i="38"/>
  <c r="CE10" i="38"/>
  <c r="CF10" i="38"/>
  <c r="CG10" i="38"/>
  <c r="BS10" i="38"/>
  <c r="CI10" i="38"/>
  <c r="BT10" i="38"/>
  <c r="BU10" i="38"/>
  <c r="BV10" i="38"/>
  <c r="CA10" i="38"/>
  <c r="BY10" i="38"/>
  <c r="BZ10" i="38"/>
  <c r="CC10" i="38"/>
  <c r="CH10" i="38"/>
  <c r="BW10" i="38"/>
  <c r="CJ10" i="38"/>
  <c r="CK10" i="38"/>
  <c r="BR10" i="38"/>
  <c r="CL10" i="38"/>
  <c r="BX10" i="38"/>
  <c r="CM10" i="38"/>
  <c r="BZ11" i="38"/>
  <c r="CB11" i="38"/>
  <c r="CC11" i="38"/>
  <c r="CD11" i="38"/>
  <c r="CE11" i="38"/>
  <c r="CG11" i="38"/>
  <c r="BR11" i="38"/>
  <c r="CH11" i="38"/>
  <c r="BS11" i="38"/>
  <c r="CI11" i="38"/>
  <c r="BT11" i="38"/>
  <c r="BY11" i="38"/>
  <c r="BW11" i="38"/>
  <c r="BX11" i="38"/>
  <c r="CA11" i="38"/>
  <c r="CF11" i="38"/>
  <c r="BV11" i="38"/>
  <c r="BU11" i="38"/>
  <c r="CJ11" i="38"/>
  <c r="CK11" i="38"/>
  <c r="CL11" i="38"/>
  <c r="CM11" i="38"/>
  <c r="CD57" i="38"/>
  <c r="CF57" i="38"/>
  <c r="CG57" i="38"/>
  <c r="BR57" i="38"/>
  <c r="CH57" i="38"/>
  <c r="BS57" i="38"/>
  <c r="CI57" i="38"/>
  <c r="BU57" i="38"/>
  <c r="BV57" i="38"/>
  <c r="BW57" i="38"/>
  <c r="BX57" i="38"/>
  <c r="CC57" i="38"/>
  <c r="CE57" i="38"/>
  <c r="CA57" i="38"/>
  <c r="BZ57" i="38"/>
  <c r="CB57" i="38"/>
  <c r="BY57" i="38"/>
  <c r="CL57" i="38"/>
  <c r="CM57" i="38"/>
  <c r="BT57" i="38"/>
  <c r="CJ57" i="38"/>
  <c r="CK57" i="38"/>
  <c r="BQ29" i="38"/>
  <c r="BP29" i="38"/>
  <c r="BX76" i="38"/>
  <c r="BZ76" i="38"/>
  <c r="CA76" i="38"/>
  <c r="CB76" i="38"/>
  <c r="CC76" i="38"/>
  <c r="CE76" i="38"/>
  <c r="CF76" i="38"/>
  <c r="CG76" i="38"/>
  <c r="BR76" i="38"/>
  <c r="CH76" i="38"/>
  <c r="BW76" i="38"/>
  <c r="CI76" i="38"/>
  <c r="BS76" i="38"/>
  <c r="BY76" i="38"/>
  <c r="BU76" i="38"/>
  <c r="BV76" i="38"/>
  <c r="CD76" i="38"/>
  <c r="BT76" i="38"/>
  <c r="CJ76" i="38"/>
  <c r="CK76" i="38"/>
  <c r="CL76" i="38"/>
  <c r="CM76" i="38"/>
  <c r="BZ43" i="38"/>
  <c r="CB43" i="38"/>
  <c r="CC43" i="38"/>
  <c r="CD43" i="38"/>
  <c r="CE43" i="38"/>
  <c r="CG43" i="38"/>
  <c r="BR43" i="38"/>
  <c r="CH43" i="38"/>
  <c r="BS43" i="38"/>
  <c r="CI43" i="38"/>
  <c r="BT43" i="38"/>
  <c r="BY43" i="38"/>
  <c r="CA43" i="38"/>
  <c r="CF43" i="38"/>
  <c r="BW43" i="38"/>
  <c r="BX43" i="38"/>
  <c r="CJ43" i="38"/>
  <c r="CK43" i="38"/>
  <c r="CL43" i="38"/>
  <c r="BU43" i="38"/>
  <c r="CM43" i="38"/>
  <c r="BV43" i="38"/>
  <c r="BR83" i="38"/>
  <c r="CH83" i="38"/>
  <c r="BS83" i="38"/>
  <c r="CI83" i="38"/>
  <c r="BT83" i="38"/>
  <c r="BU83" i="38"/>
  <c r="BX83" i="38"/>
  <c r="BY83" i="38"/>
  <c r="CA83" i="38"/>
  <c r="CB83" i="38"/>
  <c r="CF83" i="38"/>
  <c r="BV83" i="38"/>
  <c r="BW83" i="38"/>
  <c r="BZ83" i="38"/>
  <c r="CD83" i="38"/>
  <c r="CE83" i="38"/>
  <c r="CM83" i="38"/>
  <c r="CG83" i="38"/>
  <c r="CJ83" i="38"/>
  <c r="CL83" i="38"/>
  <c r="CC83" i="38"/>
  <c r="CK83" i="38"/>
  <c r="BT130" i="38"/>
  <c r="BV130" i="38"/>
  <c r="BW130" i="38"/>
  <c r="BR130" i="38"/>
  <c r="BS130" i="38"/>
  <c r="BU130" i="38"/>
  <c r="BX130" i="38"/>
  <c r="CA130" i="38"/>
  <c r="CB130" i="38"/>
  <c r="CC130" i="38"/>
  <c r="CD130" i="38"/>
  <c r="BY130" i="38"/>
  <c r="BZ130" i="38"/>
  <c r="CF130" i="38"/>
  <c r="CG130" i="38"/>
  <c r="CH130" i="38"/>
  <c r="CI130" i="38"/>
  <c r="CE130" i="38"/>
  <c r="CJ130" i="38"/>
  <c r="CK130" i="38"/>
  <c r="CL130" i="38"/>
  <c r="CM130" i="38"/>
  <c r="CX118" i="38"/>
  <c r="CY118" i="38"/>
  <c r="CZ118" i="38"/>
  <c r="DA118" i="38"/>
  <c r="CQ118" i="38"/>
  <c r="CR118" i="38"/>
  <c r="CS118" i="38"/>
  <c r="CT118" i="38"/>
  <c r="CU118" i="38"/>
  <c r="CV118" i="38"/>
  <c r="CW118" i="38"/>
  <c r="DB118" i="38"/>
  <c r="DC118" i="38"/>
  <c r="DD118" i="38"/>
  <c r="DE118" i="38"/>
  <c r="DG118" i="38"/>
  <c r="CO118" i="38"/>
  <c r="DI118" i="38"/>
  <c r="CN118" i="38"/>
  <c r="CP118" i="38"/>
  <c r="DF118" i="38"/>
  <c r="DH118" i="38"/>
  <c r="BP31" i="38"/>
  <c r="BQ31" i="38"/>
  <c r="CY77" i="38"/>
  <c r="CZ77" i="38"/>
  <c r="CN77" i="38"/>
  <c r="DD77" i="38"/>
  <c r="CO77" i="38"/>
  <c r="DE77" i="38"/>
  <c r="DH77" i="38"/>
  <c r="DI77" i="38"/>
  <c r="CP77" i="38"/>
  <c r="CQ77" i="38"/>
  <c r="CR77" i="38"/>
  <c r="CT77" i="38"/>
  <c r="CU77" i="38"/>
  <c r="CV77" i="38"/>
  <c r="CW77" i="38"/>
  <c r="CX77" i="38"/>
  <c r="DA77" i="38"/>
  <c r="DG77" i="38"/>
  <c r="CS77" i="38"/>
  <c r="DC77" i="38"/>
  <c r="DB77" i="38"/>
  <c r="DF77" i="38"/>
  <c r="CF24" i="38"/>
  <c r="BR24" i="38"/>
  <c r="CH24" i="38"/>
  <c r="BS24" i="38"/>
  <c r="CI24" i="38"/>
  <c r="BT24" i="38"/>
  <c r="BU24" i="38"/>
  <c r="BW24" i="38"/>
  <c r="BX24" i="38"/>
  <c r="BY24" i="38"/>
  <c r="BZ24" i="38"/>
  <c r="CE24" i="38"/>
  <c r="CC24" i="38"/>
  <c r="CD24" i="38"/>
  <c r="CG24" i="38"/>
  <c r="CA24" i="38"/>
  <c r="CM24" i="38"/>
  <c r="BV24" i="38"/>
  <c r="CB24" i="38"/>
  <c r="CL24" i="38"/>
  <c r="CJ24" i="38"/>
  <c r="CK24" i="38"/>
  <c r="BQ70" i="38"/>
  <c r="BP70" i="38"/>
  <c r="BR55" i="38"/>
  <c r="CH55" i="38"/>
  <c r="BT55" i="38"/>
  <c r="BU55" i="38"/>
  <c r="BV55" i="38"/>
  <c r="BW55" i="38"/>
  <c r="BY55" i="38"/>
  <c r="BZ55" i="38"/>
  <c r="CA55" i="38"/>
  <c r="CB55" i="38"/>
  <c r="CG55" i="38"/>
  <c r="CC55" i="38"/>
  <c r="CD55" i="38"/>
  <c r="CE55" i="38"/>
  <c r="CF55" i="38"/>
  <c r="BS55" i="38"/>
  <c r="CJ55" i="38"/>
  <c r="CK55" i="38"/>
  <c r="CL55" i="38"/>
  <c r="CM55" i="38"/>
  <c r="BX55" i="38"/>
  <c r="CI55" i="38"/>
  <c r="BP132" i="38"/>
  <c r="BQ132" i="38"/>
  <c r="BQ103" i="38"/>
  <c r="BP103" i="38"/>
  <c r="BV61" i="38"/>
  <c r="BX61" i="38"/>
  <c r="BY61" i="38"/>
  <c r="BZ61" i="38"/>
  <c r="CA61" i="38"/>
  <c r="CC61" i="38"/>
  <c r="CD61" i="38"/>
  <c r="CE61" i="38"/>
  <c r="CF61" i="38"/>
  <c r="BU61" i="38"/>
  <c r="BS61" i="38"/>
  <c r="BT61" i="38"/>
  <c r="BW61" i="38"/>
  <c r="CB61" i="38"/>
  <c r="CG61" i="38"/>
  <c r="BR61" i="38"/>
  <c r="CH61" i="38"/>
  <c r="CJ61" i="38"/>
  <c r="CI61" i="38"/>
  <c r="CK61" i="38"/>
  <c r="CL61" i="38"/>
  <c r="CM61" i="38"/>
  <c r="BP50" i="38"/>
  <c r="BQ50" i="38"/>
  <c r="BQ111" i="38"/>
  <c r="BP111" i="38"/>
  <c r="BQ89" i="38"/>
  <c r="BP89" i="38"/>
  <c r="BQ110" i="38"/>
  <c r="BP110" i="38"/>
  <c r="BP32" i="38"/>
  <c r="BQ32" i="38"/>
  <c r="BQ79" i="38"/>
  <c r="BP79" i="38"/>
  <c r="CB126" i="38"/>
  <c r="CC126" i="38"/>
  <c r="CD126" i="38"/>
  <c r="CE126" i="38"/>
  <c r="BR126" i="38"/>
  <c r="BZ126" i="38"/>
  <c r="CA126" i="38"/>
  <c r="CF126" i="38"/>
  <c r="CG126" i="38"/>
  <c r="BS126" i="38"/>
  <c r="BU126" i="38"/>
  <c r="BV126" i="38"/>
  <c r="BW126" i="38"/>
  <c r="BX126" i="38"/>
  <c r="BY126" i="38"/>
  <c r="CJ126" i="38"/>
  <c r="CK126" i="38"/>
  <c r="BT126" i="38"/>
  <c r="CH126" i="38"/>
  <c r="CI126" i="38"/>
  <c r="CL126" i="38"/>
  <c r="CM126" i="38"/>
  <c r="BP101" i="38"/>
  <c r="BQ101" i="38"/>
  <c r="BQ26" i="38"/>
  <c r="BP26" i="38"/>
  <c r="BP80" i="38"/>
  <c r="BQ80" i="38"/>
  <c r="BV45" i="38"/>
  <c r="BX45" i="38"/>
  <c r="BY45" i="38"/>
  <c r="BZ45" i="38"/>
  <c r="CA45" i="38"/>
  <c r="CC45" i="38"/>
  <c r="CD45" i="38"/>
  <c r="CE45" i="38"/>
  <c r="CF45" i="38"/>
  <c r="BU45" i="38"/>
  <c r="CI45" i="38"/>
  <c r="BR45" i="38"/>
  <c r="BS45" i="38"/>
  <c r="CG45" i="38"/>
  <c r="BT45" i="38"/>
  <c r="CK45" i="38"/>
  <c r="BW45" i="38"/>
  <c r="CL45" i="38"/>
  <c r="CB45" i="38"/>
  <c r="CH45" i="38"/>
  <c r="CJ45" i="38"/>
  <c r="CM45" i="38"/>
  <c r="BP131" i="38"/>
  <c r="BQ131" i="38"/>
  <c r="BX88" i="38"/>
  <c r="BY88" i="38"/>
  <c r="BZ88" i="38"/>
  <c r="CA88" i="38"/>
  <c r="CD88" i="38"/>
  <c r="CE88" i="38"/>
  <c r="CG88" i="38"/>
  <c r="BR88" i="38"/>
  <c r="CH88" i="38"/>
  <c r="BV88" i="38"/>
  <c r="BU88" i="38"/>
  <c r="BW88" i="38"/>
  <c r="CB88" i="38"/>
  <c r="CC88" i="38"/>
  <c r="BS88" i="38"/>
  <c r="BT88" i="38"/>
  <c r="CK88" i="38"/>
  <c r="CF88" i="38"/>
  <c r="CL88" i="38"/>
  <c r="CI88" i="38"/>
  <c r="CJ88" i="38"/>
  <c r="CM88" i="38"/>
  <c r="BQ56" i="38"/>
  <c r="BP56" i="38"/>
  <c r="BQ39" i="38"/>
  <c r="BP39" i="38"/>
  <c r="CF84" i="38"/>
  <c r="CG84" i="38"/>
  <c r="BR84" i="38"/>
  <c r="CH84" i="38"/>
  <c r="BS84" i="38"/>
  <c r="CI84" i="38"/>
  <c r="BV84" i="38"/>
  <c r="BW84" i="38"/>
  <c r="BY84" i="38"/>
  <c r="BZ84" i="38"/>
  <c r="CD84" i="38"/>
  <c r="BU84" i="38"/>
  <c r="BX84" i="38"/>
  <c r="CA84" i="38"/>
  <c r="CB84" i="38"/>
  <c r="BT84" i="38"/>
  <c r="CC84" i="38"/>
  <c r="CJ84" i="38"/>
  <c r="CK84" i="38"/>
  <c r="CL84" i="38"/>
  <c r="CM84" i="38"/>
  <c r="CE84" i="38"/>
  <c r="CB66" i="38"/>
  <c r="CD66" i="38"/>
  <c r="CE66" i="38"/>
  <c r="CF66" i="38"/>
  <c r="CG66" i="38"/>
  <c r="BS66" i="38"/>
  <c r="CI66" i="38"/>
  <c r="BT66" i="38"/>
  <c r="BU66" i="38"/>
  <c r="BV66" i="38"/>
  <c r="CA66" i="38"/>
  <c r="BR66" i="38"/>
  <c r="BW66" i="38"/>
  <c r="BX66" i="38"/>
  <c r="BY66" i="38"/>
  <c r="BZ66" i="38"/>
  <c r="CC66" i="38"/>
  <c r="CH66" i="38"/>
  <c r="CL66" i="38"/>
  <c r="CM66" i="38"/>
  <c r="CJ66" i="38"/>
  <c r="CK66" i="38"/>
  <c r="BP81" i="38"/>
  <c r="BQ81" i="38"/>
  <c r="BQ75" i="38"/>
  <c r="BP75" i="38"/>
  <c r="BP133" i="38"/>
  <c r="BQ133" i="38"/>
  <c r="BP49" i="38"/>
  <c r="BQ49" i="38"/>
  <c r="DC99" i="38"/>
  <c r="CN99" i="38"/>
  <c r="DD99" i="38"/>
  <c r="CS99" i="38"/>
  <c r="DI99" i="38"/>
  <c r="CY99" i="38"/>
  <c r="CZ99" i="38"/>
  <c r="DA99" i="38"/>
  <c r="DB99" i="38"/>
  <c r="DE99" i="38"/>
  <c r="CP99" i="38"/>
  <c r="CQ99" i="38"/>
  <c r="CU99" i="38"/>
  <c r="CV99" i="38"/>
  <c r="CW99" i="38"/>
  <c r="CX99" i="38"/>
  <c r="DF99" i="38"/>
  <c r="DG99" i="38"/>
  <c r="DH99" i="38"/>
  <c r="CR99" i="38"/>
  <c r="CO99" i="38"/>
  <c r="CT99" i="38"/>
  <c r="CP138" i="38"/>
  <c r="DF138" i="38"/>
  <c r="CQ138" i="38"/>
  <c r="DG138" i="38"/>
  <c r="CR138" i="38"/>
  <c r="DH138" i="38"/>
  <c r="CY138" i="38"/>
  <c r="CZ138" i="38"/>
  <c r="DA138" i="38"/>
  <c r="DB138" i="38"/>
  <c r="DC138" i="38"/>
  <c r="DD138" i="38"/>
  <c r="DE138" i="38"/>
  <c r="DI138" i="38"/>
  <c r="CN138" i="38"/>
  <c r="CS138" i="38"/>
  <c r="CW138" i="38"/>
  <c r="CO138" i="38"/>
  <c r="CT138" i="38"/>
  <c r="CU138" i="38"/>
  <c r="CV138" i="38"/>
  <c r="CX138" i="38"/>
  <c r="CS100" i="38"/>
  <c r="DI100" i="38"/>
  <c r="CT100" i="38"/>
  <c r="CY100" i="38"/>
  <c r="CR100" i="38"/>
  <c r="CU100" i="38"/>
  <c r="CV100" i="38"/>
  <c r="CW100" i="38"/>
  <c r="DC100" i="38"/>
  <c r="DD100" i="38"/>
  <c r="DB100" i="38"/>
  <c r="DE100" i="38"/>
  <c r="DF100" i="38"/>
  <c r="DG100" i="38"/>
  <c r="DH100" i="38"/>
  <c r="CN100" i="38"/>
  <c r="CO100" i="38"/>
  <c r="CQ100" i="38"/>
  <c r="CZ100" i="38"/>
  <c r="CP100" i="38"/>
  <c r="CX100" i="38"/>
  <c r="DA100" i="38"/>
  <c r="CF40" i="38"/>
  <c r="BR40" i="38"/>
  <c r="CH40" i="38"/>
  <c r="BS40" i="38"/>
  <c r="CI40" i="38"/>
  <c r="BT40" i="38"/>
  <c r="BU40" i="38"/>
  <c r="BW40" i="38"/>
  <c r="BX40" i="38"/>
  <c r="BY40" i="38"/>
  <c r="BZ40" i="38"/>
  <c r="CE40" i="38"/>
  <c r="BV40" i="38"/>
  <c r="CA40" i="38"/>
  <c r="CG40" i="38"/>
  <c r="CM40" i="38"/>
  <c r="CD40" i="38"/>
  <c r="CJ40" i="38"/>
  <c r="CK40" i="38"/>
  <c r="CL40" i="38"/>
  <c r="CB40" i="38"/>
  <c r="CC40" i="38"/>
  <c r="BX44" i="38"/>
  <c r="BZ44" i="38"/>
  <c r="CA44" i="38"/>
  <c r="CB44" i="38"/>
  <c r="CC44" i="38"/>
  <c r="CE44" i="38"/>
  <c r="CF44" i="38"/>
  <c r="CG44" i="38"/>
  <c r="BR44" i="38"/>
  <c r="CH44" i="38"/>
  <c r="BW44" i="38"/>
  <c r="BS44" i="38"/>
  <c r="BT44" i="38"/>
  <c r="BY44" i="38"/>
  <c r="CD44" i="38"/>
  <c r="CI44" i="38"/>
  <c r="BU44" i="38"/>
  <c r="BV44" i="38"/>
  <c r="CJ44" i="38"/>
  <c r="CK44" i="38"/>
  <c r="CL44" i="38"/>
  <c r="CM44" i="38"/>
  <c r="BP95" i="38"/>
  <c r="BQ95" i="38"/>
  <c r="BV21" i="38"/>
  <c r="BX21" i="38"/>
  <c r="BY21" i="38"/>
  <c r="BZ21" i="38"/>
  <c r="CA21" i="38"/>
  <c r="CC21" i="38"/>
  <c r="CD21" i="38"/>
  <c r="CE21" i="38"/>
  <c r="CF21" i="38"/>
  <c r="BU21" i="38"/>
  <c r="BR21" i="38"/>
  <c r="BS21" i="38"/>
  <c r="BT21" i="38"/>
  <c r="BW21" i="38"/>
  <c r="CB21" i="38"/>
  <c r="CI21" i="38"/>
  <c r="CK21" i="38"/>
  <c r="CL21" i="38"/>
  <c r="CM21" i="38"/>
  <c r="CG21" i="38"/>
  <c r="CH21" i="38"/>
  <c r="CJ21" i="38"/>
  <c r="BQ59" i="38"/>
  <c r="BP59" i="38"/>
  <c r="CB42" i="38"/>
  <c r="CD42" i="38"/>
  <c r="CE42" i="38"/>
  <c r="CF42" i="38"/>
  <c r="CG42" i="38"/>
  <c r="BS42" i="38"/>
  <c r="CI42" i="38"/>
  <c r="BT42" i="38"/>
  <c r="BU42" i="38"/>
  <c r="BV42" i="38"/>
  <c r="CA42" i="38"/>
  <c r="BW42" i="38"/>
  <c r="BX42" i="38"/>
  <c r="BY42" i="38"/>
  <c r="BZ42" i="38"/>
  <c r="CC42" i="38"/>
  <c r="CJ42" i="38"/>
  <c r="BR42" i="38"/>
  <c r="CH42" i="38"/>
  <c r="CL42" i="38"/>
  <c r="CM42" i="38"/>
  <c r="CK42" i="38"/>
  <c r="BT54" i="38"/>
  <c r="BV54" i="38"/>
  <c r="BW54" i="38"/>
  <c r="BX54" i="38"/>
  <c r="BY54" i="38"/>
  <c r="CA54" i="38"/>
  <c r="CB54" i="38"/>
  <c r="CC54" i="38"/>
  <c r="CD54" i="38"/>
  <c r="BS54" i="38"/>
  <c r="CI54" i="38"/>
  <c r="BR54" i="38"/>
  <c r="BU54" i="38"/>
  <c r="BZ54" i="38"/>
  <c r="CE54" i="38"/>
  <c r="CF54" i="38"/>
  <c r="CG54" i="38"/>
  <c r="CH54" i="38"/>
  <c r="CJ54" i="38"/>
  <c r="CK54" i="38"/>
  <c r="CL54" i="38"/>
  <c r="CM54" i="38"/>
  <c r="CO102" i="38"/>
  <c r="DE102" i="38"/>
  <c r="CP102" i="38"/>
  <c r="DF102" i="38"/>
  <c r="CU102" i="38"/>
  <c r="CZ102" i="38"/>
  <c r="DA102" i="38"/>
  <c r="DB102" i="38"/>
  <c r="DC102" i="38"/>
  <c r="CQ102" i="38"/>
  <c r="CR102" i="38"/>
  <c r="CN102" i="38"/>
  <c r="CS102" i="38"/>
  <c r="CT102" i="38"/>
  <c r="CV102" i="38"/>
  <c r="CW102" i="38"/>
  <c r="CX102" i="38"/>
  <c r="CY102" i="38"/>
  <c r="DG102" i="38"/>
  <c r="DI102" i="38"/>
  <c r="DD102" i="38"/>
  <c r="DH102" i="38"/>
  <c r="BQ104" i="38"/>
  <c r="BP104" i="38"/>
  <c r="BU7" i="38"/>
  <c r="BX7" i="38"/>
  <c r="BY7" i="38"/>
  <c r="BZ7" i="38"/>
  <c r="CC7" i="38"/>
  <c r="CD7" i="38"/>
  <c r="CE7" i="38"/>
  <c r="CF7" i="38"/>
  <c r="CG7" i="38"/>
  <c r="CI7" i="38"/>
  <c r="CJ7" i="38"/>
  <c r="CM7" i="38"/>
  <c r="CK7" i="38"/>
  <c r="CL7" i="38"/>
  <c r="BP20" i="38"/>
  <c r="BQ20" i="38"/>
  <c r="BR107" i="38"/>
  <c r="CH107" i="38"/>
  <c r="BS107" i="38"/>
  <c r="CI107" i="38"/>
  <c r="BT107" i="38"/>
  <c r="BU107" i="38"/>
  <c r="BX107" i="38"/>
  <c r="CA107" i="38"/>
  <c r="CC107" i="38"/>
  <c r="CD107" i="38"/>
  <c r="CE107" i="38"/>
  <c r="CF107" i="38"/>
  <c r="CM107" i="38"/>
  <c r="BV107" i="38"/>
  <c r="CB107" i="38"/>
  <c r="CG107" i="38"/>
  <c r="BW107" i="38"/>
  <c r="BY107" i="38"/>
  <c r="BZ107" i="38"/>
  <c r="CJ107" i="38"/>
  <c r="CL107" i="38"/>
  <c r="CK107" i="38"/>
  <c r="BZ67" i="38"/>
  <c r="CB67" i="38"/>
  <c r="CC67" i="38"/>
  <c r="CD67" i="38"/>
  <c r="CE67" i="38"/>
  <c r="CG67" i="38"/>
  <c r="BR67" i="38"/>
  <c r="CH67" i="38"/>
  <c r="BS67" i="38"/>
  <c r="CI67" i="38"/>
  <c r="BT67" i="38"/>
  <c r="BY67" i="38"/>
  <c r="BW67" i="38"/>
  <c r="BX67" i="38"/>
  <c r="CA67" i="38"/>
  <c r="CF67" i="38"/>
  <c r="BU67" i="38"/>
  <c r="BV67" i="38"/>
  <c r="CM67" i="38"/>
  <c r="CJ67" i="38"/>
  <c r="CK67" i="38"/>
  <c r="CL67" i="38"/>
  <c r="CR109" i="38"/>
  <c r="DH109" i="38"/>
  <c r="CS109" i="38"/>
  <c r="DI109" i="38"/>
  <c r="CT109" i="38"/>
  <c r="CU109" i="38"/>
  <c r="CO109" i="38"/>
  <c r="CP109" i="38"/>
  <c r="CQ109" i="38"/>
  <c r="CV109" i="38"/>
  <c r="CW109" i="38"/>
  <c r="CX109" i="38"/>
  <c r="CY109" i="38"/>
  <c r="CZ109" i="38"/>
  <c r="DA109" i="38"/>
  <c r="DB109" i="38"/>
  <c r="DC109" i="38"/>
  <c r="DE109" i="38"/>
  <c r="DG109" i="38"/>
  <c r="CN109" i="38"/>
  <c r="DD109" i="38"/>
  <c r="DF109" i="38"/>
  <c r="BV53" i="38"/>
  <c r="BX53" i="38"/>
  <c r="BY53" i="38"/>
  <c r="BZ53" i="38"/>
  <c r="CA53" i="38"/>
  <c r="CC53" i="38"/>
  <c r="CD53" i="38"/>
  <c r="CE53" i="38"/>
  <c r="CF53" i="38"/>
  <c r="BU53" i="38"/>
  <c r="BS53" i="38"/>
  <c r="BT53" i="38"/>
  <c r="BW53" i="38"/>
  <c r="CB53" i="38"/>
  <c r="CI53" i="38"/>
  <c r="CK53" i="38"/>
  <c r="CL53" i="38"/>
  <c r="CG53" i="38"/>
  <c r="CH53" i="38"/>
  <c r="CM53" i="38"/>
  <c r="BR53" i="38"/>
  <c r="CJ53" i="38"/>
  <c r="BQ120" i="38"/>
  <c r="BP120" i="38"/>
  <c r="CZ113" i="38"/>
  <c r="DA113" i="38"/>
  <c r="DB113" i="38"/>
  <c r="DC113" i="38"/>
  <c r="CS113" i="38"/>
  <c r="CT113" i="38"/>
  <c r="CU113" i="38"/>
  <c r="CV113" i="38"/>
  <c r="CW113" i="38"/>
  <c r="CX113" i="38"/>
  <c r="CY113" i="38"/>
  <c r="DD113" i="38"/>
  <c r="DE113" i="38"/>
  <c r="DF113" i="38"/>
  <c r="DG113" i="38"/>
  <c r="CO113" i="38"/>
  <c r="DI113" i="38"/>
  <c r="CQ113" i="38"/>
  <c r="CN113" i="38"/>
  <c r="CP113" i="38"/>
  <c r="CR113" i="38"/>
  <c r="DH113" i="38"/>
  <c r="BR47" i="38"/>
  <c r="CH47" i="38"/>
  <c r="BT47" i="38"/>
  <c r="BU47" i="38"/>
  <c r="BV47" i="38"/>
  <c r="BW47" i="38"/>
  <c r="BY47" i="38"/>
  <c r="BZ47" i="38"/>
  <c r="CA47" i="38"/>
  <c r="CB47" i="38"/>
  <c r="CG47" i="38"/>
  <c r="BS47" i="38"/>
  <c r="BX47" i="38"/>
  <c r="CC47" i="38"/>
  <c r="CI47" i="38"/>
  <c r="CD47" i="38"/>
  <c r="CE47" i="38"/>
  <c r="CF47" i="38"/>
  <c r="CJ47" i="38"/>
  <c r="CK47" i="38"/>
  <c r="CL47" i="38"/>
  <c r="CM47" i="38"/>
  <c r="CZ121" i="38"/>
  <c r="DA121" i="38"/>
  <c r="DB121" i="38"/>
  <c r="DC121" i="38"/>
  <c r="CW121" i="38"/>
  <c r="CX121" i="38"/>
  <c r="CY121" i="38"/>
  <c r="DD121" i="38"/>
  <c r="DE121" i="38"/>
  <c r="DF121" i="38"/>
  <c r="DG121" i="38"/>
  <c r="CN121" i="38"/>
  <c r="DH121" i="38"/>
  <c r="CO121" i="38"/>
  <c r="DI121" i="38"/>
  <c r="CP121" i="38"/>
  <c r="CQ121" i="38"/>
  <c r="CU121" i="38"/>
  <c r="CR121" i="38"/>
  <c r="CS121" i="38"/>
  <c r="CT121" i="38"/>
  <c r="CV121" i="38"/>
  <c r="CR117" i="38"/>
  <c r="DH117" i="38"/>
  <c r="CS117" i="38"/>
  <c r="DI117" i="38"/>
  <c r="CT117" i="38"/>
  <c r="CU117" i="38"/>
  <c r="CW117" i="38"/>
  <c r="CX117" i="38"/>
  <c r="CY117" i="38"/>
  <c r="CZ117" i="38"/>
  <c r="DA117" i="38"/>
  <c r="DB117" i="38"/>
  <c r="DC117" i="38"/>
  <c r="DD117" i="38"/>
  <c r="DE117" i="38"/>
  <c r="DF117" i="38"/>
  <c r="DG117" i="38"/>
  <c r="CO117" i="38"/>
  <c r="CQ117" i="38"/>
  <c r="CN117" i="38"/>
  <c r="CP117" i="38"/>
  <c r="CV117" i="38"/>
  <c r="BP35" i="38"/>
  <c r="BQ35" i="38"/>
  <c r="DD108" i="38"/>
  <c r="CR108" i="38"/>
  <c r="CV108" i="38"/>
  <c r="CX108" i="38"/>
  <c r="CZ108" i="38"/>
  <c r="CQ108" i="38"/>
  <c r="BX68" i="38"/>
  <c r="BZ68" i="38"/>
  <c r="CA68" i="38"/>
  <c r="CB68" i="38"/>
  <c r="CC68" i="38"/>
  <c r="CE68" i="38"/>
  <c r="CF68" i="38"/>
  <c r="CG68" i="38"/>
  <c r="BR68" i="38"/>
  <c r="CH68" i="38"/>
  <c r="BW68" i="38"/>
  <c r="BU68" i="38"/>
  <c r="BV68" i="38"/>
  <c r="BY68" i="38"/>
  <c r="CD68" i="38"/>
  <c r="CI68" i="38"/>
  <c r="BS68" i="38"/>
  <c r="CJ68" i="38"/>
  <c r="BT68" i="38"/>
  <c r="CK68" i="38"/>
  <c r="CL68" i="38"/>
  <c r="CM68" i="38"/>
  <c r="BS82" i="38"/>
  <c r="BT82" i="38"/>
  <c r="BU82" i="38"/>
  <c r="BV82" i="38"/>
  <c r="CA82" i="38"/>
  <c r="BR82" i="38"/>
  <c r="BY82" i="38"/>
  <c r="BZ82" i="38"/>
  <c r="CC82" i="38"/>
  <c r="CD82" i="38"/>
  <c r="CH82" i="38"/>
  <c r="BW82" i="38"/>
  <c r="BX82" i="38"/>
  <c r="CB82" i="38"/>
  <c r="CG82" i="38"/>
  <c r="CI82" i="38"/>
  <c r="CL82" i="38"/>
  <c r="CM82" i="38"/>
  <c r="CJ82" i="38"/>
  <c r="CK82" i="38"/>
  <c r="CE82" i="38"/>
  <c r="CF82" i="38"/>
  <c r="BX128" i="38"/>
  <c r="BY128" i="38"/>
  <c r="BZ128" i="38"/>
  <c r="CA128" i="38"/>
  <c r="CH128" i="38"/>
  <c r="CI128" i="38"/>
  <c r="BT128" i="38"/>
  <c r="BU128" i="38"/>
  <c r="BV128" i="38"/>
  <c r="BW128" i="38"/>
  <c r="BR128" i="38"/>
  <c r="BS128" i="38"/>
  <c r="CC128" i="38"/>
  <c r="CD128" i="38"/>
  <c r="CE128" i="38"/>
  <c r="CF128" i="38"/>
  <c r="CG128" i="38"/>
  <c r="CM128" i="38"/>
  <c r="CK128" i="38"/>
  <c r="CL128" i="38"/>
  <c r="CB128" i="38"/>
  <c r="CJ128" i="38"/>
  <c r="CA135" i="38"/>
  <c r="CB135" i="38"/>
  <c r="CC135" i="38"/>
  <c r="CD135" i="38"/>
  <c r="CG135" i="38"/>
  <c r="BR135" i="38"/>
  <c r="CH135" i="38"/>
  <c r="BS135" i="38"/>
  <c r="CI135" i="38"/>
  <c r="BT135" i="38"/>
  <c r="BX135" i="38"/>
  <c r="BY135" i="38"/>
  <c r="BZ135" i="38"/>
  <c r="CE135" i="38"/>
  <c r="CF135" i="38"/>
  <c r="BU135" i="38"/>
  <c r="BV135" i="38"/>
  <c r="BW135" i="38"/>
  <c r="CJ135" i="38"/>
  <c r="CK135" i="38"/>
  <c r="CL135" i="38"/>
  <c r="CM135" i="38"/>
  <c r="BP85" i="38"/>
  <c r="BQ85" i="38"/>
  <c r="BQ17" i="38"/>
  <c r="BP17" i="38"/>
  <c r="BR23" i="38"/>
  <c r="CH23" i="38"/>
  <c r="BT23" i="38"/>
  <c r="BU23" i="38"/>
  <c r="BV23" i="38"/>
  <c r="BW23" i="38"/>
  <c r="BY23" i="38"/>
  <c r="BZ23" i="38"/>
  <c r="CA23" i="38"/>
  <c r="CB23" i="38"/>
  <c r="CG23" i="38"/>
  <c r="BS23" i="38"/>
  <c r="BX23" i="38"/>
  <c r="CC23" i="38"/>
  <c r="CD23" i="38"/>
  <c r="CE23" i="38"/>
  <c r="CF23" i="38"/>
  <c r="CI23" i="38"/>
  <c r="CJ23" i="38"/>
  <c r="CM23" i="38"/>
  <c r="CK23" i="38"/>
  <c r="CL23" i="38"/>
  <c r="BX96" i="38"/>
  <c r="BY96" i="38"/>
  <c r="BZ96" i="38"/>
  <c r="CA96" i="38"/>
  <c r="CD96" i="38"/>
  <c r="CE96" i="38"/>
  <c r="CG96" i="38"/>
  <c r="BR96" i="38"/>
  <c r="CH96" i="38"/>
  <c r="BT96" i="38"/>
  <c r="BU96" i="38"/>
  <c r="BV96" i="38"/>
  <c r="BW96" i="38"/>
  <c r="CB96" i="38"/>
  <c r="CC96" i="38"/>
  <c r="CF96" i="38"/>
  <c r="CK96" i="38"/>
  <c r="CI96" i="38"/>
  <c r="CL96" i="38"/>
  <c r="CJ96" i="38"/>
  <c r="CM96" i="38"/>
  <c r="BS96" i="38"/>
  <c r="BT14" i="38"/>
  <c r="BV14" i="38"/>
  <c r="BW14" i="38"/>
  <c r="BX14" i="38"/>
  <c r="BY14" i="38"/>
  <c r="CA14" i="38"/>
  <c r="CB14" i="38"/>
  <c r="CC14" i="38"/>
  <c r="CD14" i="38"/>
  <c r="BS14" i="38"/>
  <c r="CI14" i="38"/>
  <c r="BR14" i="38"/>
  <c r="BU14" i="38"/>
  <c r="BZ14" i="38"/>
  <c r="CG14" i="38"/>
  <c r="CJ14" i="38"/>
  <c r="CE14" i="38"/>
  <c r="CF14" i="38"/>
  <c r="CH14" i="38"/>
  <c r="CK14" i="38"/>
  <c r="CL14" i="38"/>
  <c r="CM14" i="38"/>
  <c r="BP36" i="38"/>
  <c r="BQ36" i="38"/>
  <c r="BQ122" i="38"/>
  <c r="BP122" i="38"/>
  <c r="BP51" i="38"/>
  <c r="BQ51" i="38"/>
  <c r="CO62" i="38"/>
  <c r="DE62" i="38"/>
  <c r="CP62" i="38"/>
  <c r="DF62" i="38"/>
  <c r="CT62" i="38"/>
  <c r="CU62" i="38"/>
  <c r="CV62" i="38"/>
  <c r="CN62" i="38"/>
  <c r="CQ62" i="38"/>
  <c r="CR62" i="38"/>
  <c r="CS62" i="38"/>
  <c r="CW62" i="38"/>
  <c r="CY62" i="38"/>
  <c r="CZ62" i="38"/>
  <c r="DA62" i="38"/>
  <c r="DB62" i="38"/>
  <c r="DC62" i="38"/>
  <c r="DD62" i="38"/>
  <c r="CX62" i="38"/>
  <c r="DG62" i="38"/>
  <c r="DH62" i="38"/>
  <c r="DI62" i="38"/>
  <c r="CD25" i="38"/>
  <c r="CF25" i="38"/>
  <c r="CG25" i="38"/>
  <c r="BR25" i="38"/>
  <c r="CH25" i="38"/>
  <c r="BS25" i="38"/>
  <c r="CI25" i="38"/>
  <c r="BU25" i="38"/>
  <c r="BV25" i="38"/>
  <c r="BW25" i="38"/>
  <c r="BX25" i="38"/>
  <c r="CC25" i="38"/>
  <c r="BT25" i="38"/>
  <c r="CA25" i="38"/>
  <c r="CB25" i="38"/>
  <c r="CE25" i="38"/>
  <c r="BY25" i="38"/>
  <c r="CJ25" i="38"/>
  <c r="BZ25" i="38"/>
  <c r="CK25" i="38"/>
  <c r="CL25" i="38"/>
  <c r="CM25" i="38"/>
  <c r="BX52" i="38"/>
  <c r="BZ52" i="38"/>
  <c r="CA52" i="38"/>
  <c r="CB52" i="38"/>
  <c r="CC52" i="38"/>
  <c r="CE52" i="38"/>
  <c r="CF52" i="38"/>
  <c r="CG52" i="38"/>
  <c r="BR52" i="38"/>
  <c r="CH52" i="38"/>
  <c r="BW52" i="38"/>
  <c r="BS52" i="38"/>
  <c r="BT52" i="38"/>
  <c r="BU52" i="38"/>
  <c r="CI52" i="38"/>
  <c r="BV52" i="38"/>
  <c r="BY52" i="38"/>
  <c r="CJ52" i="38"/>
  <c r="CD52" i="38"/>
  <c r="CK52" i="38"/>
  <c r="CL52" i="38"/>
  <c r="CM52" i="38"/>
  <c r="BX12" i="38"/>
  <c r="BZ12" i="38"/>
  <c r="CA12" i="38"/>
  <c r="CB12" i="38"/>
  <c r="CC12" i="38"/>
  <c r="CE12" i="38"/>
  <c r="CF12" i="38"/>
  <c r="CG12" i="38"/>
  <c r="BR12" i="38"/>
  <c r="CH12" i="38"/>
  <c r="BW12" i="38"/>
  <c r="CI12" i="38"/>
  <c r="BS12" i="38"/>
  <c r="BT12" i="38"/>
  <c r="BY12" i="38"/>
  <c r="CK12" i="38"/>
  <c r="BU12" i="38"/>
  <c r="CL12" i="38"/>
  <c r="BV12" i="38"/>
  <c r="CM12" i="38"/>
  <c r="CD12" i="38"/>
  <c r="CJ12" i="38"/>
  <c r="BZ127" i="38"/>
  <c r="CA127" i="38"/>
  <c r="CB127" i="38"/>
  <c r="CC127" i="38"/>
  <c r="CF127" i="38"/>
  <c r="CG127" i="38"/>
  <c r="CH127" i="38"/>
  <c r="CI127" i="38"/>
  <c r="BR127" i="38"/>
  <c r="BS127" i="38"/>
  <c r="BT127" i="38"/>
  <c r="BU127" i="38"/>
  <c r="BY127" i="38"/>
  <c r="CD127" i="38"/>
  <c r="CE127" i="38"/>
  <c r="BV127" i="38"/>
  <c r="BW127" i="38"/>
  <c r="BX127" i="38"/>
  <c r="CM127" i="38"/>
  <c r="CJ127" i="38"/>
  <c r="CK127" i="38"/>
  <c r="CL127" i="38"/>
  <c r="BP98" i="38"/>
  <c r="BQ98" i="38"/>
  <c r="BP34" i="38"/>
  <c r="BQ34" i="38"/>
  <c r="CV123" i="38"/>
  <c r="CW123" i="38"/>
  <c r="CX123" i="38"/>
  <c r="CY123" i="38"/>
  <c r="CO123" i="38"/>
  <c r="DI123" i="38"/>
  <c r="CP123" i="38"/>
  <c r="CQ123" i="38"/>
  <c r="CR123" i="38"/>
  <c r="CS123" i="38"/>
  <c r="CT123" i="38"/>
  <c r="CU123" i="38"/>
  <c r="CZ123" i="38"/>
  <c r="DA123" i="38"/>
  <c r="DB123" i="38"/>
  <c r="DC123" i="38"/>
  <c r="DG123" i="38"/>
  <c r="CN123" i="38"/>
  <c r="DD123" i="38"/>
  <c r="DE123" i="38"/>
  <c r="DF123" i="38"/>
  <c r="DH123" i="38"/>
  <c r="BQ124" i="38"/>
  <c r="BP124" i="38"/>
  <c r="CD93" i="38"/>
  <c r="CE93" i="38"/>
  <c r="CF93" i="38"/>
  <c r="CG93" i="38"/>
  <c r="BT93" i="38"/>
  <c r="BU93" i="38"/>
  <c r="BW93" i="38"/>
  <c r="BX93" i="38"/>
  <c r="CB93" i="38"/>
  <c r="CC93" i="38"/>
  <c r="CH93" i="38"/>
  <c r="CI93" i="38"/>
  <c r="BR93" i="38"/>
  <c r="BS93" i="38"/>
  <c r="CJ93" i="38"/>
  <c r="BV93" i="38"/>
  <c r="BY93" i="38"/>
  <c r="CA93" i="38"/>
  <c r="BZ93" i="38"/>
  <c r="CK93" i="38"/>
  <c r="CL93" i="38"/>
  <c r="CM93" i="38"/>
  <c r="BQ16" i="38"/>
  <c r="BP16" i="38"/>
  <c r="BQ38" i="38"/>
  <c r="BP38" i="38"/>
  <c r="CN119" i="38"/>
  <c r="DD119" i="38"/>
  <c r="CO119" i="38"/>
  <c r="DE119" i="38"/>
  <c r="CP119" i="38"/>
  <c r="DF119" i="38"/>
  <c r="CQ119" i="38"/>
  <c r="DG119" i="38"/>
  <c r="DI119" i="38"/>
  <c r="CR119" i="38"/>
  <c r="CS119" i="38"/>
  <c r="CT119" i="38"/>
  <c r="CU119" i="38"/>
  <c r="CV119" i="38"/>
  <c r="CW119" i="38"/>
  <c r="CX119" i="38"/>
  <c r="CY119" i="38"/>
  <c r="DA119" i="38"/>
  <c r="DC119" i="38"/>
  <c r="DB119" i="38"/>
  <c r="DH119" i="38"/>
  <c r="CZ119" i="38"/>
  <c r="CT136" i="38"/>
  <c r="CU136" i="38"/>
  <c r="CV136" i="38"/>
  <c r="CQ136" i="38"/>
  <c r="CR136" i="38"/>
  <c r="CS136" i="38"/>
  <c r="CW136" i="38"/>
  <c r="CX136" i="38"/>
  <c r="CY136" i="38"/>
  <c r="CZ136" i="38"/>
  <c r="DA136" i="38"/>
  <c r="DB136" i="38"/>
  <c r="DD136" i="38"/>
  <c r="CO136" i="38"/>
  <c r="DH136" i="38"/>
  <c r="DC136" i="38"/>
  <c r="DE136" i="38"/>
  <c r="DF136" i="38"/>
  <c r="DG136" i="38"/>
  <c r="DI136" i="38"/>
  <c r="CN136" i="38"/>
  <c r="CP136" i="38"/>
  <c r="BR15" i="38"/>
  <c r="CH15" i="38"/>
  <c r="BT15" i="38"/>
  <c r="BU15" i="38"/>
  <c r="BV15" i="38"/>
  <c r="BW15" i="38"/>
  <c r="BY15" i="38"/>
  <c r="BZ15" i="38"/>
  <c r="CA15" i="38"/>
  <c r="CB15" i="38"/>
  <c r="CG15" i="38"/>
  <c r="BS15" i="38"/>
  <c r="BX15" i="38"/>
  <c r="CC15" i="38"/>
  <c r="CD15" i="38"/>
  <c r="CI15" i="38"/>
  <c r="CF15" i="38"/>
  <c r="CJ15" i="38"/>
  <c r="CM15" i="38"/>
  <c r="CE15" i="38"/>
  <c r="CK15" i="38"/>
  <c r="CL15" i="38"/>
  <c r="BQ63" i="38"/>
  <c r="BP63" i="38"/>
  <c r="BR71" i="38"/>
  <c r="CH71" i="38"/>
  <c r="BT71" i="38"/>
  <c r="BU71" i="38"/>
  <c r="BV71" i="38"/>
  <c r="BW71" i="38"/>
  <c r="BY71" i="38"/>
  <c r="BZ71" i="38"/>
  <c r="CA71" i="38"/>
  <c r="CB71" i="38"/>
  <c r="CG71" i="38"/>
  <c r="CI71" i="38"/>
  <c r="BS71" i="38"/>
  <c r="CE71" i="38"/>
  <c r="BX71" i="38"/>
  <c r="CC71" i="38"/>
  <c r="CF71" i="38"/>
  <c r="CJ71" i="38"/>
  <c r="CK71" i="38"/>
  <c r="CL71" i="38"/>
  <c r="CD71" i="38"/>
  <c r="CM71" i="38"/>
  <c r="BQ78" i="38"/>
  <c r="BP78" i="38"/>
  <c r="BP33" i="38"/>
  <c r="BQ33" i="38"/>
  <c r="BP129" i="38"/>
  <c r="BQ129" i="38"/>
  <c r="BP69" i="38"/>
  <c r="BQ69" i="38"/>
  <c r="BQ86" i="38"/>
  <c r="BP86" i="38"/>
  <c r="BP37" i="38"/>
  <c r="BQ37" i="38"/>
  <c r="CD9" i="38"/>
  <c r="CF9" i="38"/>
  <c r="CG9" i="38"/>
  <c r="BR9" i="38"/>
  <c r="CH9" i="38"/>
  <c r="BS9" i="38"/>
  <c r="CI9" i="38"/>
  <c r="BU9" i="38"/>
  <c r="BV9" i="38"/>
  <c r="BW9" i="38"/>
  <c r="BX9" i="38"/>
  <c r="CC9" i="38"/>
  <c r="BT9" i="38"/>
  <c r="BY9" i="38"/>
  <c r="BZ9" i="38"/>
  <c r="CA9" i="38"/>
  <c r="CB9" i="38"/>
  <c r="CE9" i="38"/>
  <c r="CJ9" i="38"/>
  <c r="CK9" i="38"/>
  <c r="CL9" i="38"/>
  <c r="CM9" i="38"/>
  <c r="BP48" i="38"/>
  <c r="BQ48" i="38"/>
  <c r="BT30" i="38"/>
  <c r="BV30" i="38"/>
  <c r="BW30" i="38"/>
  <c r="BX30" i="38"/>
  <c r="BY30" i="38"/>
  <c r="CA30" i="38"/>
  <c r="CB30" i="38"/>
  <c r="CC30" i="38"/>
  <c r="CD30" i="38"/>
  <c r="BS30" i="38"/>
  <c r="CI30" i="38"/>
  <c r="BU30" i="38"/>
  <c r="BZ30" i="38"/>
  <c r="CE30" i="38"/>
  <c r="CF30" i="38"/>
  <c r="CG30" i="38"/>
  <c r="CH30" i="38"/>
  <c r="CL30" i="38"/>
  <c r="CM30" i="38"/>
  <c r="BR30" i="38"/>
  <c r="CJ30" i="38"/>
  <c r="CK30" i="38"/>
  <c r="BZ27" i="38"/>
  <c r="CB27" i="38"/>
  <c r="CC27" i="38"/>
  <c r="CD27" i="38"/>
  <c r="CE27" i="38"/>
  <c r="CG27" i="38"/>
  <c r="BR27" i="38"/>
  <c r="CH27" i="38"/>
  <c r="BS27" i="38"/>
  <c r="CI27" i="38"/>
  <c r="BT27" i="38"/>
  <c r="BY27" i="38"/>
  <c r="BU27" i="38"/>
  <c r="BV27" i="38"/>
  <c r="BW27" i="38"/>
  <c r="BX27" i="38"/>
  <c r="CA27" i="38"/>
  <c r="CF27" i="38"/>
  <c r="CJ27" i="38"/>
  <c r="CK27" i="38"/>
  <c r="CM27" i="38"/>
  <c r="CL27" i="38"/>
  <c r="BQ73" i="38"/>
  <c r="BP73" i="38"/>
  <c r="CP114" i="38"/>
  <c r="DF114" i="38"/>
  <c r="CQ114" i="38"/>
  <c r="DG114" i="38"/>
  <c r="CR114" i="38"/>
  <c r="DH114" i="38"/>
  <c r="CS114" i="38"/>
  <c r="DI114" i="38"/>
  <c r="CN114" i="38"/>
  <c r="CO114" i="38"/>
  <c r="CT114" i="38"/>
  <c r="CU114" i="38"/>
  <c r="CV114" i="38"/>
  <c r="CW114" i="38"/>
  <c r="CX114" i="38"/>
  <c r="CY114" i="38"/>
  <c r="CZ114" i="38"/>
  <c r="DA114" i="38"/>
  <c r="DC114" i="38"/>
  <c r="DE114" i="38"/>
  <c r="DB114" i="38"/>
  <c r="DD114" i="38"/>
  <c r="BZ87" i="38"/>
  <c r="CA87" i="38"/>
  <c r="CB87" i="38"/>
  <c r="CC87" i="38"/>
  <c r="CF87" i="38"/>
  <c r="CG87" i="38"/>
  <c r="BS87" i="38"/>
  <c r="CI87" i="38"/>
  <c r="BT87" i="38"/>
  <c r="BX87" i="38"/>
  <c r="BR87" i="38"/>
  <c r="BU87" i="38"/>
  <c r="BV87" i="38"/>
  <c r="BW87" i="38"/>
  <c r="BY87" i="38"/>
  <c r="CK87" i="38"/>
  <c r="CD87" i="38"/>
  <c r="CE87" i="38"/>
  <c r="CH87" i="38"/>
  <c r="CJ87" i="38"/>
  <c r="CL87" i="38"/>
  <c r="CM87" i="38"/>
  <c r="BQ91" i="38"/>
  <c r="BP91" i="38"/>
  <c r="BT46" i="38"/>
  <c r="BV46" i="38"/>
  <c r="BW46" i="38"/>
  <c r="BX46" i="38"/>
  <c r="BY46" i="38"/>
  <c r="CA46" i="38"/>
  <c r="CB46" i="38"/>
  <c r="CC46" i="38"/>
  <c r="CD46" i="38"/>
  <c r="BS46" i="38"/>
  <c r="CI46" i="38"/>
  <c r="BR46" i="38"/>
  <c r="BU46" i="38"/>
  <c r="BZ46" i="38"/>
  <c r="CG46" i="38"/>
  <c r="CH46" i="38"/>
  <c r="CE46" i="38"/>
  <c r="CF46" i="38"/>
  <c r="CK46" i="38"/>
  <c r="CL46" i="38"/>
  <c r="CM46" i="38"/>
  <c r="CJ46" i="38"/>
  <c r="CS41" i="38"/>
  <c r="DI41" i="38"/>
  <c r="CT41" i="38"/>
  <c r="CR41" i="38"/>
  <c r="CU41" i="38"/>
  <c r="CV41" i="38"/>
  <c r="CW41" i="38"/>
  <c r="CZ41" i="38"/>
  <c r="DA41" i="38"/>
  <c r="DB41" i="38"/>
  <c r="CN41" i="38"/>
  <c r="CO41" i="38"/>
  <c r="CP41" i="38"/>
  <c r="CX41" i="38"/>
  <c r="CY41" i="38"/>
  <c r="DC41" i="38"/>
  <c r="DD41" i="38"/>
  <c r="DE41" i="38"/>
  <c r="DF41" i="38"/>
  <c r="CQ41" i="38"/>
  <c r="DG41" i="38"/>
  <c r="DH41" i="38"/>
  <c r="BQ137" i="38"/>
  <c r="BP137" i="38"/>
  <c r="BQ105" i="38"/>
  <c r="BP105" i="38"/>
  <c r="BP19" i="38"/>
  <c r="BQ19" i="38"/>
  <c r="BQ28" i="38"/>
  <c r="BP28" i="38"/>
  <c r="D21" i="39"/>
  <c r="D20" i="39"/>
  <c r="G70" i="39"/>
  <c r="G79" i="39"/>
  <c r="G73" i="39"/>
  <c r="D27" i="39"/>
  <c r="D26" i="39"/>
  <c r="G75" i="39"/>
  <c r="G69" i="39"/>
  <c r="BG140" i="38"/>
  <c r="BG94" i="38"/>
  <c r="BG116" i="38"/>
  <c r="BQ116" i="38" s="1"/>
  <c r="BG125" i="38"/>
  <c r="BP125" i="38" s="1"/>
  <c r="BG112" i="38"/>
  <c r="BQ112" i="38" s="1"/>
  <c r="BG74" i="38"/>
  <c r="BP74" i="38" s="1"/>
  <c r="BG115" i="38"/>
  <c r="BQ115" i="38" s="1"/>
  <c r="BG64" i="38"/>
  <c r="BG8" i="38"/>
  <c r="BG134" i="38"/>
  <c r="BQ134" i="38" s="1"/>
  <c r="BG72" i="38"/>
  <c r="BG58" i="38"/>
  <c r="BG139" i="38"/>
  <c r="BQ139" i="38" s="1"/>
  <c r="BG90" i="38"/>
  <c r="BP90" i="38" s="1"/>
  <c r="BG22" i="38"/>
  <c r="BP22" i="38" s="1"/>
  <c r="BG106" i="38"/>
  <c r="BG92" i="38"/>
  <c r="BG18" i="38"/>
  <c r="BQ18" i="38" s="1"/>
  <c r="BG65" i="38"/>
  <c r="BP6" i="38"/>
  <c r="T8" i="36"/>
  <c r="X8" i="36" s="1"/>
  <c r="X9" i="36"/>
  <c r="X13" i="36"/>
  <c r="Z16" i="36"/>
  <c r="W13" i="36"/>
  <c r="S8" i="36"/>
  <c r="W8" i="36" s="1"/>
  <c r="W12" i="36"/>
  <c r="BV7" i="38" l="1"/>
  <c r="BT7" i="38"/>
  <c r="CB7" i="38"/>
  <c r="CA7" i="38"/>
  <c r="BW7" i="38"/>
  <c r="BS7" i="38"/>
  <c r="CH7" i="38"/>
  <c r="G42" i="39"/>
  <c r="G51" i="39"/>
  <c r="G52" i="39"/>
  <c r="DA108" i="38"/>
  <c r="G47" i="39"/>
  <c r="G43" i="39"/>
  <c r="CW108" i="38"/>
  <c r="G61" i="39"/>
  <c r="G50" i="39"/>
  <c r="CU108" i="38"/>
  <c r="G48" i="39"/>
  <c r="G45" i="39"/>
  <c r="G44" i="39"/>
  <c r="DE108" i="38"/>
  <c r="G57" i="39"/>
  <c r="G58" i="39"/>
  <c r="CO108" i="38"/>
  <c r="DC108" i="38"/>
  <c r="CP108" i="38"/>
  <c r="DB108" i="38"/>
  <c r="G56" i="39"/>
  <c r="CN108" i="38"/>
  <c r="CY108" i="38"/>
  <c r="G54" i="39"/>
  <c r="DI108" i="38"/>
  <c r="CT108" i="38"/>
  <c r="G53" i="39"/>
  <c r="G63" i="39"/>
  <c r="DH108" i="38"/>
  <c r="CS108" i="38"/>
  <c r="G55" i="39"/>
  <c r="G60" i="39"/>
  <c r="DG108" i="38"/>
  <c r="G49" i="39"/>
  <c r="G59" i="39"/>
  <c r="G46" i="39"/>
  <c r="BX120" i="38"/>
  <c r="BY120" i="38"/>
  <c r="BZ120" i="38"/>
  <c r="CA120" i="38"/>
  <c r="CD120" i="38"/>
  <c r="BS120" i="38"/>
  <c r="BT120" i="38"/>
  <c r="BU120" i="38"/>
  <c r="BV120" i="38"/>
  <c r="CC120" i="38"/>
  <c r="CE120" i="38"/>
  <c r="CF120" i="38"/>
  <c r="CG120" i="38"/>
  <c r="BR120" i="38"/>
  <c r="BW120" i="38"/>
  <c r="CB120" i="38"/>
  <c r="CI120" i="38"/>
  <c r="CH120" i="38"/>
  <c r="CJ120" i="38"/>
  <c r="CK120" i="38"/>
  <c r="CL120" i="38"/>
  <c r="CM120" i="38"/>
  <c r="CD73" i="38"/>
  <c r="CF73" i="38"/>
  <c r="CG73" i="38"/>
  <c r="BR73" i="38"/>
  <c r="CH73" i="38"/>
  <c r="BS73" i="38"/>
  <c r="CI73" i="38"/>
  <c r="BU73" i="38"/>
  <c r="BV73" i="38"/>
  <c r="BW73" i="38"/>
  <c r="BX73" i="38"/>
  <c r="CC73" i="38"/>
  <c r="BT73" i="38"/>
  <c r="BY73" i="38"/>
  <c r="BZ73" i="38"/>
  <c r="CA73" i="38"/>
  <c r="CB73" i="38"/>
  <c r="CE73" i="38"/>
  <c r="CJ73" i="38"/>
  <c r="CK73" i="38"/>
  <c r="CL73" i="38"/>
  <c r="CM73" i="38"/>
  <c r="CW98" i="38"/>
  <c r="CX98" i="38"/>
  <c r="DC98" i="38"/>
  <c r="DF98" i="38"/>
  <c r="CN98" i="38"/>
  <c r="DG98" i="38"/>
  <c r="CO98" i="38"/>
  <c r="DH98" i="38"/>
  <c r="CP98" i="38"/>
  <c r="DI98" i="38"/>
  <c r="CQ98" i="38"/>
  <c r="CU98" i="38"/>
  <c r="CV98" i="38"/>
  <c r="CR98" i="38"/>
  <c r="CS98" i="38"/>
  <c r="CT98" i="38"/>
  <c r="CY98" i="38"/>
  <c r="CZ98" i="38"/>
  <c r="DA98" i="38"/>
  <c r="DB98" i="38"/>
  <c r="DD98" i="38"/>
  <c r="DE98" i="38"/>
  <c r="BT98" i="38"/>
  <c r="BU98" i="38"/>
  <c r="BV98" i="38"/>
  <c r="BW98" i="38"/>
  <c r="BZ98" i="38"/>
  <c r="CA98" i="38"/>
  <c r="CC98" i="38"/>
  <c r="CD98" i="38"/>
  <c r="CH98" i="38"/>
  <c r="CI98" i="38"/>
  <c r="BR98" i="38"/>
  <c r="BS98" i="38"/>
  <c r="BX98" i="38"/>
  <c r="BY98" i="38"/>
  <c r="CM98" i="38"/>
  <c r="CB98" i="38"/>
  <c r="CE98" i="38"/>
  <c r="CF98" i="38"/>
  <c r="CL98" i="38"/>
  <c r="CG98" i="38"/>
  <c r="CJ98" i="38"/>
  <c r="CK98" i="38"/>
  <c r="BZ51" i="38"/>
  <c r="CB51" i="38"/>
  <c r="CC51" i="38"/>
  <c r="CD51" i="38"/>
  <c r="CE51" i="38"/>
  <c r="CG51" i="38"/>
  <c r="BR51" i="38"/>
  <c r="CH51" i="38"/>
  <c r="BS51" i="38"/>
  <c r="CI51" i="38"/>
  <c r="BT51" i="38"/>
  <c r="BY51" i="38"/>
  <c r="BU51" i="38"/>
  <c r="BV51" i="38"/>
  <c r="CA51" i="38"/>
  <c r="CF51" i="38"/>
  <c r="BW51" i="38"/>
  <c r="BX51" i="38"/>
  <c r="CJ51" i="38"/>
  <c r="CK51" i="38"/>
  <c r="CM51" i="38"/>
  <c r="CL51" i="38"/>
  <c r="BS131" i="38"/>
  <c r="CI131" i="38"/>
  <c r="BT131" i="38"/>
  <c r="BU131" i="38"/>
  <c r="BV131" i="38"/>
  <c r="BY131" i="38"/>
  <c r="BZ131" i="38"/>
  <c r="CA131" i="38"/>
  <c r="CB131" i="38"/>
  <c r="CF131" i="38"/>
  <c r="CG131" i="38"/>
  <c r="CH131" i="38"/>
  <c r="BR131" i="38"/>
  <c r="BW131" i="38"/>
  <c r="BX131" i="38"/>
  <c r="CD131" i="38"/>
  <c r="CE131" i="38"/>
  <c r="CC131" i="38"/>
  <c r="CJ131" i="38"/>
  <c r="CK131" i="38"/>
  <c r="CL131" i="38"/>
  <c r="CM131" i="38"/>
  <c r="CO70" i="38"/>
  <c r="DE70" i="38"/>
  <c r="CP70" i="38"/>
  <c r="DF70" i="38"/>
  <c r="CT70" i="38"/>
  <c r="CU70" i="38"/>
  <c r="CV70" i="38"/>
  <c r="CQ70" i="38"/>
  <c r="CR70" i="38"/>
  <c r="CS70" i="38"/>
  <c r="CW70" i="38"/>
  <c r="CX70" i="38"/>
  <c r="CZ70" i="38"/>
  <c r="DA70" i="38"/>
  <c r="DB70" i="38"/>
  <c r="DC70" i="38"/>
  <c r="DD70" i="38"/>
  <c r="DG70" i="38"/>
  <c r="CN70" i="38"/>
  <c r="CY70" i="38"/>
  <c r="DH70" i="38"/>
  <c r="DI70" i="38"/>
  <c r="BQ140" i="38"/>
  <c r="BP140" i="38"/>
  <c r="CZ137" i="38"/>
  <c r="DA137" i="38"/>
  <c r="DB137" i="38"/>
  <c r="DF137" i="38"/>
  <c r="CN137" i="38"/>
  <c r="DG137" i="38"/>
  <c r="CO137" i="38"/>
  <c r="DH137" i="38"/>
  <c r="CP137" i="38"/>
  <c r="DI137" i="38"/>
  <c r="CQ137" i="38"/>
  <c r="CR137" i="38"/>
  <c r="CS137" i="38"/>
  <c r="CT137" i="38"/>
  <c r="CU137" i="38"/>
  <c r="CW137" i="38"/>
  <c r="DD137" i="38"/>
  <c r="CV137" i="38"/>
  <c r="CX137" i="38"/>
  <c r="CY137" i="38"/>
  <c r="DC137" i="38"/>
  <c r="DE137" i="38"/>
  <c r="CT112" i="38"/>
  <c r="CU112" i="38"/>
  <c r="CV112" i="38"/>
  <c r="CW112" i="38"/>
  <c r="CY112" i="38"/>
  <c r="CZ112" i="38"/>
  <c r="DA112" i="38"/>
  <c r="DB112" i="38"/>
  <c r="DC112" i="38"/>
  <c r="DD112" i="38"/>
  <c r="DE112" i="38"/>
  <c r="DF112" i="38"/>
  <c r="DG112" i="38"/>
  <c r="CN112" i="38"/>
  <c r="DH112" i="38"/>
  <c r="CO112" i="38"/>
  <c r="DI112" i="38"/>
  <c r="CQ112" i="38"/>
  <c r="CS112" i="38"/>
  <c r="CP112" i="38"/>
  <c r="CR112" i="38"/>
  <c r="CX112" i="38"/>
  <c r="CO51" i="38"/>
  <c r="DE51" i="38"/>
  <c r="CP51" i="38"/>
  <c r="DF51" i="38"/>
  <c r="CN51" i="38"/>
  <c r="DH51" i="38"/>
  <c r="CQ51" i="38"/>
  <c r="DI51" i="38"/>
  <c r="CR51" i="38"/>
  <c r="CV51" i="38"/>
  <c r="CW51" i="38"/>
  <c r="CX51" i="38"/>
  <c r="DG51" i="38"/>
  <c r="CS51" i="38"/>
  <c r="CT51" i="38"/>
  <c r="CU51" i="38"/>
  <c r="CY51" i="38"/>
  <c r="CZ51" i="38"/>
  <c r="DA51" i="38"/>
  <c r="DB51" i="38"/>
  <c r="DC51" i="38"/>
  <c r="DD51" i="38"/>
  <c r="CD125" i="38"/>
  <c r="CE125" i="38"/>
  <c r="CF125" i="38"/>
  <c r="CG125" i="38"/>
  <c r="BT125" i="38"/>
  <c r="BW125" i="38"/>
  <c r="BX125" i="38"/>
  <c r="BY125" i="38"/>
  <c r="BZ125" i="38"/>
  <c r="CC125" i="38"/>
  <c r="CH125" i="38"/>
  <c r="CI125" i="38"/>
  <c r="BS125" i="38"/>
  <c r="BU125" i="38"/>
  <c r="BV125" i="38"/>
  <c r="CA125" i="38"/>
  <c r="CB125" i="38"/>
  <c r="CJ125" i="38"/>
  <c r="CK125" i="38"/>
  <c r="CL125" i="38"/>
  <c r="CM125" i="38"/>
  <c r="BR125" i="38"/>
  <c r="CO78" i="38"/>
  <c r="DE78" i="38"/>
  <c r="CP78" i="38"/>
  <c r="DF78" i="38"/>
  <c r="CT78" i="38"/>
  <c r="CU78" i="38"/>
  <c r="DB78" i="38"/>
  <c r="DC78" i="38"/>
  <c r="DD78" i="38"/>
  <c r="DG78" i="38"/>
  <c r="DH78" i="38"/>
  <c r="CN78" i="38"/>
  <c r="CQ78" i="38"/>
  <c r="CR78" i="38"/>
  <c r="CS78" i="38"/>
  <c r="CV78" i="38"/>
  <c r="CW78" i="38"/>
  <c r="CX78" i="38"/>
  <c r="CY78" i="38"/>
  <c r="CZ78" i="38"/>
  <c r="DA78" i="38"/>
  <c r="DI78" i="38"/>
  <c r="DB116" i="38"/>
  <c r="DC116" i="38"/>
  <c r="CN116" i="38"/>
  <c r="DD116" i="38"/>
  <c r="CO116" i="38"/>
  <c r="DE116" i="38"/>
  <c r="CY116" i="38"/>
  <c r="CZ116" i="38"/>
  <c r="DA116" i="38"/>
  <c r="DF116" i="38"/>
  <c r="DG116" i="38"/>
  <c r="DH116" i="38"/>
  <c r="DI116" i="38"/>
  <c r="CP116" i="38"/>
  <c r="CQ116" i="38"/>
  <c r="CR116" i="38"/>
  <c r="CS116" i="38"/>
  <c r="CU116" i="38"/>
  <c r="CW116" i="38"/>
  <c r="CT116" i="38"/>
  <c r="CV116" i="38"/>
  <c r="CX116" i="38"/>
  <c r="BV105" i="38"/>
  <c r="BW105" i="38"/>
  <c r="BX105" i="38"/>
  <c r="BY105" i="38"/>
  <c r="CB105" i="38"/>
  <c r="CC105" i="38"/>
  <c r="CE105" i="38"/>
  <c r="CF105" i="38"/>
  <c r="BR105" i="38"/>
  <c r="BS105" i="38"/>
  <c r="BT105" i="38"/>
  <c r="BU105" i="38"/>
  <c r="BZ105" i="38"/>
  <c r="CA105" i="38"/>
  <c r="CD105" i="38"/>
  <c r="CH105" i="38"/>
  <c r="CI105" i="38"/>
  <c r="CJ105" i="38"/>
  <c r="CK105" i="38"/>
  <c r="CG105" i="38"/>
  <c r="CM105" i="38"/>
  <c r="CL105" i="38"/>
  <c r="BR91" i="38"/>
  <c r="CH91" i="38"/>
  <c r="BS91" i="38"/>
  <c r="CI91" i="38"/>
  <c r="BT91" i="38"/>
  <c r="BU91" i="38"/>
  <c r="BX91" i="38"/>
  <c r="BY91" i="38"/>
  <c r="CA91" i="38"/>
  <c r="CB91" i="38"/>
  <c r="CF91" i="38"/>
  <c r="CG91" i="38"/>
  <c r="BV91" i="38"/>
  <c r="CM91" i="38"/>
  <c r="BZ91" i="38"/>
  <c r="CC91" i="38"/>
  <c r="CD91" i="38"/>
  <c r="CE91" i="38"/>
  <c r="CJ91" i="38"/>
  <c r="CK91" i="38"/>
  <c r="CL91" i="38"/>
  <c r="BW91" i="38"/>
  <c r="BT122" i="38"/>
  <c r="BU122" i="38"/>
  <c r="BV122" i="38"/>
  <c r="BW122" i="38"/>
  <c r="BZ122" i="38"/>
  <c r="CD122" i="38"/>
  <c r="CE122" i="38"/>
  <c r="CF122" i="38"/>
  <c r="CG122" i="38"/>
  <c r="BR122" i="38"/>
  <c r="CA122" i="38"/>
  <c r="CB122" i="38"/>
  <c r="CC122" i="38"/>
  <c r="CH122" i="38"/>
  <c r="CI122" i="38"/>
  <c r="CJ122" i="38"/>
  <c r="CK122" i="38"/>
  <c r="BS122" i="38"/>
  <c r="BX122" i="38"/>
  <c r="BY122" i="38"/>
  <c r="CL122" i="38"/>
  <c r="CM122" i="38"/>
  <c r="CU95" i="38"/>
  <c r="CV95" i="38"/>
  <c r="DA95" i="38"/>
  <c r="DE95" i="38"/>
  <c r="DF95" i="38"/>
  <c r="CN95" i="38"/>
  <c r="DG95" i="38"/>
  <c r="CO95" i="38"/>
  <c r="DH95" i="38"/>
  <c r="CP95" i="38"/>
  <c r="DI95" i="38"/>
  <c r="CT95" i="38"/>
  <c r="CW95" i="38"/>
  <c r="CY95" i="38"/>
  <c r="CQ95" i="38"/>
  <c r="CR95" i="38"/>
  <c r="CS95" i="38"/>
  <c r="CX95" i="38"/>
  <c r="CZ95" i="38"/>
  <c r="DB95" i="38"/>
  <c r="DC95" i="38"/>
  <c r="DD95" i="38"/>
  <c r="CS49" i="38"/>
  <c r="DI49" i="38"/>
  <c r="CT49" i="38"/>
  <c r="DD49" i="38"/>
  <c r="DE49" i="38"/>
  <c r="CN49" i="38"/>
  <c r="DF49" i="38"/>
  <c r="CR49" i="38"/>
  <c r="CU49" i="38"/>
  <c r="CV49" i="38"/>
  <c r="DA49" i="38"/>
  <c r="DB49" i="38"/>
  <c r="DC49" i="38"/>
  <c r="DG49" i="38"/>
  <c r="DH49" i="38"/>
  <c r="CO49" i="38"/>
  <c r="CP49" i="38"/>
  <c r="CQ49" i="38"/>
  <c r="CW49" i="38"/>
  <c r="CX49" i="38"/>
  <c r="CY49" i="38"/>
  <c r="CZ49" i="38"/>
  <c r="BQ92" i="38"/>
  <c r="BP92" i="38"/>
  <c r="BR79" i="38"/>
  <c r="CH79" i="38"/>
  <c r="BT79" i="38"/>
  <c r="BU79" i="38"/>
  <c r="BV79" i="38"/>
  <c r="BW79" i="38"/>
  <c r="BY79" i="38"/>
  <c r="BZ79" i="38"/>
  <c r="CA79" i="38"/>
  <c r="CB79" i="38"/>
  <c r="CG79" i="38"/>
  <c r="BS79" i="38"/>
  <c r="BX79" i="38"/>
  <c r="CC79" i="38"/>
  <c r="CD79" i="38"/>
  <c r="CI79" i="38"/>
  <c r="CE79" i="38"/>
  <c r="CJ79" i="38"/>
  <c r="CK79" i="38"/>
  <c r="CF79" i="38"/>
  <c r="CL79" i="38"/>
  <c r="CM79" i="38"/>
  <c r="CO19" i="38"/>
  <c r="DE19" i="38"/>
  <c r="CP19" i="38"/>
  <c r="DF19" i="38"/>
  <c r="CQ19" i="38"/>
  <c r="DG19" i="38"/>
  <c r="CR19" i="38"/>
  <c r="DH19" i="38"/>
  <c r="CU19" i="38"/>
  <c r="CV19" i="38"/>
  <c r="CN19" i="38"/>
  <c r="CS19" i="38"/>
  <c r="CT19" i="38"/>
  <c r="CW19" i="38"/>
  <c r="CX19" i="38"/>
  <c r="CZ19" i="38"/>
  <c r="DA19" i="38"/>
  <c r="DB19" i="38"/>
  <c r="DC19" i="38"/>
  <c r="DD19" i="38"/>
  <c r="CY19" i="38"/>
  <c r="DI19" i="38"/>
  <c r="BT78" i="38"/>
  <c r="BV78" i="38"/>
  <c r="BW78" i="38"/>
  <c r="BX78" i="38"/>
  <c r="BY78" i="38"/>
  <c r="CA78" i="38"/>
  <c r="CB78" i="38"/>
  <c r="CC78" i="38"/>
  <c r="CD78" i="38"/>
  <c r="BS78" i="38"/>
  <c r="CI78" i="38"/>
  <c r="BR78" i="38"/>
  <c r="BU78" i="38"/>
  <c r="CG78" i="38"/>
  <c r="BZ78" i="38"/>
  <c r="CE78" i="38"/>
  <c r="CF78" i="38"/>
  <c r="CH78" i="38"/>
  <c r="CJ78" i="38"/>
  <c r="CK78" i="38"/>
  <c r="CL78" i="38"/>
  <c r="CM78" i="38"/>
  <c r="CV131" i="38"/>
  <c r="CW131" i="38"/>
  <c r="CX131" i="38"/>
  <c r="CY131" i="38"/>
  <c r="CS131" i="38"/>
  <c r="CT131" i="38"/>
  <c r="CU131" i="38"/>
  <c r="CZ131" i="38"/>
  <c r="DA131" i="38"/>
  <c r="DB131" i="38"/>
  <c r="DC131" i="38"/>
  <c r="DD131" i="38"/>
  <c r="DE131" i="38"/>
  <c r="DF131" i="38"/>
  <c r="DG131" i="38"/>
  <c r="CQ131" i="38"/>
  <c r="CP131" i="38"/>
  <c r="CR131" i="38"/>
  <c r="DH131" i="38"/>
  <c r="DI131" i="38"/>
  <c r="CN131" i="38"/>
  <c r="CO131" i="38"/>
  <c r="BT70" i="38"/>
  <c r="BV70" i="38"/>
  <c r="BW70" i="38"/>
  <c r="BX70" i="38"/>
  <c r="BY70" i="38"/>
  <c r="CA70" i="38"/>
  <c r="CB70" i="38"/>
  <c r="CC70" i="38"/>
  <c r="CD70" i="38"/>
  <c r="BS70" i="38"/>
  <c r="CI70" i="38"/>
  <c r="BR70" i="38"/>
  <c r="CE70" i="38"/>
  <c r="CF70" i="38"/>
  <c r="CG70" i="38"/>
  <c r="CH70" i="38"/>
  <c r="BU70" i="38"/>
  <c r="BZ70" i="38"/>
  <c r="CJ70" i="38"/>
  <c r="CK70" i="38"/>
  <c r="CL70" i="38"/>
  <c r="CM70" i="38"/>
  <c r="BZ19" i="38"/>
  <c r="CB19" i="38"/>
  <c r="CC19" i="38"/>
  <c r="CD19" i="38"/>
  <c r="CE19" i="38"/>
  <c r="CG19" i="38"/>
  <c r="BR19" i="38"/>
  <c r="CH19" i="38"/>
  <c r="BS19" i="38"/>
  <c r="CI19" i="38"/>
  <c r="BT19" i="38"/>
  <c r="BY19" i="38"/>
  <c r="BU19" i="38"/>
  <c r="BV19" i="38"/>
  <c r="CA19" i="38"/>
  <c r="BW19" i="38"/>
  <c r="BX19" i="38"/>
  <c r="CF19" i="38"/>
  <c r="CJ19" i="38"/>
  <c r="CL19" i="38"/>
  <c r="CM19" i="38"/>
  <c r="CK19" i="38"/>
  <c r="CQ73" i="38"/>
  <c r="DG73" i="38"/>
  <c r="CR73" i="38"/>
  <c r="DH73" i="38"/>
  <c r="CV73" i="38"/>
  <c r="CW73" i="38"/>
  <c r="DD73" i="38"/>
  <c r="DE73" i="38"/>
  <c r="DF73" i="38"/>
  <c r="DI73" i="38"/>
  <c r="CN73" i="38"/>
  <c r="CP73" i="38"/>
  <c r="CS73" i="38"/>
  <c r="CT73" i="38"/>
  <c r="CU73" i="38"/>
  <c r="CX73" i="38"/>
  <c r="CY73" i="38"/>
  <c r="CO73" i="38"/>
  <c r="CZ73" i="38"/>
  <c r="DA73" i="38"/>
  <c r="DB73" i="38"/>
  <c r="DC73" i="38"/>
  <c r="BP65" i="38"/>
  <c r="BQ65" i="38"/>
  <c r="CY18" i="38"/>
  <c r="CZ18" i="38"/>
  <c r="DA18" i="38"/>
  <c r="DB18" i="38"/>
  <c r="CO18" i="38"/>
  <c r="DE18" i="38"/>
  <c r="CP18" i="38"/>
  <c r="DF18" i="38"/>
  <c r="CR18" i="38"/>
  <c r="CS18" i="38"/>
  <c r="CT18" i="38"/>
  <c r="CU18" i="38"/>
  <c r="CV18" i="38"/>
  <c r="CX18" i="38"/>
  <c r="DC18" i="38"/>
  <c r="DD18" i="38"/>
  <c r="DG18" i="38"/>
  <c r="DH18" i="38"/>
  <c r="CN18" i="38"/>
  <c r="CQ18" i="38"/>
  <c r="CW18" i="38"/>
  <c r="DI18" i="38"/>
  <c r="BQ94" i="38"/>
  <c r="BP94" i="38"/>
  <c r="CQ105" i="38"/>
  <c r="DG105" i="38"/>
  <c r="CR105" i="38"/>
  <c r="DH105" i="38"/>
  <c r="CW105" i="38"/>
  <c r="DA105" i="38"/>
  <c r="DB105" i="38"/>
  <c r="DC105" i="38"/>
  <c r="DD105" i="38"/>
  <c r="CS105" i="38"/>
  <c r="CT105" i="38"/>
  <c r="CU105" i="38"/>
  <c r="CV105" i="38"/>
  <c r="CX105" i="38"/>
  <c r="CY105" i="38"/>
  <c r="CZ105" i="38"/>
  <c r="DE105" i="38"/>
  <c r="DF105" i="38"/>
  <c r="DI105" i="38"/>
  <c r="CO105" i="38"/>
  <c r="CN105" i="38"/>
  <c r="CP105" i="38"/>
  <c r="DC91" i="38"/>
  <c r="CN91" i="38"/>
  <c r="DD91" i="38"/>
  <c r="CS91" i="38"/>
  <c r="DI91" i="38"/>
  <c r="CQ91" i="38"/>
  <c r="CR91" i="38"/>
  <c r="CT91" i="38"/>
  <c r="CU91" i="38"/>
  <c r="CV91" i="38"/>
  <c r="CZ91" i="38"/>
  <c r="DA91" i="38"/>
  <c r="DE91" i="38"/>
  <c r="CO91" i="38"/>
  <c r="CP91" i="38"/>
  <c r="CW91" i="38"/>
  <c r="CX91" i="38"/>
  <c r="CY91" i="38"/>
  <c r="DF91" i="38"/>
  <c r="DH91" i="38"/>
  <c r="DB91" i="38"/>
  <c r="DG91" i="38"/>
  <c r="CP122" i="38"/>
  <c r="DF122" i="38"/>
  <c r="CQ122" i="38"/>
  <c r="DG122" i="38"/>
  <c r="CR122" i="38"/>
  <c r="DH122" i="38"/>
  <c r="CS122" i="38"/>
  <c r="DI122" i="38"/>
  <c r="CU122" i="38"/>
  <c r="CV122" i="38"/>
  <c r="CW122" i="38"/>
  <c r="CX122" i="38"/>
  <c r="CY122" i="38"/>
  <c r="CZ122" i="38"/>
  <c r="DA122" i="38"/>
  <c r="DB122" i="38"/>
  <c r="DC122" i="38"/>
  <c r="DD122" i="38"/>
  <c r="DE122" i="38"/>
  <c r="CO122" i="38"/>
  <c r="CN122" i="38"/>
  <c r="CT122" i="38"/>
  <c r="BZ95" i="38"/>
  <c r="CA95" i="38"/>
  <c r="CB95" i="38"/>
  <c r="CC95" i="38"/>
  <c r="CF95" i="38"/>
  <c r="CG95" i="38"/>
  <c r="BS95" i="38"/>
  <c r="CI95" i="38"/>
  <c r="BT95" i="38"/>
  <c r="BX95" i="38"/>
  <c r="BY95" i="38"/>
  <c r="CD95" i="38"/>
  <c r="CE95" i="38"/>
  <c r="CK95" i="38"/>
  <c r="BR95" i="38"/>
  <c r="CL95" i="38"/>
  <c r="CM95" i="38"/>
  <c r="BU95" i="38"/>
  <c r="BV95" i="38"/>
  <c r="BW95" i="38"/>
  <c r="CH95" i="38"/>
  <c r="CJ95" i="38"/>
  <c r="CD49" i="38"/>
  <c r="CF49" i="38"/>
  <c r="CG49" i="38"/>
  <c r="BR49" i="38"/>
  <c r="CH49" i="38"/>
  <c r="BS49" i="38"/>
  <c r="CI49" i="38"/>
  <c r="BU49" i="38"/>
  <c r="BV49" i="38"/>
  <c r="BW49" i="38"/>
  <c r="BX49" i="38"/>
  <c r="CC49" i="38"/>
  <c r="BY49" i="38"/>
  <c r="BZ49" i="38"/>
  <c r="CA49" i="38"/>
  <c r="CB49" i="38"/>
  <c r="CE49" i="38"/>
  <c r="CL49" i="38"/>
  <c r="CM49" i="38"/>
  <c r="CJ49" i="38"/>
  <c r="CK49" i="38"/>
  <c r="BT49" i="38"/>
  <c r="G76" i="39"/>
  <c r="BQ106" i="38"/>
  <c r="BP106" i="38"/>
  <c r="BT22" i="38"/>
  <c r="BV22" i="38"/>
  <c r="BW22" i="38"/>
  <c r="BX22" i="38"/>
  <c r="BY22" i="38"/>
  <c r="CA22" i="38"/>
  <c r="CB22" i="38"/>
  <c r="CC22" i="38"/>
  <c r="CD22" i="38"/>
  <c r="BS22" i="38"/>
  <c r="CI22" i="38"/>
  <c r="BU22" i="38"/>
  <c r="BZ22" i="38"/>
  <c r="CE22" i="38"/>
  <c r="CF22" i="38"/>
  <c r="BR22" i="38"/>
  <c r="CG22" i="38"/>
  <c r="CH22" i="38"/>
  <c r="CJ22" i="38"/>
  <c r="CK22" i="38"/>
  <c r="CL22" i="38"/>
  <c r="CM22" i="38"/>
  <c r="BX104" i="38"/>
  <c r="BY104" i="38"/>
  <c r="BZ104" i="38"/>
  <c r="CA104" i="38"/>
  <c r="CD104" i="38"/>
  <c r="CE104" i="38"/>
  <c r="CG104" i="38"/>
  <c r="BR104" i="38"/>
  <c r="CH104" i="38"/>
  <c r="BV104" i="38"/>
  <c r="BW104" i="38"/>
  <c r="CB104" i="38"/>
  <c r="CC104" i="38"/>
  <c r="BU104" i="38"/>
  <c r="CF104" i="38"/>
  <c r="CK104" i="38"/>
  <c r="CI104" i="38"/>
  <c r="CL104" i="38"/>
  <c r="BS104" i="38"/>
  <c r="BT104" i="38"/>
  <c r="CM104" i="38"/>
  <c r="CJ104" i="38"/>
  <c r="BZ75" i="38"/>
  <c r="CB75" i="38"/>
  <c r="CC75" i="38"/>
  <c r="CD75" i="38"/>
  <c r="CE75" i="38"/>
  <c r="CG75" i="38"/>
  <c r="BR75" i="38"/>
  <c r="CH75" i="38"/>
  <c r="BS75" i="38"/>
  <c r="CI75" i="38"/>
  <c r="BT75" i="38"/>
  <c r="BY75" i="38"/>
  <c r="BW75" i="38"/>
  <c r="BX75" i="38"/>
  <c r="CF75" i="38"/>
  <c r="CM75" i="38"/>
  <c r="BU75" i="38"/>
  <c r="BV75" i="38"/>
  <c r="CA75" i="38"/>
  <c r="CJ75" i="38"/>
  <c r="CK75" i="38"/>
  <c r="CL75" i="38"/>
  <c r="BR39" i="38"/>
  <c r="CH39" i="38"/>
  <c r="BT39" i="38"/>
  <c r="BU39" i="38"/>
  <c r="BV39" i="38"/>
  <c r="BW39" i="38"/>
  <c r="BY39" i="38"/>
  <c r="BZ39" i="38"/>
  <c r="CA39" i="38"/>
  <c r="CB39" i="38"/>
  <c r="CG39" i="38"/>
  <c r="BS39" i="38"/>
  <c r="BX39" i="38"/>
  <c r="CE39" i="38"/>
  <c r="CF39" i="38"/>
  <c r="CI39" i="38"/>
  <c r="CC39" i="38"/>
  <c r="CD39" i="38"/>
  <c r="CJ39" i="38"/>
  <c r="CK39" i="38"/>
  <c r="CL39" i="38"/>
  <c r="CM39" i="38"/>
  <c r="DC32" i="38"/>
  <c r="CN32" i="38"/>
  <c r="DD32" i="38"/>
  <c r="CP32" i="38"/>
  <c r="DH32" i="38"/>
  <c r="CQ32" i="38"/>
  <c r="DI32" i="38"/>
  <c r="CR32" i="38"/>
  <c r="CS32" i="38"/>
  <c r="CT32" i="38"/>
  <c r="CV32" i="38"/>
  <c r="CW32" i="38"/>
  <c r="CX32" i="38"/>
  <c r="CY32" i="38"/>
  <c r="CZ32" i="38"/>
  <c r="CO32" i="38"/>
  <c r="CU32" i="38"/>
  <c r="DA32" i="38"/>
  <c r="DB32" i="38"/>
  <c r="DF32" i="38"/>
  <c r="DG32" i="38"/>
  <c r="DE32" i="38"/>
  <c r="BZ103" i="38"/>
  <c r="CA103" i="38"/>
  <c r="CB103" i="38"/>
  <c r="CC103" i="38"/>
  <c r="CF103" i="38"/>
  <c r="CG103" i="38"/>
  <c r="BS103" i="38"/>
  <c r="CI103" i="38"/>
  <c r="BT103" i="38"/>
  <c r="BV103" i="38"/>
  <c r="BW103" i="38"/>
  <c r="BX103" i="38"/>
  <c r="BY103" i="38"/>
  <c r="CD103" i="38"/>
  <c r="CK103" i="38"/>
  <c r="BR103" i="38"/>
  <c r="BU103" i="38"/>
  <c r="CE103" i="38"/>
  <c r="CJ103" i="38"/>
  <c r="CH103" i="38"/>
  <c r="CL103" i="38"/>
  <c r="CM103" i="38"/>
  <c r="DA37" i="38"/>
  <c r="DB37" i="38"/>
  <c r="CN37" i="38"/>
  <c r="DF37" i="38"/>
  <c r="CO37" i="38"/>
  <c r="DG37" i="38"/>
  <c r="CP37" i="38"/>
  <c r="DH37" i="38"/>
  <c r="CQ37" i="38"/>
  <c r="DI37" i="38"/>
  <c r="CR37" i="38"/>
  <c r="CT37" i="38"/>
  <c r="CU37" i="38"/>
  <c r="CV37" i="38"/>
  <c r="CW37" i="38"/>
  <c r="CX37" i="38"/>
  <c r="DD37" i="38"/>
  <c r="DE37" i="38"/>
  <c r="CS37" i="38"/>
  <c r="CY37" i="38"/>
  <c r="CZ37" i="38"/>
  <c r="DC37" i="38"/>
  <c r="CF124" i="38"/>
  <c r="CG124" i="38"/>
  <c r="BR124" i="38"/>
  <c r="CH124" i="38"/>
  <c r="BS124" i="38"/>
  <c r="CI124" i="38"/>
  <c r="BV124" i="38"/>
  <c r="BT124" i="38"/>
  <c r="BU124" i="38"/>
  <c r="BW124" i="38"/>
  <c r="BZ124" i="38"/>
  <c r="CA124" i="38"/>
  <c r="CB124" i="38"/>
  <c r="CC124" i="38"/>
  <c r="CL124" i="38"/>
  <c r="BX124" i="38"/>
  <c r="CM124" i="38"/>
  <c r="BY124" i="38"/>
  <c r="CD124" i="38"/>
  <c r="CE124" i="38"/>
  <c r="CJ124" i="38"/>
  <c r="CK124" i="38"/>
  <c r="BT90" i="38"/>
  <c r="BU90" i="38"/>
  <c r="BV90" i="38"/>
  <c r="BW90" i="38"/>
  <c r="BZ90" i="38"/>
  <c r="CA90" i="38"/>
  <c r="CC90" i="38"/>
  <c r="CD90" i="38"/>
  <c r="BR90" i="38"/>
  <c r="BS90" i="38"/>
  <c r="BX90" i="38"/>
  <c r="BY90" i="38"/>
  <c r="CF90" i="38"/>
  <c r="CG90" i="38"/>
  <c r="CH90" i="38"/>
  <c r="CI90" i="38"/>
  <c r="CM90" i="38"/>
  <c r="CB90" i="38"/>
  <c r="CE90" i="38"/>
  <c r="CK90" i="38"/>
  <c r="CL90" i="38"/>
  <c r="CJ90" i="38"/>
  <c r="BV37" i="38"/>
  <c r="BX37" i="38"/>
  <c r="BY37" i="38"/>
  <c r="BZ37" i="38"/>
  <c r="CA37" i="38"/>
  <c r="CC37" i="38"/>
  <c r="CD37" i="38"/>
  <c r="CE37" i="38"/>
  <c r="CF37" i="38"/>
  <c r="BU37" i="38"/>
  <c r="BR37" i="38"/>
  <c r="BW37" i="38"/>
  <c r="CB37" i="38"/>
  <c r="CG37" i="38"/>
  <c r="CH37" i="38"/>
  <c r="CI37" i="38"/>
  <c r="CK37" i="38"/>
  <c r="CL37" i="38"/>
  <c r="BS37" i="38"/>
  <c r="BT37" i="38"/>
  <c r="CJ37" i="38"/>
  <c r="CM37" i="38"/>
  <c r="DB124" i="38"/>
  <c r="DC124" i="38"/>
  <c r="CN124" i="38"/>
  <c r="DD124" i="38"/>
  <c r="CO124" i="38"/>
  <c r="DE124" i="38"/>
  <c r="DG124" i="38"/>
  <c r="DH124" i="38"/>
  <c r="DI124" i="38"/>
  <c r="CP124" i="38"/>
  <c r="CQ124" i="38"/>
  <c r="CR124" i="38"/>
  <c r="CS124" i="38"/>
  <c r="CT124" i="38"/>
  <c r="CU124" i="38"/>
  <c r="CV124" i="38"/>
  <c r="CW124" i="38"/>
  <c r="DA124" i="38"/>
  <c r="CX124" i="38"/>
  <c r="CY124" i="38"/>
  <c r="CZ124" i="38"/>
  <c r="DF124" i="38"/>
  <c r="DA104" i="38"/>
  <c r="DB104" i="38"/>
  <c r="CQ104" i="38"/>
  <c r="DG104" i="38"/>
  <c r="CN104" i="38"/>
  <c r="DH104" i="38"/>
  <c r="CO104" i="38"/>
  <c r="DI104" i="38"/>
  <c r="CP104" i="38"/>
  <c r="CR104" i="38"/>
  <c r="CT104" i="38"/>
  <c r="CU104" i="38"/>
  <c r="CV104" i="38"/>
  <c r="CW104" i="38"/>
  <c r="CX104" i="38"/>
  <c r="CY104" i="38"/>
  <c r="CZ104" i="38"/>
  <c r="DC104" i="38"/>
  <c r="DD104" i="38"/>
  <c r="DE104" i="38"/>
  <c r="DF104" i="38"/>
  <c r="CS104" i="38"/>
  <c r="DC75" i="38"/>
  <c r="CN75" i="38"/>
  <c r="DD75" i="38"/>
  <c r="CR75" i="38"/>
  <c r="DH75" i="38"/>
  <c r="CS75" i="38"/>
  <c r="DI75" i="38"/>
  <c r="CV75" i="38"/>
  <c r="CW75" i="38"/>
  <c r="CX75" i="38"/>
  <c r="CY75" i="38"/>
  <c r="CZ75" i="38"/>
  <c r="DB75" i="38"/>
  <c r="DE75" i="38"/>
  <c r="DF75" i="38"/>
  <c r="DG75" i="38"/>
  <c r="CO75" i="38"/>
  <c r="CT75" i="38"/>
  <c r="CU75" i="38"/>
  <c r="DA75" i="38"/>
  <c r="CP75" i="38"/>
  <c r="CQ75" i="38"/>
  <c r="CW39" i="38"/>
  <c r="CX39" i="38"/>
  <c r="CP39" i="38"/>
  <c r="DH39" i="38"/>
  <c r="CQ39" i="38"/>
  <c r="DI39" i="38"/>
  <c r="CR39" i="38"/>
  <c r="CS39" i="38"/>
  <c r="CT39" i="38"/>
  <c r="CV39" i="38"/>
  <c r="CY39" i="38"/>
  <c r="CZ39" i="38"/>
  <c r="DA39" i="38"/>
  <c r="DB39" i="38"/>
  <c r="DD39" i="38"/>
  <c r="DE39" i="38"/>
  <c r="DF39" i="38"/>
  <c r="DG39" i="38"/>
  <c r="CO39" i="38"/>
  <c r="CU39" i="38"/>
  <c r="DC39" i="38"/>
  <c r="CN39" i="38"/>
  <c r="CF32" i="38"/>
  <c r="BR32" i="38"/>
  <c r="CH32" i="38"/>
  <c r="BS32" i="38"/>
  <c r="CI32" i="38"/>
  <c r="BT32" i="38"/>
  <c r="BU32" i="38"/>
  <c r="BW32" i="38"/>
  <c r="BX32" i="38"/>
  <c r="BY32" i="38"/>
  <c r="BZ32" i="38"/>
  <c r="CE32" i="38"/>
  <c r="BV32" i="38"/>
  <c r="CC32" i="38"/>
  <c r="CD32" i="38"/>
  <c r="CG32" i="38"/>
  <c r="CM32" i="38"/>
  <c r="CA32" i="38"/>
  <c r="CB32" i="38"/>
  <c r="CL32" i="38"/>
  <c r="CK32" i="38"/>
  <c r="CJ32" i="38"/>
  <c r="CU103" i="38"/>
  <c r="CV103" i="38"/>
  <c r="DA103" i="38"/>
  <c r="CS103" i="38"/>
  <c r="CT103" i="38"/>
  <c r="CW103" i="38"/>
  <c r="CX103" i="38"/>
  <c r="DD103" i="38"/>
  <c r="DE103" i="38"/>
  <c r="CN103" i="38"/>
  <c r="CO103" i="38"/>
  <c r="CP103" i="38"/>
  <c r="CQ103" i="38"/>
  <c r="CR103" i="38"/>
  <c r="CY103" i="38"/>
  <c r="CZ103" i="38"/>
  <c r="DB103" i="38"/>
  <c r="DC103" i="38"/>
  <c r="DF103" i="38"/>
  <c r="DG103" i="38"/>
  <c r="DI103" i="38"/>
  <c r="DH103" i="38"/>
  <c r="CU36" i="38"/>
  <c r="CV36" i="38"/>
  <c r="CT36" i="38"/>
  <c r="CW36" i="38"/>
  <c r="CX36" i="38"/>
  <c r="CY36" i="38"/>
  <c r="CZ36" i="38"/>
  <c r="DB36" i="38"/>
  <c r="DC36" i="38"/>
  <c r="DD36" i="38"/>
  <c r="DE36" i="38"/>
  <c r="CN36" i="38"/>
  <c r="DF36" i="38"/>
  <c r="CO36" i="38"/>
  <c r="CP36" i="38"/>
  <c r="CQ36" i="38"/>
  <c r="CR36" i="38"/>
  <c r="DA36" i="38"/>
  <c r="DG36" i="38"/>
  <c r="DH36" i="38"/>
  <c r="DI36" i="38"/>
  <c r="CS36" i="38"/>
  <c r="CB86" i="38"/>
  <c r="CC86" i="38"/>
  <c r="CD86" i="38"/>
  <c r="CE86" i="38"/>
  <c r="BR86" i="38"/>
  <c r="CH86" i="38"/>
  <c r="BS86" i="38"/>
  <c r="CI86" i="38"/>
  <c r="BU86" i="38"/>
  <c r="BV86" i="38"/>
  <c r="BZ86" i="38"/>
  <c r="BW86" i="38"/>
  <c r="BX86" i="38"/>
  <c r="BY86" i="38"/>
  <c r="CA86" i="38"/>
  <c r="BT86" i="38"/>
  <c r="CG86" i="38"/>
  <c r="CJ86" i="38"/>
  <c r="CK86" i="38"/>
  <c r="CL86" i="38"/>
  <c r="CM86" i="38"/>
  <c r="CF86" i="38"/>
  <c r="BR63" i="38"/>
  <c r="CH63" i="38"/>
  <c r="BT63" i="38"/>
  <c r="BU63" i="38"/>
  <c r="BV63" i="38"/>
  <c r="BW63" i="38"/>
  <c r="BY63" i="38"/>
  <c r="BZ63" i="38"/>
  <c r="CA63" i="38"/>
  <c r="CB63" i="38"/>
  <c r="CG63" i="38"/>
  <c r="CC63" i="38"/>
  <c r="CD63" i="38"/>
  <c r="CE63" i="38"/>
  <c r="CF63" i="38"/>
  <c r="CI63" i="38"/>
  <c r="BS63" i="38"/>
  <c r="CJ63" i="38"/>
  <c r="BX63" i="38"/>
  <c r="CK63" i="38"/>
  <c r="CL63" i="38"/>
  <c r="CM63" i="38"/>
  <c r="CD17" i="38"/>
  <c r="CF17" i="38"/>
  <c r="CG17" i="38"/>
  <c r="BR17" i="38"/>
  <c r="CH17" i="38"/>
  <c r="BS17" i="38"/>
  <c r="CI17" i="38"/>
  <c r="BU17" i="38"/>
  <c r="BV17" i="38"/>
  <c r="BW17" i="38"/>
  <c r="BX17" i="38"/>
  <c r="CC17" i="38"/>
  <c r="CA17" i="38"/>
  <c r="CB17" i="38"/>
  <c r="CE17" i="38"/>
  <c r="BY17" i="38"/>
  <c r="BT17" i="38"/>
  <c r="BZ17" i="38"/>
  <c r="CJ17" i="38"/>
  <c r="CK17" i="38"/>
  <c r="CL17" i="38"/>
  <c r="CM17" i="38"/>
  <c r="CQ81" i="38"/>
  <c r="DG81" i="38"/>
  <c r="CR81" i="38"/>
  <c r="DH81" i="38"/>
  <c r="CV81" i="38"/>
  <c r="CW81" i="38"/>
  <c r="CN81" i="38"/>
  <c r="CO81" i="38"/>
  <c r="CP81" i="38"/>
  <c r="CS81" i="38"/>
  <c r="CT81" i="38"/>
  <c r="CX81" i="38"/>
  <c r="CY81" i="38"/>
  <c r="CZ81" i="38"/>
  <c r="DA81" i="38"/>
  <c r="DB81" i="38"/>
  <c r="DC81" i="38"/>
  <c r="CU81" i="38"/>
  <c r="DD81" i="38"/>
  <c r="DE81" i="38"/>
  <c r="DF81" i="38"/>
  <c r="DI81" i="38"/>
  <c r="CF56" i="38"/>
  <c r="BR56" i="38"/>
  <c r="CH56" i="38"/>
  <c r="BS56" i="38"/>
  <c r="CI56" i="38"/>
  <c r="BT56" i="38"/>
  <c r="BU56" i="38"/>
  <c r="BW56" i="38"/>
  <c r="BX56" i="38"/>
  <c r="BY56" i="38"/>
  <c r="BZ56" i="38"/>
  <c r="CE56" i="38"/>
  <c r="CA56" i="38"/>
  <c r="CB56" i="38"/>
  <c r="CC56" i="38"/>
  <c r="CD56" i="38"/>
  <c r="CG56" i="38"/>
  <c r="CM56" i="38"/>
  <c r="BV56" i="38"/>
  <c r="CJ56" i="38"/>
  <c r="CK56" i="38"/>
  <c r="CL56" i="38"/>
  <c r="DA80" i="38"/>
  <c r="DB80" i="38"/>
  <c r="CP80" i="38"/>
  <c r="DF80" i="38"/>
  <c r="CQ80" i="38"/>
  <c r="DG80" i="38"/>
  <c r="CT80" i="38"/>
  <c r="CU80" i="38"/>
  <c r="CV80" i="38"/>
  <c r="CW80" i="38"/>
  <c r="CX80" i="38"/>
  <c r="CZ80" i="38"/>
  <c r="DC80" i="38"/>
  <c r="DD80" i="38"/>
  <c r="DE80" i="38"/>
  <c r="DH80" i="38"/>
  <c r="DI80" i="38"/>
  <c r="CY80" i="38"/>
  <c r="CN80" i="38"/>
  <c r="CR80" i="38"/>
  <c r="CO80" i="38"/>
  <c r="CS80" i="38"/>
  <c r="CB110" i="38"/>
  <c r="CC110" i="38"/>
  <c r="CD110" i="38"/>
  <c r="CE110" i="38"/>
  <c r="BR110" i="38"/>
  <c r="CH110" i="38"/>
  <c r="BU110" i="38"/>
  <c r="BY110" i="38"/>
  <c r="BZ110" i="38"/>
  <c r="CA110" i="38"/>
  <c r="CF110" i="38"/>
  <c r="BS110" i="38"/>
  <c r="BT110" i="38"/>
  <c r="BV110" i="38"/>
  <c r="CJ110" i="38"/>
  <c r="BW110" i="38"/>
  <c r="CK110" i="38"/>
  <c r="BX110" i="38"/>
  <c r="CI110" i="38"/>
  <c r="CM110" i="38"/>
  <c r="CG110" i="38"/>
  <c r="CL110" i="38"/>
  <c r="DB132" i="38"/>
  <c r="DC132" i="38"/>
  <c r="CN132" i="38"/>
  <c r="DD132" i="38"/>
  <c r="CO132" i="38"/>
  <c r="DE132" i="38"/>
  <c r="CQ132" i="38"/>
  <c r="CR132" i="38"/>
  <c r="CS132" i="38"/>
  <c r="CT132" i="38"/>
  <c r="CU132" i="38"/>
  <c r="CV132" i="38"/>
  <c r="CW132" i="38"/>
  <c r="CX132" i="38"/>
  <c r="CY132" i="38"/>
  <c r="CZ132" i="38"/>
  <c r="DA132" i="38"/>
  <c r="DI132" i="38"/>
  <c r="CP132" i="38"/>
  <c r="DF132" i="38"/>
  <c r="DG132" i="38"/>
  <c r="DH132" i="38"/>
  <c r="CQ97" i="38"/>
  <c r="DG97" i="38"/>
  <c r="CR97" i="38"/>
  <c r="DH97" i="38"/>
  <c r="CW97" i="38"/>
  <c r="CS97" i="38"/>
  <c r="CT97" i="38"/>
  <c r="CU97" i="38"/>
  <c r="CV97" i="38"/>
  <c r="CX97" i="38"/>
  <c r="DB97" i="38"/>
  <c r="DC97" i="38"/>
  <c r="CN97" i="38"/>
  <c r="CO97" i="38"/>
  <c r="CP97" i="38"/>
  <c r="CY97" i="38"/>
  <c r="CZ97" i="38"/>
  <c r="DD97" i="38"/>
  <c r="DF97" i="38"/>
  <c r="DA97" i="38"/>
  <c r="DE97" i="38"/>
  <c r="DI97" i="38"/>
  <c r="CO86" i="38"/>
  <c r="DE86" i="38"/>
  <c r="CP86" i="38"/>
  <c r="DF86" i="38"/>
  <c r="CU86" i="38"/>
  <c r="DB86" i="38"/>
  <c r="DC86" i="38"/>
  <c r="DD86" i="38"/>
  <c r="DG86" i="38"/>
  <c r="DH86" i="38"/>
  <c r="CQ86" i="38"/>
  <c r="CR86" i="38"/>
  <c r="CS86" i="38"/>
  <c r="CT86" i="38"/>
  <c r="CV86" i="38"/>
  <c r="CW86" i="38"/>
  <c r="CN86" i="38"/>
  <c r="CX86" i="38"/>
  <c r="CY86" i="38"/>
  <c r="CZ86" i="38"/>
  <c r="DA86" i="38"/>
  <c r="DI86" i="38"/>
  <c r="CU63" i="38"/>
  <c r="CV63" i="38"/>
  <c r="CZ63" i="38"/>
  <c r="DA63" i="38"/>
  <c r="DB63" i="38"/>
  <c r="CN63" i="38"/>
  <c r="DI63" i="38"/>
  <c r="CO63" i="38"/>
  <c r="CP63" i="38"/>
  <c r="CQ63" i="38"/>
  <c r="CR63" i="38"/>
  <c r="CT63" i="38"/>
  <c r="CW63" i="38"/>
  <c r="CX63" i="38"/>
  <c r="CY63" i="38"/>
  <c r="DC63" i="38"/>
  <c r="DD63" i="38"/>
  <c r="DH63" i="38"/>
  <c r="CS63" i="38"/>
  <c r="DF63" i="38"/>
  <c r="DE63" i="38"/>
  <c r="DG63" i="38"/>
  <c r="CS17" i="38"/>
  <c r="DI17" i="38"/>
  <c r="CT17" i="38"/>
  <c r="CU17" i="38"/>
  <c r="CV17" i="38"/>
  <c r="CY17" i="38"/>
  <c r="CZ17" i="38"/>
  <c r="CP17" i="38"/>
  <c r="CQ17" i="38"/>
  <c r="CR17" i="38"/>
  <c r="CW17" i="38"/>
  <c r="CX17" i="38"/>
  <c r="DB17" i="38"/>
  <c r="DC17" i="38"/>
  <c r="DD17" i="38"/>
  <c r="DE17" i="38"/>
  <c r="DF17" i="38"/>
  <c r="CN17" i="38"/>
  <c r="CO17" i="38"/>
  <c r="DA17" i="38"/>
  <c r="DG17" i="38"/>
  <c r="DH17" i="38"/>
  <c r="CD81" i="38"/>
  <c r="CF81" i="38"/>
  <c r="CG81" i="38"/>
  <c r="BR81" i="38"/>
  <c r="CH81" i="38"/>
  <c r="BS81" i="38"/>
  <c r="CI81" i="38"/>
  <c r="BU81" i="38"/>
  <c r="BV81" i="38"/>
  <c r="BW81" i="38"/>
  <c r="BX81" i="38"/>
  <c r="CC81" i="38"/>
  <c r="CA81" i="38"/>
  <c r="CB81" i="38"/>
  <c r="CE81" i="38"/>
  <c r="BY81" i="38"/>
  <c r="BZ81" i="38"/>
  <c r="BT81" i="38"/>
  <c r="CJ81" i="38"/>
  <c r="CK81" i="38"/>
  <c r="CL81" i="38"/>
  <c r="CM81" i="38"/>
  <c r="DC56" i="38"/>
  <c r="CN56" i="38"/>
  <c r="DD56" i="38"/>
  <c r="CO56" i="38"/>
  <c r="DG56" i="38"/>
  <c r="CP56" i="38"/>
  <c r="DH56" i="38"/>
  <c r="CT56" i="38"/>
  <c r="CU56" i="38"/>
  <c r="CV56" i="38"/>
  <c r="CS56" i="38"/>
  <c r="CW56" i="38"/>
  <c r="CX56" i="38"/>
  <c r="CY56" i="38"/>
  <c r="CZ56" i="38"/>
  <c r="DB56" i="38"/>
  <c r="DE56" i="38"/>
  <c r="DF56" i="38"/>
  <c r="DI56" i="38"/>
  <c r="CQ56" i="38"/>
  <c r="CR56" i="38"/>
  <c r="DA56" i="38"/>
  <c r="CF80" i="38"/>
  <c r="BR80" i="38"/>
  <c r="CH80" i="38"/>
  <c r="BS80" i="38"/>
  <c r="CI80" i="38"/>
  <c r="BT80" i="38"/>
  <c r="BU80" i="38"/>
  <c r="BW80" i="38"/>
  <c r="BX80" i="38"/>
  <c r="BY80" i="38"/>
  <c r="BZ80" i="38"/>
  <c r="CE80" i="38"/>
  <c r="BV80" i="38"/>
  <c r="CB80" i="38"/>
  <c r="CC80" i="38"/>
  <c r="CK80" i="38"/>
  <c r="CL80" i="38"/>
  <c r="CA80" i="38"/>
  <c r="CD80" i="38"/>
  <c r="CG80" i="38"/>
  <c r="CJ80" i="38"/>
  <c r="CM80" i="38"/>
  <c r="CX110" i="38"/>
  <c r="CY110" i="38"/>
  <c r="CZ110" i="38"/>
  <c r="DA110" i="38"/>
  <c r="DG110" i="38"/>
  <c r="CN110" i="38"/>
  <c r="DH110" i="38"/>
  <c r="CO110" i="38"/>
  <c r="DI110" i="38"/>
  <c r="CP110" i="38"/>
  <c r="CQ110" i="38"/>
  <c r="CR110" i="38"/>
  <c r="CS110" i="38"/>
  <c r="CT110" i="38"/>
  <c r="CU110" i="38"/>
  <c r="CV110" i="38"/>
  <c r="CW110" i="38"/>
  <c r="DC110" i="38"/>
  <c r="DE110" i="38"/>
  <c r="DB110" i="38"/>
  <c r="DD110" i="38"/>
  <c r="DF110" i="38"/>
  <c r="CG132" i="38"/>
  <c r="BR132" i="38"/>
  <c r="CH132" i="38"/>
  <c r="BS132" i="38"/>
  <c r="CI132" i="38"/>
  <c r="BT132" i="38"/>
  <c r="BW132" i="38"/>
  <c r="BX132" i="38"/>
  <c r="BY132" i="38"/>
  <c r="BZ132" i="38"/>
  <c r="BU132" i="38"/>
  <c r="BV132" i="38"/>
  <c r="CB132" i="38"/>
  <c r="CC132" i="38"/>
  <c r="CD132" i="38"/>
  <c r="CE132" i="38"/>
  <c r="CF132" i="38"/>
  <c r="CL132" i="38"/>
  <c r="CM132" i="38"/>
  <c r="CA132" i="38"/>
  <c r="CK132" i="38"/>
  <c r="CJ132" i="38"/>
  <c r="BV97" i="38"/>
  <c r="BW97" i="38"/>
  <c r="BX97" i="38"/>
  <c r="BY97" i="38"/>
  <c r="CB97" i="38"/>
  <c r="CC97" i="38"/>
  <c r="CE97" i="38"/>
  <c r="CF97" i="38"/>
  <c r="BT97" i="38"/>
  <c r="BU97" i="38"/>
  <c r="BZ97" i="38"/>
  <c r="CA97" i="38"/>
  <c r="CH97" i="38"/>
  <c r="CI97" i="38"/>
  <c r="BR97" i="38"/>
  <c r="BS97" i="38"/>
  <c r="CG97" i="38"/>
  <c r="CD97" i="38"/>
  <c r="CJ97" i="38"/>
  <c r="CK97" i="38"/>
  <c r="CL97" i="38"/>
  <c r="CM97" i="38"/>
  <c r="CY69" i="38"/>
  <c r="CZ69" i="38"/>
  <c r="CN69" i="38"/>
  <c r="DD69" i="38"/>
  <c r="CO69" i="38"/>
  <c r="DE69" i="38"/>
  <c r="CP69" i="38"/>
  <c r="DF69" i="38"/>
  <c r="CT69" i="38"/>
  <c r="CU69" i="38"/>
  <c r="CV69" i="38"/>
  <c r="CW69" i="38"/>
  <c r="CX69" i="38"/>
  <c r="DB69" i="38"/>
  <c r="DC69" i="38"/>
  <c r="DG69" i="38"/>
  <c r="DH69" i="38"/>
  <c r="DI69" i="38"/>
  <c r="CQ69" i="38"/>
  <c r="CS69" i="38"/>
  <c r="CR69" i="38"/>
  <c r="DA69" i="38"/>
  <c r="CY85" i="38"/>
  <c r="CZ85" i="38"/>
  <c r="CO85" i="38"/>
  <c r="DE85" i="38"/>
  <c r="CP85" i="38"/>
  <c r="DI85" i="38"/>
  <c r="CQ85" i="38"/>
  <c r="CR85" i="38"/>
  <c r="CS85" i="38"/>
  <c r="CT85" i="38"/>
  <c r="CV85" i="38"/>
  <c r="CW85" i="38"/>
  <c r="CX85" i="38"/>
  <c r="DA85" i="38"/>
  <c r="DB85" i="38"/>
  <c r="DC85" i="38"/>
  <c r="DF85" i="38"/>
  <c r="DG85" i="38"/>
  <c r="DH85" i="38"/>
  <c r="CU85" i="38"/>
  <c r="CN85" i="38"/>
  <c r="DD85" i="38"/>
  <c r="CO35" i="38"/>
  <c r="DE35" i="38"/>
  <c r="CP35" i="38"/>
  <c r="DF35" i="38"/>
  <c r="DB35" i="38"/>
  <c r="DC35" i="38"/>
  <c r="DD35" i="38"/>
  <c r="DG35" i="38"/>
  <c r="CN35" i="38"/>
  <c r="DH35" i="38"/>
  <c r="CR35" i="38"/>
  <c r="CS35" i="38"/>
  <c r="CT35" i="38"/>
  <c r="CU35" i="38"/>
  <c r="CV35" i="38"/>
  <c r="DI35" i="38"/>
  <c r="CQ35" i="38"/>
  <c r="CW35" i="38"/>
  <c r="CX35" i="38"/>
  <c r="CY35" i="38"/>
  <c r="CZ35" i="38"/>
  <c r="DA35" i="38"/>
  <c r="BZ59" i="38"/>
  <c r="CB59" i="38"/>
  <c r="CC59" i="38"/>
  <c r="CD59" i="38"/>
  <c r="CE59" i="38"/>
  <c r="CG59" i="38"/>
  <c r="BR59" i="38"/>
  <c r="CH59" i="38"/>
  <c r="BS59" i="38"/>
  <c r="CI59" i="38"/>
  <c r="BT59" i="38"/>
  <c r="BY59" i="38"/>
  <c r="BU59" i="38"/>
  <c r="BV59" i="38"/>
  <c r="BW59" i="38"/>
  <c r="CF59" i="38"/>
  <c r="BX59" i="38"/>
  <c r="CA59" i="38"/>
  <c r="CJ59" i="38"/>
  <c r="CK59" i="38"/>
  <c r="CL59" i="38"/>
  <c r="CM59" i="38"/>
  <c r="CB26" i="38"/>
  <c r="CD26" i="38"/>
  <c r="CE26" i="38"/>
  <c r="CF26" i="38"/>
  <c r="CG26" i="38"/>
  <c r="BS26" i="38"/>
  <c r="CI26" i="38"/>
  <c r="BT26" i="38"/>
  <c r="BU26" i="38"/>
  <c r="BV26" i="38"/>
  <c r="CA26" i="38"/>
  <c r="BR26" i="38"/>
  <c r="BW26" i="38"/>
  <c r="BX26" i="38"/>
  <c r="CC26" i="38"/>
  <c r="CJ26" i="38"/>
  <c r="CK26" i="38"/>
  <c r="CL26" i="38"/>
  <c r="BZ26" i="38"/>
  <c r="CH26" i="38"/>
  <c r="CM26" i="38"/>
  <c r="BY26" i="38"/>
  <c r="BV89" i="38"/>
  <c r="BW89" i="38"/>
  <c r="BX89" i="38"/>
  <c r="BY89" i="38"/>
  <c r="CB89" i="38"/>
  <c r="CC89" i="38"/>
  <c r="CE89" i="38"/>
  <c r="CF89" i="38"/>
  <c r="BR89" i="38"/>
  <c r="BS89" i="38"/>
  <c r="BT89" i="38"/>
  <c r="BU89" i="38"/>
  <c r="BZ89" i="38"/>
  <c r="CA89" i="38"/>
  <c r="CG89" i="38"/>
  <c r="CH89" i="38"/>
  <c r="CI89" i="38"/>
  <c r="CJ89" i="38"/>
  <c r="CK89" i="38"/>
  <c r="CL89" i="38"/>
  <c r="CM89" i="38"/>
  <c r="CD89" i="38"/>
  <c r="BV69" i="38"/>
  <c r="BX69" i="38"/>
  <c r="BY69" i="38"/>
  <c r="BZ69" i="38"/>
  <c r="CA69" i="38"/>
  <c r="CC69" i="38"/>
  <c r="CD69" i="38"/>
  <c r="CE69" i="38"/>
  <c r="CF69" i="38"/>
  <c r="BU69" i="38"/>
  <c r="CG69" i="38"/>
  <c r="CH69" i="38"/>
  <c r="CI69" i="38"/>
  <c r="BW69" i="38"/>
  <c r="CJ69" i="38"/>
  <c r="BR69" i="38"/>
  <c r="BS69" i="38"/>
  <c r="CB69" i="38"/>
  <c r="CK69" i="38"/>
  <c r="CL69" i="38"/>
  <c r="BT69" i="38"/>
  <c r="CM69" i="38"/>
  <c r="CD85" i="38"/>
  <c r="CE85" i="38"/>
  <c r="CF85" i="38"/>
  <c r="CG85" i="38"/>
  <c r="BT85" i="38"/>
  <c r="BU85" i="38"/>
  <c r="BW85" i="38"/>
  <c r="BX85" i="38"/>
  <c r="CB85" i="38"/>
  <c r="BR85" i="38"/>
  <c r="BS85" i="38"/>
  <c r="BV85" i="38"/>
  <c r="BY85" i="38"/>
  <c r="BZ85" i="38"/>
  <c r="CJ85" i="38"/>
  <c r="CA85" i="38"/>
  <c r="CC85" i="38"/>
  <c r="CH85" i="38"/>
  <c r="CI85" i="38"/>
  <c r="CK85" i="38"/>
  <c r="CM85" i="38"/>
  <c r="CL85" i="38"/>
  <c r="BZ35" i="38"/>
  <c r="CB35" i="38"/>
  <c r="CC35" i="38"/>
  <c r="CD35" i="38"/>
  <c r="CE35" i="38"/>
  <c r="CG35" i="38"/>
  <c r="BR35" i="38"/>
  <c r="CH35" i="38"/>
  <c r="BS35" i="38"/>
  <c r="CI35" i="38"/>
  <c r="BT35" i="38"/>
  <c r="BY35" i="38"/>
  <c r="BU35" i="38"/>
  <c r="BV35" i="38"/>
  <c r="BW35" i="38"/>
  <c r="BX35" i="38"/>
  <c r="CA35" i="38"/>
  <c r="CF35" i="38"/>
  <c r="CJ35" i="38"/>
  <c r="CK35" i="38"/>
  <c r="CL35" i="38"/>
  <c r="CM35" i="38"/>
  <c r="CO59" i="38"/>
  <c r="DE59" i="38"/>
  <c r="CP59" i="38"/>
  <c r="DF59" i="38"/>
  <c r="DA59" i="38"/>
  <c r="DB59" i="38"/>
  <c r="CN59" i="38"/>
  <c r="DH59" i="38"/>
  <c r="CQ59" i="38"/>
  <c r="DI59" i="38"/>
  <c r="CR59" i="38"/>
  <c r="CV59" i="38"/>
  <c r="CW59" i="38"/>
  <c r="CX59" i="38"/>
  <c r="CY59" i="38"/>
  <c r="CZ59" i="38"/>
  <c r="DD59" i="38"/>
  <c r="DG59" i="38"/>
  <c r="CS59" i="38"/>
  <c r="CT59" i="38"/>
  <c r="CU59" i="38"/>
  <c r="DC59" i="38"/>
  <c r="CY26" i="38"/>
  <c r="CZ26" i="38"/>
  <c r="DA26" i="38"/>
  <c r="DB26" i="38"/>
  <c r="DG26" i="38"/>
  <c r="CN26" i="38"/>
  <c r="DH26" i="38"/>
  <c r="CO26" i="38"/>
  <c r="DI26" i="38"/>
  <c r="CP26" i="38"/>
  <c r="CQ26" i="38"/>
  <c r="CS26" i="38"/>
  <c r="CT26" i="38"/>
  <c r="CU26" i="38"/>
  <c r="CV26" i="38"/>
  <c r="CW26" i="38"/>
  <c r="CR26" i="38"/>
  <c r="CX26" i="38"/>
  <c r="DC26" i="38"/>
  <c r="DE26" i="38"/>
  <c r="DF26" i="38"/>
  <c r="DD26" i="38"/>
  <c r="CQ89" i="38"/>
  <c r="DG89" i="38"/>
  <c r="CR89" i="38"/>
  <c r="DH89" i="38"/>
  <c r="CW89" i="38"/>
  <c r="DC89" i="38"/>
  <c r="DD89" i="38"/>
  <c r="DE89" i="38"/>
  <c r="DF89" i="38"/>
  <c r="CN89" i="38"/>
  <c r="DI89" i="38"/>
  <c r="CP89" i="38"/>
  <c r="CS89" i="38"/>
  <c r="CT89" i="38"/>
  <c r="CU89" i="38"/>
  <c r="CV89" i="38"/>
  <c r="CX89" i="38"/>
  <c r="CO89" i="38"/>
  <c r="CY89" i="38"/>
  <c r="CZ89" i="38"/>
  <c r="DA89" i="38"/>
  <c r="DB89" i="38"/>
  <c r="BX36" i="38"/>
  <c r="BZ36" i="38"/>
  <c r="CA36" i="38"/>
  <c r="CB36" i="38"/>
  <c r="CC36" i="38"/>
  <c r="CE36" i="38"/>
  <c r="CF36" i="38"/>
  <c r="CG36" i="38"/>
  <c r="BR36" i="38"/>
  <c r="CH36" i="38"/>
  <c r="BW36" i="38"/>
  <c r="BY36" i="38"/>
  <c r="CD36" i="38"/>
  <c r="CI36" i="38"/>
  <c r="BU36" i="38"/>
  <c r="BS36" i="38"/>
  <c r="BT36" i="38"/>
  <c r="CJ36" i="38"/>
  <c r="BV36" i="38"/>
  <c r="CK36" i="38"/>
  <c r="CL36" i="38"/>
  <c r="CM36" i="38"/>
  <c r="CU79" i="38"/>
  <c r="CV79" i="38"/>
  <c r="CZ79" i="38"/>
  <c r="DA79" i="38"/>
  <c r="CX79" i="38"/>
  <c r="CY79" i="38"/>
  <c r="DB79" i="38"/>
  <c r="DC79" i="38"/>
  <c r="DD79" i="38"/>
  <c r="DF79" i="38"/>
  <c r="DG79" i="38"/>
  <c r="CN79" i="38"/>
  <c r="DH79" i="38"/>
  <c r="CO79" i="38"/>
  <c r="DI79" i="38"/>
  <c r="CP79" i="38"/>
  <c r="CQ79" i="38"/>
  <c r="CR79" i="38"/>
  <c r="CS79" i="38"/>
  <c r="CT79" i="38"/>
  <c r="CW79" i="38"/>
  <c r="DE79" i="38"/>
  <c r="CX134" i="38"/>
  <c r="CY134" i="38"/>
  <c r="CZ134" i="38"/>
  <c r="DA134" i="38"/>
  <c r="DC134" i="38"/>
  <c r="DD134" i="38"/>
  <c r="DE134" i="38"/>
  <c r="DF134" i="38"/>
  <c r="DG134" i="38"/>
  <c r="CN134" i="38"/>
  <c r="DH134" i="38"/>
  <c r="CO134" i="38"/>
  <c r="DI134" i="38"/>
  <c r="CP134" i="38"/>
  <c r="CQ134" i="38"/>
  <c r="CR134" i="38"/>
  <c r="CS134" i="38"/>
  <c r="CW134" i="38"/>
  <c r="CV134" i="38"/>
  <c r="DB134" i="38"/>
  <c r="CT134" i="38"/>
  <c r="CU134" i="38"/>
  <c r="BZ111" i="38"/>
  <c r="CA111" i="38"/>
  <c r="CB111" i="38"/>
  <c r="CC111" i="38"/>
  <c r="CF111" i="38"/>
  <c r="BS111" i="38"/>
  <c r="CI111" i="38"/>
  <c r="CH111" i="38"/>
  <c r="BR111" i="38"/>
  <c r="BT111" i="38"/>
  <c r="BU111" i="38"/>
  <c r="BV111" i="38"/>
  <c r="BW111" i="38"/>
  <c r="BY111" i="38"/>
  <c r="CD111" i="38"/>
  <c r="CE111" i="38"/>
  <c r="CG111" i="38"/>
  <c r="BX111" i="38"/>
  <c r="CJ111" i="38"/>
  <c r="CK111" i="38"/>
  <c r="CL111" i="38"/>
  <c r="CM111" i="38"/>
  <c r="CT120" i="38"/>
  <c r="CU120" i="38"/>
  <c r="CV120" i="38"/>
  <c r="CW120" i="38"/>
  <c r="DC120" i="38"/>
  <c r="DD120" i="38"/>
  <c r="DE120" i="38"/>
  <c r="DF120" i="38"/>
  <c r="DG120" i="38"/>
  <c r="CN120" i="38"/>
  <c r="DH120" i="38"/>
  <c r="CO120" i="38"/>
  <c r="DI120" i="38"/>
  <c r="CP120" i="38"/>
  <c r="CQ120" i="38"/>
  <c r="CR120" i="38"/>
  <c r="CS120" i="38"/>
  <c r="DA120" i="38"/>
  <c r="CX120" i="38"/>
  <c r="CY120" i="38"/>
  <c r="CZ120" i="38"/>
  <c r="DB120" i="38"/>
  <c r="CV139" i="38"/>
  <c r="CW139" i="38"/>
  <c r="CX139" i="38"/>
  <c r="CR139" i="38"/>
  <c r="CS139" i="38"/>
  <c r="CT139" i="38"/>
  <c r="CU139" i="38"/>
  <c r="CY139" i="38"/>
  <c r="CZ139" i="38"/>
  <c r="DA139" i="38"/>
  <c r="DB139" i="38"/>
  <c r="DC139" i="38"/>
  <c r="DE139" i="38"/>
  <c r="CP139" i="38"/>
  <c r="DI139" i="38"/>
  <c r="CN139" i="38"/>
  <c r="CO139" i="38"/>
  <c r="CQ139" i="38"/>
  <c r="DD139" i="38"/>
  <c r="DF139" i="38"/>
  <c r="DG139" i="38"/>
  <c r="DH139" i="38"/>
  <c r="BQ58" i="38"/>
  <c r="BP58" i="38"/>
  <c r="BQ72" i="38"/>
  <c r="BP72" i="38"/>
  <c r="BP64" i="38"/>
  <c r="BQ64" i="38"/>
  <c r="BV129" i="38"/>
  <c r="BW129" i="38"/>
  <c r="BX129" i="38"/>
  <c r="BY129" i="38"/>
  <c r="BR129" i="38"/>
  <c r="BS129" i="38"/>
  <c r="BZ129" i="38"/>
  <c r="CA129" i="38"/>
  <c r="CB129" i="38"/>
  <c r="CC129" i="38"/>
  <c r="CG129" i="38"/>
  <c r="CH129" i="38"/>
  <c r="CI129" i="38"/>
  <c r="CE129" i="38"/>
  <c r="CJ129" i="38"/>
  <c r="CF129" i="38"/>
  <c r="CK129" i="38"/>
  <c r="CL129" i="38"/>
  <c r="CM129" i="38"/>
  <c r="BT129" i="38"/>
  <c r="BU129" i="38"/>
  <c r="CD129" i="38"/>
  <c r="CQ38" i="38"/>
  <c r="DG38" i="38"/>
  <c r="CR38" i="38"/>
  <c r="DH38" i="38"/>
  <c r="CX38" i="38"/>
  <c r="CY38" i="38"/>
  <c r="CZ38" i="38"/>
  <c r="DA38" i="38"/>
  <c r="DB38" i="38"/>
  <c r="DD38" i="38"/>
  <c r="DE38" i="38"/>
  <c r="CN38" i="38"/>
  <c r="DF38" i="38"/>
  <c r="CO38" i="38"/>
  <c r="DI38" i="38"/>
  <c r="CP38" i="38"/>
  <c r="CS38" i="38"/>
  <c r="CT38" i="38"/>
  <c r="CV38" i="38"/>
  <c r="CW38" i="38"/>
  <c r="DC38" i="38"/>
  <c r="CU38" i="38"/>
  <c r="CD101" i="38"/>
  <c r="CE101" i="38"/>
  <c r="CF101" i="38"/>
  <c r="CG101" i="38"/>
  <c r="BT101" i="38"/>
  <c r="BU101" i="38"/>
  <c r="BW101" i="38"/>
  <c r="BX101" i="38"/>
  <c r="BR101" i="38"/>
  <c r="BS101" i="38"/>
  <c r="BZ101" i="38"/>
  <c r="CA101" i="38"/>
  <c r="CB101" i="38"/>
  <c r="CC101" i="38"/>
  <c r="CH101" i="38"/>
  <c r="CJ101" i="38"/>
  <c r="BV101" i="38"/>
  <c r="BY101" i="38"/>
  <c r="CM101" i="38"/>
  <c r="CI101" i="38"/>
  <c r="CK101" i="38"/>
  <c r="CL101" i="38"/>
  <c r="CN111" i="38"/>
  <c r="DD111" i="38"/>
  <c r="CO111" i="38"/>
  <c r="DE111" i="38"/>
  <c r="CP111" i="38"/>
  <c r="DF111" i="38"/>
  <c r="CQ111" i="38"/>
  <c r="DG111" i="38"/>
  <c r="DA111" i="38"/>
  <c r="DB111" i="38"/>
  <c r="DC111" i="38"/>
  <c r="DH111" i="38"/>
  <c r="DI111" i="38"/>
  <c r="CR111" i="38"/>
  <c r="CS111" i="38"/>
  <c r="CT111" i="38"/>
  <c r="CU111" i="38"/>
  <c r="CW111" i="38"/>
  <c r="CY111" i="38"/>
  <c r="CZ111" i="38"/>
  <c r="CV111" i="38"/>
  <c r="CX111" i="38"/>
  <c r="BW137" i="38"/>
  <c r="BX137" i="38"/>
  <c r="BY137" i="38"/>
  <c r="BZ137" i="38"/>
  <c r="CC137" i="38"/>
  <c r="CD137" i="38"/>
  <c r="CE137" i="38"/>
  <c r="CF137" i="38"/>
  <c r="BT137" i="38"/>
  <c r="BU137" i="38"/>
  <c r="BV137" i="38"/>
  <c r="CA137" i="38"/>
  <c r="CB137" i="38"/>
  <c r="CH137" i="38"/>
  <c r="CI137" i="38"/>
  <c r="CJ137" i="38"/>
  <c r="CK137" i="38"/>
  <c r="CL137" i="38"/>
  <c r="BR137" i="38"/>
  <c r="BS137" i="38"/>
  <c r="CG137" i="38"/>
  <c r="CM137" i="38"/>
  <c r="CR133" i="38"/>
  <c r="DH133" i="38"/>
  <c r="CS133" i="38"/>
  <c r="DI133" i="38"/>
  <c r="CT133" i="38"/>
  <c r="CU133" i="38"/>
  <c r="DE133" i="38"/>
  <c r="DF133" i="38"/>
  <c r="DG133" i="38"/>
  <c r="CN133" i="38"/>
  <c r="CO133" i="38"/>
  <c r="CP133" i="38"/>
  <c r="CQ133" i="38"/>
  <c r="CV133" i="38"/>
  <c r="CW133" i="38"/>
  <c r="CX133" i="38"/>
  <c r="CY133" i="38"/>
  <c r="DC133" i="38"/>
  <c r="CZ133" i="38"/>
  <c r="DA133" i="38"/>
  <c r="DB133" i="38"/>
  <c r="DD133" i="38"/>
  <c r="CE133" i="38"/>
  <c r="CF133" i="38"/>
  <c r="CG133" i="38"/>
  <c r="BR133" i="38"/>
  <c r="CH133" i="38"/>
  <c r="BU133" i="38"/>
  <c r="BV133" i="38"/>
  <c r="BW133" i="38"/>
  <c r="BX133" i="38"/>
  <c r="CB133" i="38"/>
  <c r="CC133" i="38"/>
  <c r="CD133" i="38"/>
  <c r="CI133" i="38"/>
  <c r="BS133" i="38"/>
  <c r="BT133" i="38"/>
  <c r="BY133" i="38"/>
  <c r="CK133" i="38"/>
  <c r="CL133" i="38"/>
  <c r="CM133" i="38"/>
  <c r="BZ133" i="38"/>
  <c r="CA133" i="38"/>
  <c r="CJ133" i="38"/>
  <c r="CZ129" i="38"/>
  <c r="DA129" i="38"/>
  <c r="DB129" i="38"/>
  <c r="DC129" i="38"/>
  <c r="DE129" i="38"/>
  <c r="DF129" i="38"/>
  <c r="DG129" i="38"/>
  <c r="CN129" i="38"/>
  <c r="DH129" i="38"/>
  <c r="CO129" i="38"/>
  <c r="DI129" i="38"/>
  <c r="CP129" i="38"/>
  <c r="CQ129" i="38"/>
  <c r="CR129" i="38"/>
  <c r="CS129" i="38"/>
  <c r="CT129" i="38"/>
  <c r="CU129" i="38"/>
  <c r="CY129" i="38"/>
  <c r="CV129" i="38"/>
  <c r="CW129" i="38"/>
  <c r="CX129" i="38"/>
  <c r="DD129" i="38"/>
  <c r="CY101" i="38"/>
  <c r="CZ101" i="38"/>
  <c r="CO101" i="38"/>
  <c r="DE101" i="38"/>
  <c r="DG101" i="38"/>
  <c r="CN101" i="38"/>
  <c r="DH101" i="38"/>
  <c r="CP101" i="38"/>
  <c r="DI101" i="38"/>
  <c r="CQ101" i="38"/>
  <c r="CV101" i="38"/>
  <c r="CW101" i="38"/>
  <c r="DF101" i="38"/>
  <c r="CR101" i="38"/>
  <c r="CS101" i="38"/>
  <c r="CT101" i="38"/>
  <c r="CU101" i="38"/>
  <c r="DA101" i="38"/>
  <c r="DC101" i="38"/>
  <c r="DB101" i="38"/>
  <c r="DD101" i="38"/>
  <c r="CX101" i="38"/>
  <c r="CV115" i="38"/>
  <c r="CW115" i="38"/>
  <c r="CX115" i="38"/>
  <c r="CY115" i="38"/>
  <c r="DE115" i="38"/>
  <c r="DF115" i="38"/>
  <c r="DG115" i="38"/>
  <c r="CN115" i="38"/>
  <c r="DH115" i="38"/>
  <c r="CO115" i="38"/>
  <c r="DI115" i="38"/>
  <c r="CP115" i="38"/>
  <c r="CQ115" i="38"/>
  <c r="CR115" i="38"/>
  <c r="CS115" i="38"/>
  <c r="CT115" i="38"/>
  <c r="CU115" i="38"/>
  <c r="DA115" i="38"/>
  <c r="DC115" i="38"/>
  <c r="DD115" i="38"/>
  <c r="CZ115" i="38"/>
  <c r="DB115" i="38"/>
  <c r="BX28" i="38"/>
  <c r="BZ28" i="38"/>
  <c r="CA28" i="38"/>
  <c r="CB28" i="38"/>
  <c r="CC28" i="38"/>
  <c r="CE28" i="38"/>
  <c r="CF28" i="38"/>
  <c r="CG28" i="38"/>
  <c r="BR28" i="38"/>
  <c r="CH28" i="38"/>
  <c r="BW28" i="38"/>
  <c r="BS28" i="38"/>
  <c r="BT28" i="38"/>
  <c r="BU28" i="38"/>
  <c r="BV28" i="38"/>
  <c r="BY28" i="38"/>
  <c r="CD28" i="38"/>
  <c r="CI28" i="38"/>
  <c r="CK28" i="38"/>
  <c r="CL28" i="38"/>
  <c r="CM28" i="38"/>
  <c r="CJ28" i="38"/>
  <c r="DC48" i="38"/>
  <c r="CN48" i="38"/>
  <c r="DD48" i="38"/>
  <c r="CT48" i="38"/>
  <c r="CU48" i="38"/>
  <c r="CV48" i="38"/>
  <c r="CW48" i="38"/>
  <c r="CZ48" i="38"/>
  <c r="DA48" i="38"/>
  <c r="DB48" i="38"/>
  <c r="CX48" i="38"/>
  <c r="CY48" i="38"/>
  <c r="DE48" i="38"/>
  <c r="DF48" i="38"/>
  <c r="DG48" i="38"/>
  <c r="DI48" i="38"/>
  <c r="CO48" i="38"/>
  <c r="CP48" i="38"/>
  <c r="CQ48" i="38"/>
  <c r="CR48" i="38"/>
  <c r="CS48" i="38"/>
  <c r="DH48" i="38"/>
  <c r="CS33" i="38"/>
  <c r="DI33" i="38"/>
  <c r="CT33" i="38"/>
  <c r="CZ33" i="38"/>
  <c r="DA33" i="38"/>
  <c r="DB33" i="38"/>
  <c r="DC33" i="38"/>
  <c r="DD33" i="38"/>
  <c r="CN33" i="38"/>
  <c r="DF33" i="38"/>
  <c r="CO33" i="38"/>
  <c r="DG33" i="38"/>
  <c r="CP33" i="38"/>
  <c r="DH33" i="38"/>
  <c r="CQ33" i="38"/>
  <c r="CR33" i="38"/>
  <c r="CU33" i="38"/>
  <c r="CV33" i="38"/>
  <c r="CW33" i="38"/>
  <c r="CX33" i="38"/>
  <c r="CY33" i="38"/>
  <c r="DE33" i="38"/>
  <c r="CF16" i="38"/>
  <c r="BR16" i="38"/>
  <c r="CH16" i="38"/>
  <c r="BS16" i="38"/>
  <c r="CI16" i="38"/>
  <c r="BT16" i="38"/>
  <c r="BU16" i="38"/>
  <c r="BW16" i="38"/>
  <c r="BX16" i="38"/>
  <c r="BY16" i="38"/>
  <c r="BZ16" i="38"/>
  <c r="CE16" i="38"/>
  <c r="BV16" i="38"/>
  <c r="CA16" i="38"/>
  <c r="CB16" i="38"/>
  <c r="CC16" i="38"/>
  <c r="CD16" i="38"/>
  <c r="CM16" i="38"/>
  <c r="CG16" i="38"/>
  <c r="CJ16" i="38"/>
  <c r="CK16" i="38"/>
  <c r="CL16" i="38"/>
  <c r="CY34" i="38"/>
  <c r="CZ34" i="38"/>
  <c r="CR34" i="38"/>
  <c r="CS34" i="38"/>
  <c r="CT34" i="38"/>
  <c r="CU34" i="38"/>
  <c r="CV34" i="38"/>
  <c r="CX34" i="38"/>
  <c r="DA34" i="38"/>
  <c r="DB34" i="38"/>
  <c r="DC34" i="38"/>
  <c r="DD34" i="38"/>
  <c r="CN34" i="38"/>
  <c r="CO34" i="38"/>
  <c r="CP34" i="38"/>
  <c r="CQ34" i="38"/>
  <c r="CW34" i="38"/>
  <c r="DF34" i="38"/>
  <c r="DG34" i="38"/>
  <c r="DH34" i="38"/>
  <c r="DI34" i="38"/>
  <c r="DE34" i="38"/>
  <c r="CU20" i="38"/>
  <c r="CV20" i="38"/>
  <c r="CW20" i="38"/>
  <c r="CX20" i="38"/>
  <c r="DA20" i="38"/>
  <c r="DB20" i="38"/>
  <c r="CP20" i="38"/>
  <c r="CQ20" i="38"/>
  <c r="CR20" i="38"/>
  <c r="CS20" i="38"/>
  <c r="CT20" i="38"/>
  <c r="CZ20" i="38"/>
  <c r="DC20" i="38"/>
  <c r="DD20" i="38"/>
  <c r="DE20" i="38"/>
  <c r="DF20" i="38"/>
  <c r="DH20" i="38"/>
  <c r="DI20" i="38"/>
  <c r="CN20" i="38"/>
  <c r="CO20" i="38"/>
  <c r="CY20" i="38"/>
  <c r="DG20" i="38"/>
  <c r="CY50" i="38"/>
  <c r="CZ50" i="38"/>
  <c r="CV50" i="38"/>
  <c r="CW50" i="38"/>
  <c r="CX50" i="38"/>
  <c r="DD50" i="38"/>
  <c r="DE50" i="38"/>
  <c r="CN50" i="38"/>
  <c r="DF50" i="38"/>
  <c r="DG50" i="38"/>
  <c r="DH50" i="38"/>
  <c r="DI50" i="38"/>
  <c r="CO50" i="38"/>
  <c r="CP50" i="38"/>
  <c r="CQ50" i="38"/>
  <c r="CR50" i="38"/>
  <c r="CS50" i="38"/>
  <c r="CT50" i="38"/>
  <c r="CU50" i="38"/>
  <c r="DB50" i="38"/>
  <c r="DA50" i="38"/>
  <c r="DC50" i="38"/>
  <c r="CW31" i="38"/>
  <c r="CX31" i="38"/>
  <c r="CV31" i="38"/>
  <c r="CY31" i="38"/>
  <c r="CZ31" i="38"/>
  <c r="DA31" i="38"/>
  <c r="DB31" i="38"/>
  <c r="DD31" i="38"/>
  <c r="DE31" i="38"/>
  <c r="CN31" i="38"/>
  <c r="DF31" i="38"/>
  <c r="CO31" i="38"/>
  <c r="DG31" i="38"/>
  <c r="CP31" i="38"/>
  <c r="DH31" i="38"/>
  <c r="CQ31" i="38"/>
  <c r="CR31" i="38"/>
  <c r="CS31" i="38"/>
  <c r="CT31" i="38"/>
  <c r="CU31" i="38"/>
  <c r="DC31" i="38"/>
  <c r="DI31" i="38"/>
  <c r="BV29" i="38"/>
  <c r="BX29" i="38"/>
  <c r="BY29" i="38"/>
  <c r="BZ29" i="38"/>
  <c r="CA29" i="38"/>
  <c r="CC29" i="38"/>
  <c r="CD29" i="38"/>
  <c r="CE29" i="38"/>
  <c r="CF29" i="38"/>
  <c r="BU29" i="38"/>
  <c r="BW29" i="38"/>
  <c r="CB29" i="38"/>
  <c r="CG29" i="38"/>
  <c r="CH29" i="38"/>
  <c r="BS29" i="38"/>
  <c r="CK29" i="38"/>
  <c r="CL29" i="38"/>
  <c r="CM29" i="38"/>
  <c r="BR29" i="38"/>
  <c r="BT29" i="38"/>
  <c r="CI29" i="38"/>
  <c r="CJ29" i="38"/>
  <c r="BQ8" i="38"/>
  <c r="BP8" i="38"/>
  <c r="BT38" i="38"/>
  <c r="BV38" i="38"/>
  <c r="BW38" i="38"/>
  <c r="BX38" i="38"/>
  <c r="BY38" i="38"/>
  <c r="CA38" i="38"/>
  <c r="CB38" i="38"/>
  <c r="CC38" i="38"/>
  <c r="CD38" i="38"/>
  <c r="BS38" i="38"/>
  <c r="CI38" i="38"/>
  <c r="CG38" i="38"/>
  <c r="CH38" i="38"/>
  <c r="CE38" i="38"/>
  <c r="BZ38" i="38"/>
  <c r="CF38" i="38"/>
  <c r="CJ38" i="38"/>
  <c r="CL38" i="38"/>
  <c r="CM38" i="38"/>
  <c r="BR38" i="38"/>
  <c r="CK38" i="38"/>
  <c r="BU38" i="38"/>
  <c r="CB74" i="38"/>
  <c r="CD74" i="38"/>
  <c r="CE74" i="38"/>
  <c r="CF74" i="38"/>
  <c r="CG74" i="38"/>
  <c r="BS74" i="38"/>
  <c r="CI74" i="38"/>
  <c r="BT74" i="38"/>
  <c r="BU74" i="38"/>
  <c r="BV74" i="38"/>
  <c r="CA74" i="38"/>
  <c r="BY74" i="38"/>
  <c r="BZ74" i="38"/>
  <c r="CC74" i="38"/>
  <c r="CH74" i="38"/>
  <c r="BW74" i="38"/>
  <c r="BR74" i="38"/>
  <c r="BX74" i="38"/>
  <c r="CL74" i="38"/>
  <c r="CM74" i="38"/>
  <c r="CJ74" i="38"/>
  <c r="CK74" i="38"/>
  <c r="CU28" i="38"/>
  <c r="CV28" i="38"/>
  <c r="CW28" i="38"/>
  <c r="CX28" i="38"/>
  <c r="CY28" i="38"/>
  <c r="CZ28" i="38"/>
  <c r="DA28" i="38"/>
  <c r="DB28" i="38"/>
  <c r="DC28" i="38"/>
  <c r="DE28" i="38"/>
  <c r="DF28" i="38"/>
  <c r="DG28" i="38"/>
  <c r="CN28" i="38"/>
  <c r="DH28" i="38"/>
  <c r="CO28" i="38"/>
  <c r="DI28" i="38"/>
  <c r="CQ28" i="38"/>
  <c r="CR28" i="38"/>
  <c r="CS28" i="38"/>
  <c r="CT28" i="38"/>
  <c r="DD28" i="38"/>
  <c r="CP28" i="38"/>
  <c r="CF48" i="38"/>
  <c r="BR48" i="38"/>
  <c r="CH48" i="38"/>
  <c r="BS48" i="38"/>
  <c r="CI48" i="38"/>
  <c r="BT48" i="38"/>
  <c r="BU48" i="38"/>
  <c r="BW48" i="38"/>
  <c r="BX48" i="38"/>
  <c r="BY48" i="38"/>
  <c r="BZ48" i="38"/>
  <c r="CE48" i="38"/>
  <c r="CA48" i="38"/>
  <c r="CB48" i="38"/>
  <c r="CC48" i="38"/>
  <c r="CD48" i="38"/>
  <c r="CM48" i="38"/>
  <c r="BV48" i="38"/>
  <c r="CG48" i="38"/>
  <c r="CJ48" i="38"/>
  <c r="CK48" i="38"/>
  <c r="CL48" i="38"/>
  <c r="CD33" i="38"/>
  <c r="CF33" i="38"/>
  <c r="CG33" i="38"/>
  <c r="BR33" i="38"/>
  <c r="CH33" i="38"/>
  <c r="BS33" i="38"/>
  <c r="CI33" i="38"/>
  <c r="BU33" i="38"/>
  <c r="BV33" i="38"/>
  <c r="BW33" i="38"/>
  <c r="BX33" i="38"/>
  <c r="CC33" i="38"/>
  <c r="BT33" i="38"/>
  <c r="BY33" i="38"/>
  <c r="BZ33" i="38"/>
  <c r="CE33" i="38"/>
  <c r="CJ33" i="38"/>
  <c r="CK33" i="38"/>
  <c r="CL33" i="38"/>
  <c r="CB33" i="38"/>
  <c r="CA33" i="38"/>
  <c r="CM33" i="38"/>
  <c r="DC16" i="38"/>
  <c r="CN16" i="38"/>
  <c r="DD16" i="38"/>
  <c r="CO16" i="38"/>
  <c r="DE16" i="38"/>
  <c r="CP16" i="38"/>
  <c r="DF16" i="38"/>
  <c r="CS16" i="38"/>
  <c r="DI16" i="38"/>
  <c r="CT16" i="38"/>
  <c r="CR16" i="38"/>
  <c r="CU16" i="38"/>
  <c r="CV16" i="38"/>
  <c r="CW16" i="38"/>
  <c r="CX16" i="38"/>
  <c r="CZ16" i="38"/>
  <c r="DA16" i="38"/>
  <c r="DB16" i="38"/>
  <c r="DG16" i="38"/>
  <c r="DH16" i="38"/>
  <c r="CY16" i="38"/>
  <c r="CQ16" i="38"/>
  <c r="CB34" i="38"/>
  <c r="CD34" i="38"/>
  <c r="CE34" i="38"/>
  <c r="CF34" i="38"/>
  <c r="CG34" i="38"/>
  <c r="BS34" i="38"/>
  <c r="CI34" i="38"/>
  <c r="BT34" i="38"/>
  <c r="BU34" i="38"/>
  <c r="BV34" i="38"/>
  <c r="CA34" i="38"/>
  <c r="BW34" i="38"/>
  <c r="BX34" i="38"/>
  <c r="BY34" i="38"/>
  <c r="BZ34" i="38"/>
  <c r="CJ34" i="38"/>
  <c r="BR34" i="38"/>
  <c r="CC34" i="38"/>
  <c r="CH34" i="38"/>
  <c r="CK34" i="38"/>
  <c r="CL34" i="38"/>
  <c r="CM34" i="38"/>
  <c r="BX20" i="38"/>
  <c r="BZ20" i="38"/>
  <c r="CA20" i="38"/>
  <c r="CB20" i="38"/>
  <c r="CC20" i="38"/>
  <c r="CE20" i="38"/>
  <c r="CF20" i="38"/>
  <c r="CG20" i="38"/>
  <c r="BR20" i="38"/>
  <c r="CH20" i="38"/>
  <c r="BW20" i="38"/>
  <c r="BS20" i="38"/>
  <c r="BT20" i="38"/>
  <c r="BU20" i="38"/>
  <c r="BV20" i="38"/>
  <c r="CI20" i="38"/>
  <c r="CK20" i="38"/>
  <c r="CL20" i="38"/>
  <c r="BY20" i="38"/>
  <c r="CD20" i="38"/>
  <c r="CJ20" i="38"/>
  <c r="CM20" i="38"/>
  <c r="CB50" i="38"/>
  <c r="CD50" i="38"/>
  <c r="CE50" i="38"/>
  <c r="CF50" i="38"/>
  <c r="CG50" i="38"/>
  <c r="BS50" i="38"/>
  <c r="CI50" i="38"/>
  <c r="BT50" i="38"/>
  <c r="BU50" i="38"/>
  <c r="BV50" i="38"/>
  <c r="CA50" i="38"/>
  <c r="CC50" i="38"/>
  <c r="CH50" i="38"/>
  <c r="BY50" i="38"/>
  <c r="CJ50" i="38"/>
  <c r="BR50" i="38"/>
  <c r="CL50" i="38"/>
  <c r="BW50" i="38"/>
  <c r="CM50" i="38"/>
  <c r="BX50" i="38"/>
  <c r="BZ50" i="38"/>
  <c r="CK50" i="38"/>
  <c r="BR31" i="38"/>
  <c r="CH31" i="38"/>
  <c r="BT31" i="38"/>
  <c r="BU31" i="38"/>
  <c r="BV31" i="38"/>
  <c r="BW31" i="38"/>
  <c r="BY31" i="38"/>
  <c r="BZ31" i="38"/>
  <c r="CA31" i="38"/>
  <c r="CB31" i="38"/>
  <c r="CG31" i="38"/>
  <c r="CE31" i="38"/>
  <c r="CF31" i="38"/>
  <c r="CI31" i="38"/>
  <c r="CC31" i="38"/>
  <c r="BX31" i="38"/>
  <c r="CD31" i="38"/>
  <c r="BS31" i="38"/>
  <c r="CJ31" i="38"/>
  <c r="CL31" i="38"/>
  <c r="CM31" i="38"/>
  <c r="CK31" i="38"/>
  <c r="DA29" i="38"/>
  <c r="DB29" i="38"/>
  <c r="DC29" i="38"/>
  <c r="CN29" i="38"/>
  <c r="CS29" i="38"/>
  <c r="CT29" i="38"/>
  <c r="CU29" i="38"/>
  <c r="CV29" i="38"/>
  <c r="CW29" i="38"/>
  <c r="CY29" i="38"/>
  <c r="CZ29" i="38"/>
  <c r="DD29" i="38"/>
  <c r="DE29" i="38"/>
  <c r="DF29" i="38"/>
  <c r="CO29" i="38"/>
  <c r="CP29" i="38"/>
  <c r="CQ29" i="38"/>
  <c r="CR29" i="38"/>
  <c r="CX29" i="38"/>
  <c r="DG29" i="38"/>
  <c r="DH29" i="38"/>
  <c r="DI29" i="38"/>
  <c r="G71" i="39"/>
  <c r="G72" i="39"/>
  <c r="G74" i="39"/>
  <c r="G80" i="39"/>
  <c r="G77" i="39"/>
  <c r="G81" i="39"/>
  <c r="G68" i="39"/>
  <c r="G78" i="39"/>
  <c r="G67" i="39"/>
  <c r="BY6" i="38"/>
  <c r="CB6" i="38"/>
  <c r="CI6" i="38"/>
  <c r="CJ6" i="38"/>
  <c r="BU6" i="38"/>
  <c r="CK6" i="38"/>
  <c r="BX6" i="38"/>
  <c r="CG6" i="38"/>
  <c r="CH6" i="38"/>
  <c r="CM6" i="38"/>
  <c r="CL6" i="38"/>
  <c r="CC6" i="38"/>
  <c r="BZ6" i="38"/>
  <c r="BV6" i="38"/>
  <c r="BW6" i="38"/>
  <c r="CA6" i="38"/>
  <c r="CD6" i="38"/>
  <c r="CF6" i="38"/>
  <c r="CE6" i="38"/>
  <c r="BT6" i="38"/>
  <c r="BR6" i="38"/>
  <c r="BS6" i="38"/>
  <c r="V8" i="36"/>
  <c r="W9" i="36"/>
  <c r="CF92" i="38" l="1"/>
  <c r="CG92" i="38"/>
  <c r="BR92" i="38"/>
  <c r="CH92" i="38"/>
  <c r="BS92" i="38"/>
  <c r="CI92" i="38"/>
  <c r="BV92" i="38"/>
  <c r="BW92" i="38"/>
  <c r="BY92" i="38"/>
  <c r="BZ92" i="38"/>
  <c r="BT92" i="38"/>
  <c r="BU92" i="38"/>
  <c r="CB92" i="38"/>
  <c r="CC92" i="38"/>
  <c r="CD92" i="38"/>
  <c r="CE92" i="38"/>
  <c r="BX92" i="38"/>
  <c r="CA92" i="38"/>
  <c r="CK92" i="38"/>
  <c r="CL92" i="38"/>
  <c r="CM92" i="38"/>
  <c r="CJ92" i="38"/>
  <c r="CS92" i="38"/>
  <c r="DI92" i="38"/>
  <c r="CT92" i="38"/>
  <c r="CY92" i="38"/>
  <c r="DD92" i="38"/>
  <c r="DE92" i="38"/>
  <c r="DF92" i="38"/>
  <c r="CN92" i="38"/>
  <c r="DG92" i="38"/>
  <c r="CO92" i="38"/>
  <c r="DH92" i="38"/>
  <c r="CU92" i="38"/>
  <c r="CV92" i="38"/>
  <c r="CX92" i="38"/>
  <c r="CP92" i="38"/>
  <c r="CQ92" i="38"/>
  <c r="CR92" i="38"/>
  <c r="CW92" i="38"/>
  <c r="CZ92" i="38"/>
  <c r="DA92" i="38"/>
  <c r="DB92" i="38"/>
  <c r="DC92" i="38"/>
  <c r="CD65" i="38"/>
  <c r="CF65" i="38"/>
  <c r="CG65" i="38"/>
  <c r="BR65" i="38"/>
  <c r="CH65" i="38"/>
  <c r="BS65" i="38"/>
  <c r="CI65" i="38"/>
  <c r="BU65" i="38"/>
  <c r="BV65" i="38"/>
  <c r="BW65" i="38"/>
  <c r="BX65" i="38"/>
  <c r="CC65" i="38"/>
  <c r="BT65" i="38"/>
  <c r="BY65" i="38"/>
  <c r="BZ65" i="38"/>
  <c r="CE65" i="38"/>
  <c r="CA65" i="38"/>
  <c r="CB65" i="38"/>
  <c r="CJ65" i="38"/>
  <c r="CK65" i="38"/>
  <c r="CL65" i="38"/>
  <c r="CM65" i="38"/>
  <c r="DB140" i="38"/>
  <c r="DC140" i="38"/>
  <c r="CN140" i="38"/>
  <c r="DD140" i="38"/>
  <c r="DG140" i="38"/>
  <c r="CO140" i="38"/>
  <c r="DH140" i="38"/>
  <c r="CP140" i="38"/>
  <c r="DI140" i="38"/>
  <c r="CQ140" i="38"/>
  <c r="CR140" i="38"/>
  <c r="CS140" i="38"/>
  <c r="CT140" i="38"/>
  <c r="CU140" i="38"/>
  <c r="CV140" i="38"/>
  <c r="CX140" i="38"/>
  <c r="DE140" i="38"/>
  <c r="CW140" i="38"/>
  <c r="CY140" i="38"/>
  <c r="CZ140" i="38"/>
  <c r="DA140" i="38"/>
  <c r="DF140" i="38"/>
  <c r="CF8" i="38"/>
  <c r="BR8" i="38"/>
  <c r="CH8" i="38"/>
  <c r="BS8" i="38"/>
  <c r="CI8" i="38"/>
  <c r="BT8" i="38"/>
  <c r="BU8" i="38"/>
  <c r="BW8" i="38"/>
  <c r="BX8" i="38"/>
  <c r="BY8" i="38"/>
  <c r="BZ8" i="38"/>
  <c r="CE8" i="38"/>
  <c r="BV8" i="38"/>
  <c r="CA8" i="38"/>
  <c r="CB8" i="38"/>
  <c r="CG8" i="38"/>
  <c r="CC8" i="38"/>
  <c r="CM8" i="38"/>
  <c r="CD8" i="38"/>
  <c r="CJ8" i="38"/>
  <c r="CK8" i="38"/>
  <c r="CL8" i="38"/>
  <c r="DC8" i="38"/>
  <c r="CN8" i="38"/>
  <c r="DD8" i="38"/>
  <c r="CO8" i="38"/>
  <c r="DE8" i="38"/>
  <c r="CP8" i="38"/>
  <c r="DF8" i="38"/>
  <c r="CS8" i="38"/>
  <c r="DI8" i="38"/>
  <c r="CT8" i="38"/>
  <c r="CU8" i="38"/>
  <c r="CV8" i="38"/>
  <c r="CQ8" i="38"/>
  <c r="CR8" i="38"/>
  <c r="CX8" i="38"/>
  <c r="CY8" i="38"/>
  <c r="CZ8" i="38"/>
  <c r="DA8" i="38"/>
  <c r="DB8" i="38"/>
  <c r="DH8" i="38"/>
  <c r="CW8" i="38"/>
  <c r="DG8" i="38"/>
  <c r="CQ65" i="38"/>
  <c r="DG65" i="38"/>
  <c r="CR65" i="38"/>
  <c r="DH65" i="38"/>
  <c r="CV65" i="38"/>
  <c r="CW65" i="38"/>
  <c r="CX65" i="38"/>
  <c r="DD65" i="38"/>
  <c r="DE65" i="38"/>
  <c r="DF65" i="38"/>
  <c r="DI65" i="38"/>
  <c r="CO65" i="38"/>
  <c r="CP65" i="38"/>
  <c r="CS65" i="38"/>
  <c r="CT65" i="38"/>
  <c r="CU65" i="38"/>
  <c r="CY65" i="38"/>
  <c r="CN65" i="38"/>
  <c r="CZ65" i="38"/>
  <c r="DA65" i="38"/>
  <c r="DB65" i="38"/>
  <c r="DC65" i="38"/>
  <c r="CG140" i="38"/>
  <c r="BR140" i="38"/>
  <c r="CH140" i="38"/>
  <c r="BS140" i="38"/>
  <c r="CI140" i="38"/>
  <c r="BT140" i="38"/>
  <c r="BW140" i="38"/>
  <c r="BX140" i="38"/>
  <c r="BY140" i="38"/>
  <c r="BZ140" i="38"/>
  <c r="CD140" i="38"/>
  <c r="CE140" i="38"/>
  <c r="CF140" i="38"/>
  <c r="CL140" i="38"/>
  <c r="BU140" i="38"/>
  <c r="CM140" i="38"/>
  <c r="BV140" i="38"/>
  <c r="CA140" i="38"/>
  <c r="CB140" i="38"/>
  <c r="CK140" i="38"/>
  <c r="CC140" i="38"/>
  <c r="CJ140" i="38"/>
  <c r="DA64" i="38"/>
  <c r="DB64" i="38"/>
  <c r="CP64" i="38"/>
  <c r="DF64" i="38"/>
  <c r="CQ64" i="38"/>
  <c r="DG64" i="38"/>
  <c r="CR64" i="38"/>
  <c r="DH64" i="38"/>
  <c r="DI64" i="38"/>
  <c r="CN64" i="38"/>
  <c r="CO64" i="38"/>
  <c r="CT64" i="38"/>
  <c r="CU64" i="38"/>
  <c r="CV64" i="38"/>
  <c r="CW64" i="38"/>
  <c r="CX64" i="38"/>
  <c r="CY64" i="38"/>
  <c r="CS64" i="38"/>
  <c r="CZ64" i="38"/>
  <c r="DC64" i="38"/>
  <c r="DD64" i="38"/>
  <c r="DE64" i="38"/>
  <c r="CF64" i="38"/>
  <c r="BR64" i="38"/>
  <c r="CH64" i="38"/>
  <c r="BS64" i="38"/>
  <c r="CI64" i="38"/>
  <c r="BT64" i="38"/>
  <c r="BU64" i="38"/>
  <c r="BW64" i="38"/>
  <c r="BX64" i="38"/>
  <c r="BY64" i="38"/>
  <c r="BZ64" i="38"/>
  <c r="CE64" i="38"/>
  <c r="CG64" i="38"/>
  <c r="CC64" i="38"/>
  <c r="BV64" i="38"/>
  <c r="CA64" i="38"/>
  <c r="CB64" i="38"/>
  <c r="CD64" i="38"/>
  <c r="CK64" i="38"/>
  <c r="CL64" i="38"/>
  <c r="CJ64" i="38"/>
  <c r="CM64" i="38"/>
  <c r="CF72" i="38"/>
  <c r="BR72" i="38"/>
  <c r="CH72" i="38"/>
  <c r="BS72" i="38"/>
  <c r="CI72" i="38"/>
  <c r="BT72" i="38"/>
  <c r="BU72" i="38"/>
  <c r="BW72" i="38"/>
  <c r="BX72" i="38"/>
  <c r="BY72" i="38"/>
  <c r="BZ72" i="38"/>
  <c r="CE72" i="38"/>
  <c r="BV72" i="38"/>
  <c r="CA72" i="38"/>
  <c r="CB72" i="38"/>
  <c r="CG72" i="38"/>
  <c r="CC72" i="38"/>
  <c r="CD72" i="38"/>
  <c r="CK72" i="38"/>
  <c r="CL72" i="38"/>
  <c r="CJ72" i="38"/>
  <c r="CM72" i="38"/>
  <c r="DA72" i="38"/>
  <c r="DB72" i="38"/>
  <c r="CP72" i="38"/>
  <c r="DF72" i="38"/>
  <c r="CQ72" i="38"/>
  <c r="DG72" i="38"/>
  <c r="CR72" i="38"/>
  <c r="DH72" i="38"/>
  <c r="CN72" i="38"/>
  <c r="CO72" i="38"/>
  <c r="CS72" i="38"/>
  <c r="CU72" i="38"/>
  <c r="CV72" i="38"/>
  <c r="CW72" i="38"/>
  <c r="CX72" i="38"/>
  <c r="CY72" i="38"/>
  <c r="CZ72" i="38"/>
  <c r="DD72" i="38"/>
  <c r="DE72" i="38"/>
  <c r="DI72" i="38"/>
  <c r="CT72" i="38"/>
  <c r="DC72" i="38"/>
  <c r="CB58" i="38"/>
  <c r="CD58" i="38"/>
  <c r="CE58" i="38"/>
  <c r="CF58" i="38"/>
  <c r="CG58" i="38"/>
  <c r="BS58" i="38"/>
  <c r="CI58" i="38"/>
  <c r="BT58" i="38"/>
  <c r="BU58" i="38"/>
  <c r="BV58" i="38"/>
  <c r="CA58" i="38"/>
  <c r="BR58" i="38"/>
  <c r="BW58" i="38"/>
  <c r="BX58" i="38"/>
  <c r="CC58" i="38"/>
  <c r="CH58" i="38"/>
  <c r="CJ58" i="38"/>
  <c r="BY58" i="38"/>
  <c r="BZ58" i="38"/>
  <c r="CK58" i="38"/>
  <c r="CL58" i="38"/>
  <c r="CM58" i="38"/>
  <c r="BT106" i="38"/>
  <c r="BU106" i="38"/>
  <c r="BV106" i="38"/>
  <c r="BW106" i="38"/>
  <c r="BZ106" i="38"/>
  <c r="CC106" i="38"/>
  <c r="CD106" i="38"/>
  <c r="BR106" i="38"/>
  <c r="BS106" i="38"/>
  <c r="BX106" i="38"/>
  <c r="BY106" i="38"/>
  <c r="CE106" i="38"/>
  <c r="CF106" i="38"/>
  <c r="CG106" i="38"/>
  <c r="CH106" i="38"/>
  <c r="CI106" i="38"/>
  <c r="CM106" i="38"/>
  <c r="CA106" i="38"/>
  <c r="CB106" i="38"/>
  <c r="CJ106" i="38"/>
  <c r="CL106" i="38"/>
  <c r="CK106" i="38"/>
  <c r="CY58" i="38"/>
  <c r="CZ58" i="38"/>
  <c r="CQ58" i="38"/>
  <c r="DI58" i="38"/>
  <c r="CR58" i="38"/>
  <c r="CV58" i="38"/>
  <c r="CW58" i="38"/>
  <c r="CX58" i="38"/>
  <c r="CT58" i="38"/>
  <c r="CU58" i="38"/>
  <c r="DA58" i="38"/>
  <c r="DB58" i="38"/>
  <c r="DC58" i="38"/>
  <c r="DE58" i="38"/>
  <c r="DF58" i="38"/>
  <c r="DG58" i="38"/>
  <c r="DH58" i="38"/>
  <c r="CO58" i="38"/>
  <c r="CP58" i="38"/>
  <c r="CS58" i="38"/>
  <c r="DD58" i="38"/>
  <c r="CN58" i="38"/>
  <c r="CW106" i="38"/>
  <c r="CX106" i="38"/>
  <c r="DC106" i="38"/>
  <c r="CT106" i="38"/>
  <c r="CU106" i="38"/>
  <c r="CV106" i="38"/>
  <c r="CY106" i="38"/>
  <c r="CQ106" i="38"/>
  <c r="CR106" i="38"/>
  <c r="CS106" i="38"/>
  <c r="CZ106" i="38"/>
  <c r="DA106" i="38"/>
  <c r="DB106" i="38"/>
  <c r="DD106" i="38"/>
  <c r="DE106" i="38"/>
  <c r="DF106" i="38"/>
  <c r="DG106" i="38"/>
  <c r="DH106" i="38"/>
  <c r="CO106" i="38"/>
  <c r="CN106" i="38"/>
  <c r="CP106" i="38"/>
  <c r="DI106" i="38"/>
  <c r="CB94" i="38"/>
  <c r="CC94" i="38"/>
  <c r="CD94" i="38"/>
  <c r="CE94" i="38"/>
  <c r="BR94" i="38"/>
  <c r="CH94" i="38"/>
  <c r="BS94" i="38"/>
  <c r="CI94" i="38"/>
  <c r="BU94" i="38"/>
  <c r="BV94" i="38"/>
  <c r="BX94" i="38"/>
  <c r="BY94" i="38"/>
  <c r="BZ94" i="38"/>
  <c r="CA94" i="38"/>
  <c r="CF94" i="38"/>
  <c r="BT94" i="38"/>
  <c r="BW94" i="38"/>
  <c r="CG94" i="38"/>
  <c r="CK94" i="38"/>
  <c r="CJ94" i="38"/>
  <c r="CL94" i="38"/>
  <c r="CM94" i="38"/>
  <c r="CO94" i="38"/>
  <c r="DE94" i="38"/>
  <c r="CP94" i="38"/>
  <c r="DF94" i="38"/>
  <c r="CU94" i="38"/>
  <c r="CR94" i="38"/>
  <c r="CS94" i="38"/>
  <c r="CT94" i="38"/>
  <c r="CV94" i="38"/>
  <c r="CW94" i="38"/>
  <c r="DA94" i="38"/>
  <c r="DB94" i="38"/>
  <c r="DD94" i="38"/>
  <c r="CN94" i="38"/>
  <c r="CQ94" i="38"/>
  <c r="CX94" i="38"/>
  <c r="CY94" i="38"/>
  <c r="CZ94" i="38"/>
  <c r="DG94" i="38"/>
  <c r="DI94" i="38"/>
  <c r="DC94" i="38"/>
  <c r="DH94" i="38"/>
  <c r="AA8" i="36"/>
  <c r="D8" i="39" s="1"/>
  <c r="X8" i="39"/>
  <c r="D10" i="39"/>
  <c r="Z13" i="36"/>
  <c r="D11" i="39"/>
  <c r="Z8" i="36"/>
  <c r="Z12" i="36"/>
  <c r="Z9" i="36"/>
  <c r="D9" i="39"/>
  <c r="AE18" i="36" l="1"/>
  <c r="AF18" i="36" s="1"/>
  <c r="AE26" i="36"/>
  <c r="AF26" i="36" s="1"/>
  <c r="AE27" i="36"/>
  <c r="AF27" i="36" s="1"/>
  <c r="AB27" i="36"/>
  <c r="AC27" i="36" s="1"/>
  <c r="AE23" i="36"/>
  <c r="AF23" i="36" s="1"/>
  <c r="AB15" i="36"/>
  <c r="AC15" i="36" s="1"/>
  <c r="AH15" i="36" s="1"/>
  <c r="AI15" i="36" s="1"/>
  <c r="AA15" i="39" s="1"/>
  <c r="AB18" i="36"/>
  <c r="AC18" i="36" s="1"/>
  <c r="AE28" i="36"/>
  <c r="AF28" i="36" s="1"/>
  <c r="AJ28" i="36" s="1"/>
  <c r="AK28" i="36" s="1"/>
  <c r="Z28" i="39" s="1"/>
  <c r="AB11" i="36"/>
  <c r="AC11" i="36" s="1"/>
  <c r="AH11" i="36" s="1"/>
  <c r="AI11" i="36" s="1"/>
  <c r="AA11" i="39" s="1"/>
  <c r="AB19" i="36"/>
  <c r="AC19" i="36" s="1"/>
  <c r="AE9" i="36"/>
  <c r="AF9" i="36" s="1"/>
  <c r="AG9" i="36" s="1"/>
  <c r="AE10" i="36"/>
  <c r="AF10" i="36" s="1"/>
  <c r="AE24" i="36"/>
  <c r="AF24" i="36" s="1"/>
  <c r="AB23" i="36"/>
  <c r="AC23" i="36" s="1"/>
  <c r="AE22" i="36"/>
  <c r="AF22" i="36" s="1"/>
  <c r="AB22" i="36"/>
  <c r="AC22" i="36" s="1"/>
  <c r="AB24" i="36"/>
  <c r="AC24" i="36" s="1"/>
  <c r="AB20" i="36"/>
  <c r="AC20" i="36" s="1"/>
  <c r="AE13" i="36"/>
  <c r="AF13" i="36" s="1"/>
  <c r="AJ13" i="36" s="1"/>
  <c r="AK13" i="36" s="1"/>
  <c r="Z13" i="39" s="1"/>
  <c r="AE20" i="36"/>
  <c r="AF20" i="36" s="1"/>
  <c r="AB25" i="36"/>
  <c r="AC25" i="36" s="1"/>
  <c r="AB8" i="36"/>
  <c r="AC8" i="36" s="1"/>
  <c r="AB17" i="36"/>
  <c r="AC17" i="36" s="1"/>
  <c r="AE11" i="36"/>
  <c r="AF11" i="36" s="1"/>
  <c r="AB29" i="36"/>
  <c r="AC29" i="36" s="1"/>
  <c r="AB26" i="36"/>
  <c r="AC26" i="36" s="1"/>
  <c r="AB10" i="36"/>
  <c r="AC10" i="36" s="1"/>
  <c r="AE17" i="36"/>
  <c r="AF17" i="36" s="1"/>
  <c r="AB13" i="36"/>
  <c r="AC13" i="36" s="1"/>
  <c r="AE8" i="36"/>
  <c r="AF8" i="36" s="1"/>
  <c r="AE21" i="36"/>
  <c r="AF21" i="36" s="1"/>
  <c r="AB9" i="36"/>
  <c r="AC9" i="36" s="1"/>
  <c r="AB12" i="36"/>
  <c r="AC12" i="36" s="1"/>
  <c r="AE29" i="36"/>
  <c r="AF29" i="36" s="1"/>
  <c r="AE19" i="36"/>
  <c r="AF19" i="36" s="1"/>
  <c r="AB14" i="36"/>
  <c r="AC14" i="36" s="1"/>
  <c r="AB21" i="36"/>
  <c r="AC21" i="36" s="1"/>
  <c r="AE16" i="36"/>
  <c r="AF16" i="36" s="1"/>
  <c r="AE15" i="36"/>
  <c r="AF15" i="36" s="1"/>
  <c r="AB16" i="36"/>
  <c r="AC16" i="36" s="1"/>
  <c r="AE14" i="36"/>
  <c r="AF14" i="36" s="1"/>
  <c r="AE25" i="36"/>
  <c r="AF25" i="36" s="1"/>
  <c r="AB28" i="36"/>
  <c r="AC28" i="36" s="1"/>
  <c r="AE12" i="36"/>
  <c r="AF12" i="36" s="1"/>
  <c r="AG12" i="36" s="1"/>
  <c r="AG8" i="36" l="1"/>
  <c r="AJ8" i="36"/>
  <c r="AK8" i="36" s="1"/>
  <c r="Z8" i="39" s="1"/>
  <c r="AD20" i="36"/>
  <c r="AH20" i="36"/>
  <c r="AI20" i="36" s="1"/>
  <c r="AA20" i="39" s="1"/>
  <c r="AH21" i="36"/>
  <c r="AI21" i="36" s="1"/>
  <c r="AA21" i="39" s="1"/>
  <c r="AH16" i="36"/>
  <c r="AH25" i="36"/>
  <c r="AI25" i="36" s="1"/>
  <c r="AA25" i="39" s="1"/>
  <c r="AH14" i="36"/>
  <c r="AI14" i="36" s="1"/>
  <c r="AA14" i="39" s="1"/>
  <c r="AH22" i="36"/>
  <c r="AI22" i="36" s="1"/>
  <c r="AA22" i="39" s="1"/>
  <c r="AD29" i="36"/>
  <c r="AH29" i="36"/>
  <c r="AI29" i="36" s="1"/>
  <c r="AD17" i="36"/>
  <c r="AH17" i="36"/>
  <c r="AI17" i="36" s="1"/>
  <c r="AA17" i="39" s="1"/>
  <c r="AH13" i="36"/>
  <c r="AI13" i="36" s="1"/>
  <c r="AA13" i="39" s="1"/>
  <c r="AD23" i="36"/>
  <c r="AH23" i="36"/>
  <c r="AI23" i="36" s="1"/>
  <c r="AA23" i="39" s="1"/>
  <c r="AH9" i="36"/>
  <c r="AD26" i="36"/>
  <c r="AH26" i="36"/>
  <c r="AD10" i="36"/>
  <c r="AH10" i="36"/>
  <c r="AI10" i="36" s="1"/>
  <c r="AA10" i="39" s="1"/>
  <c r="AH12" i="36"/>
  <c r="AI12" i="36" s="1"/>
  <c r="AA12" i="39" s="1"/>
  <c r="AD18" i="36"/>
  <c r="AH18" i="36"/>
  <c r="AI18" i="36" s="1"/>
  <c r="AA18" i="39" s="1"/>
  <c r="AD27" i="36"/>
  <c r="AH27" i="36"/>
  <c r="AI27" i="36" s="1"/>
  <c r="AA27" i="39" s="1"/>
  <c r="AD24" i="36"/>
  <c r="AH24" i="36"/>
  <c r="AI24" i="36" s="1"/>
  <c r="AA24" i="39" s="1"/>
  <c r="AH19" i="36"/>
  <c r="AI19" i="36" s="1"/>
  <c r="AA19" i="39" s="1"/>
  <c r="AD28" i="36"/>
  <c r="AH28" i="36"/>
  <c r="AH8" i="36"/>
  <c r="AI8" i="36" s="1"/>
  <c r="AG28" i="36"/>
  <c r="AD11" i="36"/>
  <c r="AG13" i="36"/>
  <c r="AJ9" i="36"/>
  <c r="AK9" i="36" s="1"/>
  <c r="Z9" i="39" s="1"/>
  <c r="AJ10" i="36"/>
  <c r="AK10" i="36" s="1"/>
  <c r="Z10" i="39" s="1"/>
  <c r="AG10" i="36"/>
  <c r="AD15" i="36"/>
  <c r="AG16" i="36"/>
  <c r="AJ16" i="36"/>
  <c r="AK16" i="36" s="1"/>
  <c r="Z16" i="39" s="1"/>
  <c r="AG17" i="36"/>
  <c r="AJ17" i="36"/>
  <c r="AK17" i="36" s="1"/>
  <c r="Z17" i="39" s="1"/>
  <c r="AG27" i="36"/>
  <c r="AJ27" i="36"/>
  <c r="AK27" i="36" s="1"/>
  <c r="Z27" i="39" s="1"/>
  <c r="AG26" i="36"/>
  <c r="AJ26" i="36"/>
  <c r="AK26" i="36" s="1"/>
  <c r="Z26" i="39" s="1"/>
  <c r="AG20" i="36"/>
  <c r="AJ20" i="36"/>
  <c r="AK20" i="36" s="1"/>
  <c r="Z20" i="39" s="1"/>
  <c r="AG22" i="36"/>
  <c r="AJ22" i="36"/>
  <c r="AK22" i="36" s="1"/>
  <c r="Z22" i="39" s="1"/>
  <c r="AG24" i="36"/>
  <c r="AJ24" i="36"/>
  <c r="AK24" i="36" s="1"/>
  <c r="Z24" i="39" s="1"/>
  <c r="AG15" i="36"/>
  <c r="AJ15" i="36"/>
  <c r="AK15" i="36" s="1"/>
  <c r="Z15" i="39" s="1"/>
  <c r="AG14" i="36"/>
  <c r="AJ14" i="36"/>
  <c r="AK14" i="36" s="1"/>
  <c r="Z14" i="39" s="1"/>
  <c r="AD22" i="36"/>
  <c r="AG29" i="36"/>
  <c r="AJ29" i="36"/>
  <c r="AK29" i="36" s="1"/>
  <c r="AJ12" i="36"/>
  <c r="AK12" i="36" s="1"/>
  <c r="Z12" i="39" s="1"/>
  <c r="AG21" i="36"/>
  <c r="AJ21" i="36"/>
  <c r="AK21" i="36" s="1"/>
  <c r="Z21" i="39" s="1"/>
  <c r="AG18" i="36"/>
  <c r="AJ18" i="36"/>
  <c r="AK18" i="36" s="1"/>
  <c r="Z18" i="39" s="1"/>
  <c r="AG11" i="36"/>
  <c r="AJ11" i="36"/>
  <c r="AK11" i="36" s="1"/>
  <c r="Z11" i="39" s="1"/>
  <c r="AG19" i="36"/>
  <c r="AJ19" i="36"/>
  <c r="AK19" i="36" s="1"/>
  <c r="Z19" i="39" s="1"/>
  <c r="AG25" i="36"/>
  <c r="AJ25" i="36"/>
  <c r="AK25" i="36" s="1"/>
  <c r="Z25" i="39" s="1"/>
  <c r="AG23" i="36"/>
  <c r="AJ23" i="36"/>
  <c r="AK23" i="36" s="1"/>
  <c r="Z23" i="39" s="1"/>
  <c r="AD19" i="36"/>
  <c r="AD14" i="36"/>
  <c r="AD21" i="36"/>
  <c r="AD25" i="36"/>
  <c r="AD8" i="36"/>
  <c r="AD12" i="36"/>
  <c r="AD16" i="36"/>
  <c r="AD13" i="36"/>
  <c r="AD9" i="36"/>
  <c r="AL22" i="36" l="1"/>
  <c r="AL24" i="36"/>
  <c r="AI16" i="36"/>
  <c r="AA16" i="39" s="1"/>
  <c r="AI26" i="36"/>
  <c r="AI28" i="36"/>
  <c r="AI9" i="36"/>
  <c r="AL13" i="36"/>
  <c r="E13" i="39" s="1"/>
  <c r="AL21" i="36"/>
  <c r="AL25" i="36"/>
  <c r="AL14" i="36"/>
  <c r="E14" i="39" s="1"/>
  <c r="AL19" i="36"/>
  <c r="AA8" i="39"/>
  <c r="AL8" i="36"/>
  <c r="E8" i="39" s="1"/>
  <c r="AL11" i="36"/>
  <c r="AL23" i="36"/>
  <c r="AL17" i="36"/>
  <c r="E17" i="39" s="1"/>
  <c r="AL20" i="36"/>
  <c r="AL27" i="36"/>
  <c r="AL12" i="36"/>
  <c r="E12" i="39" s="1"/>
  <c r="AL18" i="36"/>
  <c r="E18" i="39" s="1"/>
  <c r="AL15" i="36"/>
  <c r="E15" i="39" s="1"/>
  <c r="AL29" i="36"/>
  <c r="AL10" i="36"/>
  <c r="E24" i="39" l="1"/>
  <c r="E20" i="39"/>
  <c r="E21" i="39"/>
  <c r="E22" i="39"/>
  <c r="E19" i="39"/>
  <c r="E25" i="39"/>
  <c r="E23" i="39"/>
  <c r="AL9" i="36"/>
  <c r="E9" i="39" s="1"/>
  <c r="AA9" i="39"/>
  <c r="AL28" i="36"/>
  <c r="E29" i="39" s="1"/>
  <c r="AA28" i="39"/>
  <c r="AL26" i="36"/>
  <c r="E27" i="39" s="1"/>
  <c r="AA26" i="39"/>
  <c r="E11" i="39"/>
  <c r="E10" i="39"/>
  <c r="AL16" i="36"/>
  <c r="E16" i="39" s="1"/>
  <c r="E28" i="39" l="1"/>
  <c r="E26" i="3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<sst xmlns="http://schemas.openxmlformats.org/spreadsheetml/2006/main" count="3561" uniqueCount="1819">
  <si>
    <t>Tipologia</t>
  </si>
  <si>
    <t>Decisionale</t>
  </si>
  <si>
    <t>SI</t>
  </si>
  <si>
    <t>Scheda BIA 
&amp; 
Cyber &amp; BC Risk Assessment</t>
  </si>
  <si>
    <t>NO</t>
  </si>
  <si>
    <t>TBD</t>
  </si>
  <si>
    <t>Documentazione</t>
  </si>
  <si>
    <t>STDOperativa</t>
  </si>
  <si>
    <t>Redatto da:</t>
  </si>
  <si>
    <t>Data:</t>
  </si>
  <si>
    <t>Impatto</t>
  </si>
  <si>
    <t>(Funzione o Business Unit di competenza)</t>
  </si>
  <si>
    <t>RPO/RTO</t>
  </si>
  <si>
    <t>DRATTIVOPARZIALE</t>
  </si>
  <si>
    <t>2g</t>
  </si>
  <si>
    <t>DanniAttrezzat</t>
  </si>
  <si>
    <t>Verificato da:</t>
  </si>
  <si>
    <t>SOLOBC</t>
  </si>
  <si>
    <t>3g</t>
  </si>
  <si>
    <t>Attrezzature</t>
  </si>
  <si>
    <t>(Company BC Manager)</t>
  </si>
  <si>
    <t>15g</t>
  </si>
  <si>
    <t>SWLocale</t>
  </si>
  <si>
    <t>30g</t>
  </si>
  <si>
    <t>Addetto</t>
  </si>
  <si>
    <t>Approvato da:</t>
  </si>
  <si>
    <t>Cut-Off</t>
  </si>
  <si>
    <t>IPE/ILO</t>
  </si>
  <si>
    <t>(Service Owner)</t>
  </si>
  <si>
    <t>Client Application</t>
  </si>
  <si>
    <t>Ad evento</t>
  </si>
  <si>
    <t>Web Application</t>
  </si>
  <si>
    <t>Normativo</t>
  </si>
  <si>
    <t>BC/DR</t>
  </si>
  <si>
    <t>Distribuzione:</t>
  </si>
  <si>
    <t>Gruppo Engineering</t>
  </si>
  <si>
    <t>Libreria/DB locali</t>
  </si>
  <si>
    <t>Orario</t>
  </si>
  <si>
    <t>Certificati</t>
  </si>
  <si>
    <t>Giornaliero</t>
  </si>
  <si>
    <t>Indice</t>
  </si>
  <si>
    <t>BASSO</t>
  </si>
  <si>
    <t>Mensile</t>
  </si>
  <si>
    <t>Rischio</t>
  </si>
  <si>
    <t>Business Impact Analysis</t>
  </si>
  <si>
    <t>01_Engagement scope</t>
  </si>
  <si>
    <t>NONCRITICO</t>
  </si>
  <si>
    <t>NA</t>
  </si>
  <si>
    <t>02_BIA Servizio</t>
  </si>
  <si>
    <t>03_Processi</t>
  </si>
  <si>
    <t>04_Siti</t>
  </si>
  <si>
    <t>05_Personale critico</t>
  </si>
  <si>
    <t>06_Addetti critici</t>
  </si>
  <si>
    <t>07_Fornitori</t>
  </si>
  <si>
    <t>08_Applicazioni</t>
  </si>
  <si>
    <t>09_SW Locali</t>
  </si>
  <si>
    <t>10_Documentazione</t>
  </si>
  <si>
    <t>11_Infrastruttura</t>
  </si>
  <si>
    <t>12_Dipendenze</t>
  </si>
  <si>
    <t>13_Clienti</t>
  </si>
  <si>
    <t>14_Scenari BC</t>
  </si>
  <si>
    <t>15_Impatti RI</t>
  </si>
  <si>
    <t>Cyber &amp; BC Risk Assessment</t>
  </si>
  <si>
    <t>16_Valutazione controlli</t>
  </si>
  <si>
    <t>17_Risk Register</t>
  </si>
  <si>
    <t>18_Dashboard</t>
  </si>
  <si>
    <t>Supporto</t>
  </si>
  <si>
    <t>Parametri_BIA</t>
  </si>
  <si>
    <t>Parametri_RA</t>
  </si>
  <si>
    <t>Ambito</t>
  </si>
  <si>
    <t>Foglio</t>
  </si>
  <si>
    <t>Sezione</t>
  </si>
  <si>
    <t>Istruzioni</t>
  </si>
  <si>
    <t>Note</t>
  </si>
  <si>
    <t>Link utili</t>
  </si>
  <si>
    <t>BIA</t>
  </si>
  <si>
    <t>Informazioni di perimetro</t>
  </si>
  <si>
    <t>Rispondere alle domande riportate in colonna "D" tramite l'apposito menù na tendina in colonna "C" al fine di perimetrare le attività del servizio e attivare correttamente le domande del foglio "ICT Sec. Assessment" in relazione alla natura del servizio</t>
  </si>
  <si>
    <t>In caso di risposta negativa, i campi "Ulteriori Domande" e "Note" saranno colorati di grigio e non sarà necessario compilarli</t>
  </si>
  <si>
    <t>Sinottico</t>
  </si>
  <si>
    <r>
      <rPr>
        <b/>
        <sz val="9"/>
        <rFont val="CocoEng"/>
        <family val="3"/>
      </rPr>
      <t>Valutazione finale</t>
    </r>
    <r>
      <rPr>
        <sz val="9"/>
        <rFont val="CocoEng"/>
        <family val="3"/>
      </rPr>
      <t>: selezionare la valutazione finale sul servizio tramite l'apposito menù a tendina</t>
    </r>
  </si>
  <si>
    <r>
      <rPr>
        <b/>
        <sz val="9"/>
        <rFont val="CocoEng"/>
        <family val="3"/>
      </rPr>
      <t>Codice Servizio</t>
    </r>
    <r>
      <rPr>
        <sz val="9"/>
        <rFont val="CocoEng"/>
        <family val="3"/>
      </rPr>
      <t>: Inserire un codice numerico o alfanumerico univoco per il servizio.</t>
    </r>
  </si>
  <si>
    <r>
      <rPr>
        <b/>
        <sz val="9"/>
        <rFont val="CocoEng"/>
        <family val="3"/>
      </rPr>
      <t xml:space="preserve">Nome Servizio: </t>
    </r>
    <r>
      <rPr>
        <sz val="9"/>
        <rFont val="CocoEng"/>
        <family val="3"/>
      </rPr>
      <t>Inserire il nome del servizio che si intende valutare.</t>
    </r>
  </si>
  <si>
    <r>
      <rPr>
        <b/>
        <sz val="9"/>
        <rFont val="CocoEng"/>
        <family val="3"/>
      </rPr>
      <t xml:space="preserve">Identificativo Service Owner: </t>
    </r>
    <r>
      <rPr>
        <sz val="9"/>
        <rFont val="CocoEng"/>
        <family val="3"/>
      </rPr>
      <t>Inserire l'identificativo del Service Owner, ovvero la persona responsabile del servizio. L'identificativo del Service Owner è disponibile all'interno del foglio "Anag_2023-03"</t>
    </r>
  </si>
  <si>
    <r>
      <rPr>
        <b/>
        <sz val="9"/>
        <rFont val="CocoEng"/>
        <family val="3"/>
      </rPr>
      <t xml:space="preserve">Service Owner: </t>
    </r>
    <r>
      <rPr>
        <sz val="9"/>
        <rFont val="CocoEng"/>
        <family val="3"/>
      </rPr>
      <t>Inserire il nome completo del Service Owner.</t>
    </r>
  </si>
  <si>
    <r>
      <rPr>
        <b/>
        <sz val="9"/>
        <rFont val="CocoEng"/>
        <family val="3"/>
      </rPr>
      <t xml:space="preserve">Denominazione CdC: </t>
    </r>
    <r>
      <rPr>
        <sz val="9"/>
        <rFont val="CocoEng"/>
        <family val="3"/>
      </rPr>
      <t>Inserire la denominazione del Centro di Costo (CdC) cui il servizio appartiene</t>
    </r>
  </si>
  <si>
    <r>
      <rPr>
        <b/>
        <sz val="9"/>
        <rFont val="CocoEng"/>
        <family val="3"/>
      </rPr>
      <t xml:space="preserve">Responsabile CdC: </t>
    </r>
    <r>
      <rPr>
        <sz val="9"/>
        <rFont val="CocoEng"/>
        <family val="3"/>
      </rPr>
      <t>Inserire il nome completo del Responsabile del Centro di Costo</t>
    </r>
  </si>
  <si>
    <r>
      <rPr>
        <b/>
        <sz val="9"/>
        <rFont val="CocoEng"/>
        <family val="3"/>
      </rPr>
      <t xml:space="preserve">RTO contrattualizzato: </t>
    </r>
    <r>
      <rPr>
        <sz val="9"/>
        <rFont val="CocoEng"/>
        <family val="3"/>
      </rPr>
      <t>Indicare la tipologia di servizio, segliendo tra le opzioni possibili nel menù a tendina: Servizio esterno con RTO contrattualizzato; Servizio esterno senza RTO contrattualizzato; Servizio interno.</t>
    </r>
  </si>
  <si>
    <r>
      <rPr>
        <b/>
        <sz val="9"/>
        <rFont val="CocoEng"/>
        <family val="3"/>
      </rPr>
      <t>Tipologia servizio:</t>
    </r>
    <r>
      <rPr>
        <sz val="9"/>
        <rFont val="CocoEng"/>
        <family val="3"/>
      </rPr>
      <t xml:space="preserve"> Indicare la tipologia di servizio tra una delle opzioni previste nel menù a tendina, seguendo i criteri descritti nella "Tabella Tipologia Servizi" nel foglio "Parametri BIA"</t>
    </r>
  </si>
  <si>
    <t>Tabella Tipologia Servizi</t>
  </si>
  <si>
    <r>
      <rPr>
        <b/>
        <sz val="9"/>
        <rFont val="CocoEng"/>
        <family val="3"/>
      </rPr>
      <t xml:space="preserve">Company Business Continuity Manager: </t>
    </r>
    <r>
      <rPr>
        <sz val="9"/>
        <rFont val="CocoEng"/>
        <family val="3"/>
      </rPr>
      <t>Inserire il nome del responsabile della continuità aziendale dell'azienda.</t>
    </r>
  </si>
  <si>
    <r>
      <rPr>
        <b/>
        <sz val="9"/>
        <rFont val="CocoEng"/>
        <family val="3"/>
      </rPr>
      <t>Responsabile Service Owner</t>
    </r>
    <r>
      <rPr>
        <sz val="9"/>
        <rFont val="CocoEng"/>
        <family val="3"/>
      </rPr>
      <t>: Inserire il nome e cognome del Responsable del Service Owner</t>
    </r>
  </si>
  <si>
    <r>
      <rPr>
        <b/>
        <sz val="9"/>
        <rFont val="CocoEng"/>
        <family val="3"/>
      </rPr>
      <t xml:space="preserve">Società di Riferimento: </t>
    </r>
    <r>
      <rPr>
        <sz val="9"/>
        <rFont val="CocoEng"/>
        <family val="3"/>
      </rPr>
      <t>Inserire il nome della Società di Riferimento del servizio</t>
    </r>
  </si>
  <si>
    <r>
      <rPr>
        <b/>
        <sz val="9"/>
        <rFont val="CocoEng"/>
        <family val="3"/>
      </rPr>
      <t xml:space="preserve">Business Unit: </t>
    </r>
    <r>
      <rPr>
        <sz val="9"/>
        <rFont val="CocoEng"/>
        <family val="3"/>
      </rPr>
      <t>Inserire il nome della Business Unit di appartenenza del servizio</t>
    </r>
  </si>
  <si>
    <r>
      <rPr>
        <b/>
        <sz val="9"/>
        <rFont val="CocoEng"/>
        <family val="3"/>
      </rPr>
      <t xml:space="preserve">Recovery Point Object (minimo): </t>
    </r>
    <r>
      <rPr>
        <sz val="9"/>
        <rFont val="CocoEng"/>
        <family val="3"/>
      </rPr>
      <t>Indicare il punto di ripristino minimo accettabile per il servizio, ovvero l'intervallo di tempo massimo in cui non si possono perdere dati critici.</t>
    </r>
  </si>
  <si>
    <t>Nel caso in cui ci sia DR contrattualizzato, si inserisce RPO del DR. In caso negativo, si inserisce la periodicità/frequenza con cui viene effettuato il backup</t>
  </si>
  <si>
    <r>
      <rPr>
        <b/>
        <sz val="9"/>
        <rFont val="CocoEng"/>
        <family val="3"/>
      </rPr>
      <t xml:space="preserve">Recovery Time Object (minimo): </t>
    </r>
    <r>
      <rPr>
        <sz val="9"/>
        <rFont val="CocoEng"/>
        <family val="3"/>
      </rPr>
      <t>Indicare il tempo massimo consentito per il ripristino del servizio.</t>
    </r>
  </si>
  <si>
    <t>- Laddove per un servizio è previsto un RTO contrattualizzato (ad esempio 1 h), occorre riportare tale valore puntuale anche se, secondo la scala di valutazione degli impatti, il valore minimo di RTO possibile è 4 ore</t>
  </si>
  <si>
    <r>
      <rPr>
        <b/>
        <sz val="9"/>
        <rFont val="CocoEng"/>
        <family val="3"/>
      </rPr>
      <t xml:space="preserve">Valutazione Impatto MAX: </t>
    </r>
    <r>
      <rPr>
        <sz val="9"/>
        <rFont val="CocoEng"/>
        <family val="3"/>
      </rPr>
      <t>Indicare l'entità massima dell'impatto che il servizio può causare all'azienda, in caso di indisponibilità.</t>
    </r>
  </si>
  <si>
    <r>
      <rPr>
        <b/>
        <sz val="9"/>
        <rFont val="CocoEng"/>
        <family val="3"/>
      </rPr>
      <t>Copertura DR (se prevista totale o parziale):</t>
    </r>
    <r>
      <rPr>
        <sz val="9"/>
        <rFont val="CocoEng"/>
        <family val="3"/>
      </rPr>
      <t xml:space="preserve"> Indicare se è prevista una copertura di Disaster Recovery completa o parziale del servizio in caso di interruzione, selezionando una delle opzioni previste nel menù a tendina. </t>
    </r>
  </si>
  <si>
    <r>
      <rPr>
        <b/>
        <sz val="9"/>
        <rFont val="CocoEng"/>
        <family val="3"/>
      </rPr>
      <t>RTO-DR Recovery Time Object:</t>
    </r>
    <r>
      <rPr>
        <sz val="9"/>
        <rFont val="CocoEng"/>
        <family val="3"/>
      </rPr>
      <t xml:space="preserve"> Indicare il tempo massimo consentito per il ripristino del servizio in caso di attivazione del DR.</t>
    </r>
  </si>
  <si>
    <r>
      <rPr>
        <b/>
        <sz val="9"/>
        <rFont val="CocoEng"/>
        <family val="3"/>
      </rPr>
      <t>Maximum Tolerable Period of Disruption (MTPoD)</t>
    </r>
    <r>
      <rPr>
        <sz val="9"/>
        <rFont val="CocoEng"/>
        <family val="3"/>
      </rPr>
      <t>: Indicare il tempo massimo di interruzione che un servizio può subire prima che le conseguenze diventino inaccettabili (impatto di livello gravissimo). RTO e piani di ripristino devono essere ≤ MTPoD per garantire che il servizio torni operativo prima che l’interruzione superi il limite tollerabile</t>
    </r>
  </si>
  <si>
    <r>
      <rPr>
        <b/>
        <sz val="9"/>
        <rFont val="CocoEng"/>
        <family val="3"/>
      </rPr>
      <t>Service Owner alternativo:</t>
    </r>
    <r>
      <rPr>
        <sz val="9"/>
        <rFont val="CocoEng"/>
        <family val="3"/>
      </rPr>
      <t xml:space="preserve"> Indicare il nome e cognome della persona che sostituisca il Service Owner in caso di sua indisponibilità</t>
    </r>
  </si>
  <si>
    <r>
      <rPr>
        <b/>
        <sz val="9"/>
        <rFont val="CocoEng"/>
        <family val="3"/>
      </rPr>
      <t>Executive Vice President di competenza</t>
    </r>
    <r>
      <rPr>
        <sz val="9"/>
        <rFont val="CocoEng"/>
        <family val="3"/>
      </rPr>
      <t>: Riportare il nome e cognome dell'Executive Vice President (CEO-1) di competenza</t>
    </r>
  </si>
  <si>
    <r>
      <rPr>
        <b/>
        <sz val="9"/>
        <rFont val="CocoEng"/>
        <family val="3"/>
      </rPr>
      <t>Descrizione e note del servizio</t>
    </r>
    <r>
      <rPr>
        <sz val="9"/>
        <rFont val="CocoEng"/>
        <family val="3"/>
      </rPr>
      <t>: Fornire una descrizione completa del servizio e aggiungere eventuali note importanti.</t>
    </r>
  </si>
  <si>
    <t>Cut-off / scadenze</t>
  </si>
  <si>
    <r>
      <rPr>
        <b/>
        <sz val="9"/>
        <rFont val="CocoEng"/>
        <family val="3"/>
      </rPr>
      <t>CUT-OFF</t>
    </r>
    <r>
      <rPr>
        <sz val="9"/>
        <rFont val="CocoEng"/>
        <family val="3"/>
      </rPr>
      <t>: Indicare, tramite l'apposito menù a tendina, il periodo di picco in cui il servizio deve essere disponibile per garantire il corretto svolgimento delle attività.</t>
    </r>
  </si>
  <si>
    <r>
      <rPr>
        <b/>
        <sz val="9"/>
        <rFont val="CocoEng"/>
        <family val="3"/>
      </rPr>
      <t>SCADENZE</t>
    </r>
    <r>
      <rPr>
        <sz val="9"/>
        <rFont val="CocoEng"/>
        <family val="3"/>
      </rPr>
      <t>: Indicare le scadenze critiche per il servizio, ovvero le date in cui il servizio deve essere disponibile per garantire il corretto svolgimento delle attività aziendali.</t>
    </r>
  </si>
  <si>
    <r>
      <rPr>
        <b/>
        <sz val="9"/>
        <rFont val="CocoEng"/>
        <family val="3"/>
      </rPr>
      <t>PERIODO CON MINORE FLUSSO DI OPERATIVITA'</t>
    </r>
    <r>
      <rPr>
        <sz val="9"/>
        <rFont val="CocoEng"/>
        <family val="3"/>
      </rPr>
      <t>: Indicare il periodo dell'anno in cui il servizio ha il minore flusso di operatività, in modo da poter pianificare eventuali interruzioni o manutenzioni.</t>
    </r>
  </si>
  <si>
    <t>Valutazione degli impatti</t>
  </si>
  <si>
    <r>
      <rPr>
        <b/>
        <sz val="9"/>
        <rFont val="CocoEng"/>
        <family val="3"/>
      </rPr>
      <t xml:space="preserve">ECONOMICO: </t>
    </r>
    <r>
      <rPr>
        <sz val="9"/>
        <rFont val="CocoEng"/>
        <family val="3"/>
      </rPr>
      <t>Indicare l'impatto economico derivante dal blocco del servizio in funzione del periodo di indisponibilità, ovvero la perdita economica che l'azienda subirebbe in caso di interruzione del servizio. Vedi foglio "Parametri BIA" &gt; "Matrice degli Impatti" per i criteri da utilizzare per indicare l'appropriato livello di impatto. Nel campo Note inserire una breve descrizione che contestualizzi la valutazione degli impatti data.</t>
    </r>
  </si>
  <si>
    <t>Se a fronte di un periodo di indisponibilità del servizio minore o uguale a 14 giorni non verrebbero a configurarsi impatti almeno di livello grave per almeno una tipologia di impatto, non compilare i fogli "Processi", "Siti", "Personale Critico", "Addetti Critici", "Fornitori", "Applicazioni", "SW Locali", "Documentazione", "Infrastruttura", "Dipendenze", "Clienti" e "Scenari BC"</t>
  </si>
  <si>
    <t>Matrice degli impatti</t>
  </si>
  <si>
    <r>
      <rPr>
        <b/>
        <sz val="9"/>
        <rFont val="CocoEng"/>
        <family val="3"/>
      </rPr>
      <t>NORMATIVO</t>
    </r>
    <r>
      <rPr>
        <sz val="9"/>
        <rFont val="CocoEng"/>
        <family val="3"/>
      </rPr>
      <t>: Indicare l'impatto normativo derivante dal blocco del servizio in funzione del periodo di indisponibilità, ovvero le possibili violazioni delle normative o delle leggi in caso di interruzione del servizio. Vedi foglio "Parametri BIA" &gt; "Matrice degli Impatti" per i criteri da utilizzare per indicare l'appropriato livello di impatto. Nel campo Note inserire una breve descrizione che contestualizzi la valutazione degli impatti data.</t>
    </r>
  </si>
  <si>
    <r>
      <rPr>
        <b/>
        <sz val="9"/>
        <rFont val="CocoEng"/>
        <family val="3"/>
      </rPr>
      <t>REPUTAZIONALE</t>
    </r>
    <r>
      <rPr>
        <sz val="9"/>
        <rFont val="CocoEng"/>
        <family val="3"/>
      </rPr>
      <t>: Indicare l'impatto reputazionale derivante dal blocco del servizio in funzione del periodo di indisponibilità, ovvero la possibile perdita di reputazione dell'azienda in caso di interruzione del servizio. Vedi foglio "Parametri BIA" &gt; "Matrice degli Impatti" per i criteri da utilizzare per indicare l'appropriato livello di impatto. Nel campo Note inserire una breve descrizione che contestualizzi la valutazione degli impatti data.</t>
    </r>
  </si>
  <si>
    <r>
      <rPr>
        <b/>
        <sz val="9"/>
        <rFont val="CocoEng"/>
        <family val="3"/>
      </rPr>
      <t>OPERATIVO</t>
    </r>
    <r>
      <rPr>
        <sz val="9"/>
        <rFont val="CocoEng"/>
        <family val="3"/>
      </rPr>
      <t>: Indicare l'impatto operativo derivante dal blocco del servizio in funzione del periodo di indisponibilità, ovvero il grado di coinvolgimento di altre strutture aziendali in caso di interruzione del servizio. Vedi foglio "Parametri BIA" &gt; "Matrice degli Impatti" per i criteri da utilizzare per indicare l'appropriato livello di impatto. Nel campo Note inserire una breve descrizione che contestualizzi la valutazione degli impatti data.</t>
    </r>
  </si>
  <si>
    <t>Cod_Servizio</t>
  </si>
  <si>
    <t>Il campo si popola automaticamente sulla base del codice del servizio inserito nel foglio "BIA Servizio"</t>
  </si>
  <si>
    <t>ID_Processo</t>
  </si>
  <si>
    <t>Il campo si popola automaticamente sulla base del codice del servizio inserito nel foglio "BIA Servizio", assegnando una numerazione progressiva</t>
  </si>
  <si>
    <t>Processo</t>
  </si>
  <si>
    <t>Inserire i nomi dei processi che concorrono all'erogazione del servizio in analisi.</t>
  </si>
  <si>
    <t>Descrizione Processo</t>
  </si>
  <si>
    <t>Inserire una breve descrizione del processo, indicando le attività svolte.</t>
  </si>
  <si>
    <t>Indicare se il processo è di tipo "Business" o "di supporto", ovvero se il processo concorre direttamente all'erogazione del servizio o se fornisce supporto ai processi Business.</t>
  </si>
  <si>
    <t>Importanza</t>
  </si>
  <si>
    <t>Indicare se il processo è critico o non critico per l'erogazione del servizio. I processi critici sono quelli che, in caso di interruzione, causerebbero una significativa perdita economica o reputazionale per l'azienda o un significativo impatto normativo o operativo.</t>
  </si>
  <si>
    <t>IMPORTANTE: se in questa fase non vengono identificati processi critici, i fogli successivi non devono essere compilati</t>
  </si>
  <si>
    <t>Indicare, tramite l'apposito menù a tendina, se per il processo devono essere previste sia delle soluzioni di BC che di DR, oppure solo di BC</t>
  </si>
  <si>
    <t>RTO</t>
  </si>
  <si>
    <t>Indicare il Recovery Time Objective (RTO) per il processo, ovvero il tempo massimo entro il quale il processo deve essere ripristinato in caso di interruzione.</t>
  </si>
  <si>
    <t>L’RTO del processo deve essere definito sulla base di una valutazione judgemental, tenendo conto che non può essere inferiore all’RTO minimo del servizio indicato nel foglio "BIA Servizio". La definizione dell’RTO deve inoltre riflettere l’effettiva criticità del processo: ad esempio, il processo di service request è un processo di supporto che non è necessario garantire durante una situazione di emergenza. In tali circostanze è sufficiente assicurare le attività minime indispensabili per l’erogazione del servizio, mentre le attività di supporto possono essere temporaneamente sospese</t>
  </si>
  <si>
    <t>Referenti</t>
  </si>
  <si>
    <t>Indicare il focal point del processo responsabile dell'esecuzione e del monitoraggio del processo.</t>
  </si>
  <si>
    <t>Inserire eventuali note aggiuntive sul processo, come ad esempio le eventuali criticità riscontrate, le azioni di miglioramento in corso o eventuali modifiche pianificate.</t>
  </si>
  <si>
    <t>ID_Sito</t>
  </si>
  <si>
    <t>Tipologia Sito</t>
  </si>
  <si>
    <t>Indicare se il sito in oggetto è il sito primario o secondario, ovvero se è il sito principale da cui si eroga il servizio o se è un sito alternativo su cui riallocare il personale in caso di indisponibilità del sito primario. Specificare inoltre per ogni sito la relativa tipologia scegliendo tra le seguenti opzioni: sito operativo primario; sito operativo secondario; sito primario di erogazione infrastruttura (Data Center primario); Sito Disaster Recovery (se presente per il Servizio)</t>
  </si>
  <si>
    <t>Città</t>
  </si>
  <si>
    <t>Inserire il nome della città in cui si trova il sito.</t>
  </si>
  <si>
    <t>Indirizzo</t>
  </si>
  <si>
    <t>Inserire l'indirizzo completo del sito.</t>
  </si>
  <si>
    <t>Azienda</t>
  </si>
  <si>
    <t>Indicare l'azienda proprietaria del sito.</t>
  </si>
  <si>
    <t>Inserire eventuali note aggiuntive sul sito, come ad esempio le informazioni relative alla disponibilità del sito o le eventuali problematiche riscontrate.</t>
  </si>
  <si>
    <t>Il campo si popola automaticamente sulla base dei processi elencati nel foglio "processi"</t>
  </si>
  <si>
    <t xml:space="preserve">ATTENZIONE: mappare il personale critico solo sui processi critici. Eliminare le righe relative a processi non critici, ove presenti. </t>
  </si>
  <si>
    <t>N. Addetti Totali</t>
  </si>
  <si>
    <t>Numero totale di addetti allocati sul processo in analisi in condizioni di normale operatività.</t>
  </si>
  <si>
    <t>N. Addetti Totali 
(Dipendenti)</t>
  </si>
  <si>
    <t>Numero totale di dipendenti allocati sul processo in analisi in condizioni di normale operatività.</t>
  </si>
  <si>
    <t>- La somma tra "N. Addetti Totali (Dipendenti)" e "N. Addetti Totali (Cons. / Fabb. / Forn.)" deve essere uguale a "N. Addetti Totali"</t>
  </si>
  <si>
    <t>N. Addetti Totali
(Cons. / Fabb. / Forn.)</t>
  </si>
  <si>
    <t>Numero totale di consulenti, fornitori o dipendenti di aziende esterne allocati sul processo in analisi in condizioni di normale operatività</t>
  </si>
  <si>
    <t>N. Addetti Critici</t>
  </si>
  <si>
    <t>Numero totale di addetti che sono necessari per eseguire le attività critiche del processo in analisi durante un periodo di emergenza</t>
  </si>
  <si>
    <t>- Per addetti critici si intende il numero minimo di risorse umane che possiedono competenze e/o un know-how unico e che pertanto risultano fondamentali per erogare attività critiche (ossia attività fondamentali per il mantenimento dell'operatività del servizio) in un periodo di emergenza. 
- Il totale degli addetti classificati come critici dovrebbe essere idealmente inferiore al 50% del totale. Una quota ottimale sarebbe al di sotto del 30–35%. Percentuali più alte suggeriscono un’eccessiva concentrazione di ruoli critici, che potrebbe evidenziare una debolezza del processo e un rischio maggiore di interruzione operativa. 
- Nel caso in cui gli addetti critici superino il 50% del totale degli addetti, è fondamentale verificare l’esistenza di un adeguato backup: se non è disponibile una copertura 1:1 per ogni ruolo critico, devono comunque essere previsti addetti di riserva in grado di garantire la continuità operativa</t>
  </si>
  <si>
    <t>N. Addetti Critici
(Dipendenti)</t>
  </si>
  <si>
    <t>Numero totale di dipendenti che sono necessari per eseguire le attività critiche del processo in analisi durante un periodo di emergenza</t>
  </si>
  <si>
    <t>- La somma tra "N. Addetti Critici (Dipendenti)" e "N. Addetti Critici (Cons. / Fabb. / Forn.)" deve essere uguale a "N. Addetti Critici"</t>
  </si>
  <si>
    <t>N. Addetti Critici
(Cons. / Fabb. / Forn.)</t>
  </si>
  <si>
    <t>Numero totale di consulenti, fornitori o dipendenti di aziende esterne che sono necessari per eseguire le attività critiche del processo in analisi durante un periodo di emergenza</t>
  </si>
  <si>
    <t>Inserire eventuali note aggiuntive sul personale critico, come ad esempio eventuali società terze che contribuiscono all'erogazione del processo</t>
  </si>
  <si>
    <t>- Aggiungere tante righe alla tabella quante necessario</t>
  </si>
  <si>
    <t>Cognome</t>
  </si>
  <si>
    <t>Inserire il cognome dell'addetto critico o di riserva</t>
  </si>
  <si>
    <t>Nome</t>
  </si>
  <si>
    <t>Inserire il nome dell'addetto critico o di riserva</t>
  </si>
  <si>
    <t>Tipologia addetto</t>
  </si>
  <si>
    <t>Selezionare, tramite l'apposito menù a tendina, se per la risorsa in oggetto si tratta di "addetto critico" o "addetto di riserva"</t>
  </si>
  <si>
    <t>- Per addetti critici si intende il numero minimo di risorse umane che possiedono competenze e/o un know-how unico e che pertanto risultano fondamentali per erogare attività critiche (ossia attività fondamentali per il mantenimento dell'operatività del servizio) in un periodo di emergenza. 
- Idealmente, il numero di addetti di riserva dovrebbe corrispondere alla differenza tra addetti totali e addetti critici. Tuttavia, per ‘addetti di riserva’ non si intende necessariamente solo personale che svolge quell’attività nella normale operatività, bensì anche persone che dispongono delle competenze adeguate per subentrare in caso di necessità</t>
  </si>
  <si>
    <t>Ruolo</t>
  </si>
  <si>
    <t>Inserire il ruolo che l'addetto svolge all'interno del processo</t>
  </si>
  <si>
    <t>Inserire l'azienda di appartenenza dell'addetto</t>
  </si>
  <si>
    <t>Telefono</t>
  </si>
  <si>
    <t xml:space="preserve">Inserire il numero di telefono dell'addetto </t>
  </si>
  <si>
    <t>E-mail</t>
  </si>
  <si>
    <t>Inserire l'indirizzo e-mail dell'addetto</t>
  </si>
  <si>
    <t>Processi supportati</t>
  </si>
  <si>
    <t>Inserire l'elenco completo delle ID dei processi per cui la risorsa in oggetto è addetto critico e/o di riserva. Inserire le stesse ID dei processi presenti all'interno del foglio "processi".</t>
  </si>
  <si>
    <t>I-key (internet key)</t>
  </si>
  <si>
    <t>Indicare, tramite l'apposito menù a tendina, se ogni addetto critico dispone di una chiavetta internet key per la connessione in mobilità in caso di emergenza oppure no.</t>
  </si>
  <si>
    <t>Nome Fornitore</t>
  </si>
  <si>
    <t>Indicare il nome del fornitore che supporta 1 o più processi che concorrono all'erogazione del servizio in analisi</t>
  </si>
  <si>
    <t>Tipologia Fornitura</t>
  </si>
  <si>
    <t>Indicare se il fornitore fornisce un servizio, un prodotto o una licenza.</t>
  </si>
  <si>
    <t>Descrizione Attività Fornitore</t>
  </si>
  <si>
    <t>Descrivere le attività o i servizi forniti dal fornitore.</t>
  </si>
  <si>
    <t>Accesso ai sistemi</t>
  </si>
  <si>
    <t xml:space="preserve">Censire, tramite l'apposito menù a tendina, la tipologia di accesso ai sistemi effettuato dal fornitore </t>
  </si>
  <si>
    <t>Consultare la tabella apposita riportata nel foglio "Parametri_BIA"</t>
  </si>
  <si>
    <t>Tabella parametri rischio fornitura</t>
  </si>
  <si>
    <t>Accesso a dati e proprietà intellettuale (PI)</t>
  </si>
  <si>
    <t xml:space="preserve">Censire, tramite l'apposito menù a tendina, la tipologia di accesso ai dati effettuato dal fornitore </t>
  </si>
  <si>
    <t>Impatto interruzione (Criticità BC)</t>
  </si>
  <si>
    <t>Indicare il livello di criticità del fornitore per il servizio in esame in termini di BC</t>
  </si>
  <si>
    <t>Ripristino</t>
  </si>
  <si>
    <t>Identificare i tempi e i costi di ripristino legati ad un'eventuale indisponibilità del fornitore</t>
  </si>
  <si>
    <t>Governance IT</t>
  </si>
  <si>
    <t>Identificare il ruolo del fornitore nella gestione dei sistemi it</t>
  </si>
  <si>
    <t>Classe di Rischio Cyber della fornitura</t>
  </si>
  <si>
    <t>Indicare la classe di rischio della fornitura sulla base della tabella "Classe di rischio forniura" presente nel foglio "Parametri BIA"</t>
  </si>
  <si>
    <t>Classe di rischio fornitura</t>
  </si>
  <si>
    <t>Indicare il Recovery Time Objective (RTO) del fornitore, ovvero il tempo massimo entro cui deve essere ripristinato il servizio in caso di interruzione.</t>
  </si>
  <si>
    <r>
      <t>N.B. Se il fornitore è mission critical in termini di impatto BC, l'RTO associao dovrebbe essere uguale all'RTO del servizio, se è importante dovrebbe essere più disteso, se è niche to have dovrebbe essere ≥</t>
    </r>
    <r>
      <rPr>
        <sz val="7.2"/>
        <color theme="1"/>
        <rFont val="CocoEng"/>
        <family val="3"/>
      </rPr>
      <t xml:space="preserve"> 15gg.</t>
    </r>
  </si>
  <si>
    <t>Fornitore unico</t>
  </si>
  <si>
    <t>Indicare se il fornitore è l'unico in grado di fornire il servizio o il prodotto necessario.</t>
  </si>
  <si>
    <t>Fornitore Alternattivo/Soluzioni di continuità (se presenti)</t>
  </si>
  <si>
    <t>Indicare se sono presenti fornitori alternativi o soluzioni di continuità nel caso in cui il fornitore principale non sia in grado di fornire il servizio o il prodotto necessario.</t>
  </si>
  <si>
    <t>Processi Supportati</t>
  </si>
  <si>
    <t>Inserire l'elenco completo delle ID dei processi supportati dal fornitore in oggetto. Inserire le stesse ID dei processi presenti all'interno del foglio "processi".</t>
  </si>
  <si>
    <t>Referente interno al Team</t>
  </si>
  <si>
    <t>Indicare il referente interno al team che si occupa della gestione del rapporto con il fornitore.</t>
  </si>
  <si>
    <t>Rda di riferimento</t>
  </si>
  <si>
    <t>Inserire il numero/i dell'Rda di competenza della fornitura in oggetto</t>
  </si>
  <si>
    <t>Nome Focal Point Fornitore</t>
  </si>
  <si>
    <t>Inserire il nome del focal point del fornitore, ovvero la persona di riferimento per il servizio fornito.</t>
  </si>
  <si>
    <t>Nr di Telefono Focal Point Fornitore</t>
  </si>
  <si>
    <t>Inserire il numero di telefono del focal point del fornitore.</t>
  </si>
  <si>
    <t>Mail Focal Point Fornitore</t>
  </si>
  <si>
    <t>Inserire l'indirizzo email del focal point del fornitore.</t>
  </si>
  <si>
    <t>Inserire eventuali note o informazioni aggiuntive relative al fornitore.</t>
  </si>
  <si>
    <t>Nome Sistema IT</t>
  </si>
  <si>
    <t>Inserire il nome delle applicazioni a supporto dell'erogazione del servizio in oggetto. Inserire in questo elenco solo le applicazioni per cui il Gruppo Engineering è responsabile della relativa disponibilità. Non inserire applicazioni che sono ospitate presso Data Center dei clienti.</t>
  </si>
  <si>
    <t>Specificare il tipo di infrastruttura su cui l'applicazione è basata. Ad esempio, on-premises, cloud, SaaS (Software as a Service), IaaS (Infrastructure as a Service), o PaaS (Platform as a Service).</t>
  </si>
  <si>
    <t>Applicativo Oggetto del Servizio / a supporto</t>
  </si>
  <si>
    <t>Indicare se l'applicazione è un applicativo principale la cui erogazione è regolata dal contratto di servizio in oggetto oppure se è un'applicazione di supporto.</t>
  </si>
  <si>
    <t>Criticità</t>
  </si>
  <si>
    <t>Indicare il livello di criticità dell'applicazione per il servizio in esame. E' possibile scegliere tra "mission critical", "importante" e "nice to have". Vedere il foglio "Parametri BIA" per visionare i criteri utili alla scelta dell'appropriato livello di criticità</t>
  </si>
  <si>
    <t>Tabella criticità BC</t>
  </si>
  <si>
    <t>Dati personali</t>
  </si>
  <si>
    <t>Specificare se l'applicazione contiene dati personali o sensibili.</t>
  </si>
  <si>
    <t xml:space="preserve"> Indicare il tempo massimo di ripristino consentito per l'applicazione dopo un'interruzione del servizio.</t>
  </si>
  <si>
    <t>Se è presente un servizio di Disaster Recovery (DR) contrattualizzato, nei campi RTO e RPO devono essere riportati i valori previsti dal DR stesso.
Se invece il DR non è previsto, vanno indicati gli RTO e RPO desiderati. In questo caso è fondamentale essere consapevoli che, qualora un applicativo dovesse superare tali SLA a causa di un’interruzione, il disservizio dovrà essere notificato ad ACN come incidente ai sensi della Direttiva NIS2. Pertanto, l’individuazione di RTO e RPO desiderati deve essere effettuata con particolare attenzione e dopo opportune valutazioni</t>
  </si>
  <si>
    <t>RPO</t>
  </si>
  <si>
    <t>Indicare la quantità massima di dati che possono essere persi in caso di un'interruzione del servizio. In altre parole, indicare fino a quale punto nel passato devono essere recuperabili i dati per garantire la continuità operativa.</t>
  </si>
  <si>
    <t>Dipendenze con altri sistemi IT</t>
  </si>
  <si>
    <t>Specificare se l'applicazione dipende da altri sistemi IT. In caso affermativo, elenca i sistemi di cui dipende.</t>
  </si>
  <si>
    <t>Inserire l'elenco completo delle ID dei processi che concorrono all'erogazione del servizio supportati dall'applicazione. Inserire le stesse ID dei processi presenti all'interno del foglio "processi".</t>
  </si>
  <si>
    <t>Fornitore</t>
  </si>
  <si>
    <t>Indicare il nome del fornitore dell'applicazione.</t>
  </si>
  <si>
    <t>DR</t>
  </si>
  <si>
    <t>Specificare, tramite l'apposito menù a tendina, se per l'applicazione in oggetto è prevista una soluzione di Disaster Recovery (DR) in caso di emergenza.</t>
  </si>
  <si>
    <t>Workaround</t>
  </si>
  <si>
    <t>Descrivere eventuali soluzioni temporanee o procedure alternative da attivare in caso di un'interruzione dell'applicazione.</t>
  </si>
  <si>
    <t>Esposto su Internet</t>
  </si>
  <si>
    <t>Indicare, tramite l'apposito menù a tendina, se l'applicativo è esposto su internet</t>
  </si>
  <si>
    <t>FQDN</t>
  </si>
  <si>
    <t>Nel caso di applicativi esposi su internet, indicare il Fully Qualified Domain Name (FQDN), ossia il nome completo e univoco di un host su Internet.</t>
  </si>
  <si>
    <t>FQDN = nome dell’host + il dominio + il dominio di primo livello (e.g. www.microsoft.com)</t>
  </si>
  <si>
    <t>Nome Referente Eng</t>
  </si>
  <si>
    <t>Inserire il nome del referente dell'applicazione.</t>
  </si>
  <si>
    <t>Mail Referente Eng</t>
  </si>
  <si>
    <t>Indicare l'indirizzo email del referente dell'applicazione.</t>
  </si>
  <si>
    <t>Telefono Referente Eng</t>
  </si>
  <si>
    <t>Indicare il numero di telefono del referente dell'applicazione.</t>
  </si>
  <si>
    <t>Inserire eventuali informazioni aggiuntive riguardo l'applicazione che possono essere utili ai fini della Business Impact Analysis.</t>
  </si>
  <si>
    <t>Applicazione SW necessaria all'operatività degli addetti (SW Locali)</t>
  </si>
  <si>
    <t>Inserire il nome dell'applicazione software necessaria per consentire il corretto svolgimento delle attività eseguite dagli addetti critici</t>
  </si>
  <si>
    <t>I software locali inseriti di default sono: Browser, Office 365 e VPN ENG.
È fondamentale censire eventuali software aggiuntivi quando, con il cliente, è contrattualizzato lo scenario di indisponibilità delle postazioni di lavoro (caso raro). Questo permette di disporre dell’elenco completo dei software che dovranno essere preinstallati sul muletto in caso di indisponibilità della postazione di lavoro.</t>
  </si>
  <si>
    <t>Specificare, tramite l'apposito menù a tendina, la tipologia dell'applicazione SW, scegliendo tra le opzioni disponibili: client application, web application, DB locali, certificati.</t>
  </si>
  <si>
    <t>Fornitore [Struttura adibita all'installazione del SW]</t>
  </si>
  <si>
    <t>Inserire il nome della struttura adibita all'installazione del software.</t>
  </si>
  <si>
    <t>Indicare il livello di criticità dell'applicazione SW per il servizio in esame. E' possibile scegliere tra "mission critical", "importante" e "nice to have". Vedere il foglio "Parametri BIA" per visionare i criteri utili alla scelta dell'appropriato livello di criticità</t>
  </si>
  <si>
    <t>Descrizione del SW</t>
  </si>
  <si>
    <t>Fornire una breve descrizione dell'applicazione SW, indicando le sue funzionalità principali.</t>
  </si>
  <si>
    <t>Inserire eventuali informazioni aggiuntive riguardo l'applicazione SW che possono essere utili ai fini della Business Impact Analysis.</t>
  </si>
  <si>
    <t>Nome Documentazione</t>
  </si>
  <si>
    <t>Inserire il nome della documentazione necessaria per consentire il corretto svolgimento delle attività eseguite dagli addetti critici</t>
  </si>
  <si>
    <t>Indicare il livello di criticità della documentazione per il servizio in esame. E' possibile scegliere tra "mission critical", "importante" e "nice to have". Vedere il foglio "Parametri BIA" per visionare i criteri utili alla scelta dell'appropriato livello di criticità</t>
  </si>
  <si>
    <t>Luogo di conservazione</t>
  </si>
  <si>
    <t>Indicare il luogo in cui viene conservata la documentazione, ad esempio "cartella condivisa sul server A" o "scaffale nell'archivio dell'ufficio X".</t>
  </si>
  <si>
    <t>Periodicità Backup</t>
  </si>
  <si>
    <t>Specificare la frequenza con cui viene eseguito il backup della documentazione, ad esempio "ogni settimana", "ogni giorno lavorativo", "una volta al mese".</t>
  </si>
  <si>
    <t>Razionali sulla disponibilità della documentazione</t>
  </si>
  <si>
    <t>Descrivere la ragione per cui la documentazione è considerata essenziale per l'operatività del servizio e come viene utilizzata. Ad esempio, "Il manuale operativo del sistema X è necessario per l'addestramento del personale e per la risoluzione dei problemi tecnici".</t>
  </si>
  <si>
    <t>Inserire eventuali altre informazioni pertinenti sulla documentazione, ad esempio "La versione più recente del manuale operativo è disponibile solo online".</t>
  </si>
  <si>
    <t>Infrastrutture necessarie all'erogazione del servizio</t>
  </si>
  <si>
    <t>Indicare il nome delle infrastrutture necessarie all'erogazione del servizio, come ad esempio VPN, MPLS, UPS, ecc.</t>
  </si>
  <si>
    <t>Le infrastrutture censite di default sono: rete interna, rete esterna, posta elettronica e VPN ENG. Quest’ultima è classificata automaticamente come “mission critical”: è quindi importante verificarne l’effettivo utilizzo, poiché potrebbe non essere necessaria.
È inoltre fondamentale censire gli elementi infrastrutturali rilevanti a un livello aggregato — non macchina per macchina o server per server. Se un applicativo non è fornito come parte del servizio, si devono censire gli elementi infrastrutturali più importanti, come ad esempio la VPN site‑to‑site (critica per i flussi tra noi e l’esterno o tra il cliente e noi, chiarendo origine e destinazione), i firewall (verificando eventuale ridondanza) e, in assenza di applicazioni specifiche, almeno gli ambienti tecnologici utilizzati (AWS, Linux, Windows, AS400)</t>
  </si>
  <si>
    <t>Indicare la tipologia dell'infrastruttura, ovvero se si tratta di infrastrutture di rete, comunicazione o facility (come ad esempio UPS / gruppi elettrogeni).</t>
  </si>
  <si>
    <t>Indicare il nome del fornitore dell'infrastruttura responsabile della sua manutenzione</t>
  </si>
  <si>
    <t>Indicare il livello di criticità dell'infrastruttura per il servizio in esame. E' possibile scegliere tra "mission critical", "importante" e "nice to have". Vedere il foglio "Parametri BIA" per visionare i criteri utili alla scelta dell'appropriato livello di criticità</t>
  </si>
  <si>
    <t>Indicare il tempo massimo di indisponibilità accettabile per l'elemento infrastrutturale in oggetto o l'RTO previsto dal DR di competenza</t>
  </si>
  <si>
    <t>Indicare il tempo massimo di perdita di dati accettabile per l'elemento infrastrutturale in oggetto o l'RPO previsto dal DR di competenza</t>
  </si>
  <si>
    <t>Indicare, tramite l'apposito menù a tendina, se è presente una soluzione di DR a protezione dell'elemento infrastrutturale in oggetto</t>
  </si>
  <si>
    <t>Razionali dell'Infrastruttura</t>
  </si>
  <si>
    <t>Indicare i motivi per cui l'infrastruttura è necessaria all'erogazione del servizio, ovvero il suo razionale. Ad esempio, l'infrastruttura potrebbe essere necessaria per consentire la connessione tra gli ambienti Engineering e gli ambienti dei clienti</t>
  </si>
  <si>
    <t>Nome Referente ENG</t>
  </si>
  <si>
    <t>Campo libero per inserire eventuali note o informazioni aggiuntive.</t>
  </si>
  <si>
    <t>Servizio</t>
  </si>
  <si>
    <t xml:space="preserve">Inserire il nome del servizio esterno/interno da cui dipende il servizio in oggetto per funzionare correttamente (dipendenze in input). </t>
  </si>
  <si>
    <t>Indicare esclusivamente le dipendenze in input realmente necessarie per l’erogazione del servizio. Ad esempio, un servizio applicativo può dipendere da un altro servizio che gli invia un flusso dati, oppure — nel caso dell’application management — l’attività può dipendere dalla manutenzione evolutiva o correttiva, poiché per svolgere la gestione è spesso necessario effettuare interventi di bug fixing.</t>
  </si>
  <si>
    <t>Unità Organizzativa</t>
  </si>
  <si>
    <t>Inserire il nome dell'unità organizzativa responsabile del servizio di cui sopra</t>
  </si>
  <si>
    <t>Processo Coinvolto</t>
  </si>
  <si>
    <t>Inserire l'ID del processo del servizio in oggetto di analisi che necessita della dipendenza per essere erogato correttamente. Inserire le stesse ID dei processi presenti all'interno del foglio "processi".</t>
  </si>
  <si>
    <t>Indicare il livello di criticità della dipendenza per il servizio in esame. E' possibile scegliere tra "mission critical", "importante" e "nice to have". Vedere il foglio "Parametri BIA" per visionare i criteri utili alla scelta dell'appropriato livello di criticità</t>
  </si>
  <si>
    <t>Nome Referente Contatto Principale</t>
  </si>
  <si>
    <t>Inserire il nome del contatto principale per questa dipendenza. Questa persona è responsabile della gestione e della risoluzione di eventuali problemi relativi a questa dipendenza.</t>
  </si>
  <si>
    <t>Mail Referente Contatto Principale</t>
  </si>
  <si>
    <t xml:space="preserve">Inserire l'email del contatto principale per questa dipendenza. </t>
  </si>
  <si>
    <t>Telefono Referente Contatto Principale</t>
  </si>
  <si>
    <t xml:space="preserve">Inserire il telefono del contatto principale per questa dipendenza. </t>
  </si>
  <si>
    <t>Modalità di contatto</t>
  </si>
  <si>
    <t>Inserire la modalità di contatto preferita per questo contatto. Può essere telefono, e-mail o altro.</t>
  </si>
  <si>
    <t>Frequenza del contatto</t>
  </si>
  <si>
    <t>Inserire la frequenza con cui il contatto principale deve essere contattato. Ad esempio, può essere quotidiana, settimanale, mensile o altro.</t>
  </si>
  <si>
    <t>Inserire eventuali note aggiuntive relative a questa dipendenza, ad esempio dettagli sulla natura della dipendenza o informazioni sulle procedure di backup e ripristino.</t>
  </si>
  <si>
    <t>Cliente</t>
  </si>
  <si>
    <t>Inserire il nome dei clienti verso cui è erogato il servizio in oggetto.</t>
  </si>
  <si>
    <t>Cognome_AM</t>
  </si>
  <si>
    <t>Inserire il cognome dell'account manager responsabile della gestione del cliente</t>
  </si>
  <si>
    <t>Nome_AM</t>
  </si>
  <si>
    <t>Inserire il nome dell'account manager responsabile della gestione del cliente</t>
  </si>
  <si>
    <t>Num di Telefono_AM</t>
  </si>
  <si>
    <t>Inserire il numero di telefono dell'account manager responsabile della gestione del cliente</t>
  </si>
  <si>
    <t>Mail_AM</t>
  </si>
  <si>
    <t>Inserire l'email dell'account manager responsabile della gestione del cliente</t>
  </si>
  <si>
    <t>Cognome_RC</t>
  </si>
  <si>
    <t>Inserire il cognome del referente del cliente</t>
  </si>
  <si>
    <t>Nome_RC</t>
  </si>
  <si>
    <t>Inserire il nome del referente del cliente</t>
  </si>
  <si>
    <t>Num di Telefono_RC</t>
  </si>
  <si>
    <t>Inserire il numero di telefono del referente del cliente</t>
  </si>
  <si>
    <t>Mail_RC</t>
  </si>
  <si>
    <t>Inserire l'email del referente del cliente</t>
  </si>
  <si>
    <t>Tempstica di segnalazione incidente</t>
  </si>
  <si>
    <t>Indicare il requisito temporale entro il quale è necessario comunicare al cliente un eventuale incidente sul servizio di competenza</t>
  </si>
  <si>
    <t>Sigla</t>
  </si>
  <si>
    <t>Il campo è già precompilato con le sigle relative agli scenari da analizzare</t>
  </si>
  <si>
    <t>Scenario</t>
  </si>
  <si>
    <t>Il campo è già precompilato con i nomi degli scenari da analizzare</t>
  </si>
  <si>
    <t>Applicabilità</t>
  </si>
  <si>
    <t xml:space="preserve">Identificare, tramite l'apposito menù a tendina, se lo scenario è applicabile o meno </t>
  </si>
  <si>
    <t>- Scenario ILO - Indisponibilità dei Locali: lo scenario è applicabile se le risorse allocate sul servizio in oggetto operano presso un sito/sede di proprietà del Gruppo Engineering.
- Scenario IPE - Indisponibilità del Personale Essenziale: lo scenario è applicabile se è presente almeno un dipendente del Gruppo Engineering allocvato sul servizio in oggetto
- Scenario IST - Indisponibilità dei Sistemi IT: lo scenario è applicabile se i sistemi IT che supportano l'erogazione del servizio in oggetto sono ospitati presso un'infrastruttura tecnologica (Data Cenetr o istanze cloud) di proprietà o sotto la gestione del Gruppo Engineering
- Scenario IFC - Indisponibilità dei Fornitori Critici: lo scenario è applicabile se sono presenti fornitori critici (valutati come mission critica / importanti) a supporto dell'erogazione del servizio in oggetto
- Scenario IDE - Indisponibilità della Documentazione Essenziale: lo scenario è applicabile se è presente della documentazione critica (valutata come mission critica / importanti) a supporto dell'operatività degli addetti critici e di riserva e se questa è conservata presso sistemi IT ospitati presso un'infrastruttura tecnologica (Data Cenetr o istanze cloud) di proprietà o sotto la gestione del Gruppo Engineering</t>
  </si>
  <si>
    <t>Soluzione</t>
  </si>
  <si>
    <t>Identificare le soluzioni di BC per ciascuno scenario tramite l apposito menù a tendina. Per ulteriori informazioni circa ciascuna soluzione, consultare la tabella "Opzioni soluzioni scenri BC" riportata nel foglio "Parametri BIA".</t>
  </si>
  <si>
    <t>Opzioni soluzioni scenri BC</t>
  </si>
  <si>
    <t>Sostenibilità</t>
  </si>
  <si>
    <t>Per ognuno degli scenari in analisi e per le relative soluzioni di BC indicate, riportare il relativo periodo di sostenibilità, ossia il periodo massimo durante il quale la soluzione indicata può essere sostenuta.</t>
  </si>
  <si>
    <t xml:space="preserve">Al termine del periodo di sostenibilità indicato, il BCMS Steering Committee, supportato dal Group Crisis Manager e dal Group BC Manager dovrà decidere se prolungare il termine di sostenibilità, implementare ulteriori soluzioni di continuità definite contestualmente all’evento o ripristinare la normale operatività, coerentemente con l’evoluzione dell’evento che ha scatenato lo scenario di indisponibilità.    </t>
  </si>
  <si>
    <t>Identificare l'RTO dello scenario</t>
  </si>
  <si>
    <t xml:space="preserve">- Indicare il tempo massimo entro il quale deve essere ripristinata l’operatività minima dopo lo scenario di BC (es. locali inagibili, personale assente, postazioni inutilizzabili).
- Tendenzialmente RTO, RPO e MTPD degli scenari corrispondono a quelli identificati per il servizio, tranne per lo scenario "indisponibilità documentazione", per cui si prendono le tempistiche censite per la documentazione. L'RPO è N/A quando non si parla di dati. </t>
  </si>
  <si>
    <t>Identificare l'RPO dello scenario</t>
  </si>
  <si>
    <t xml:space="preserve">- Indicare quante ore o minuti di dati è accettabile perdere quando si verifica l’interruzione (es. sistemi IT fermi, documentazione non accessibile).
- Tendenzialmente RTO, RPO e MTPD degli scenari corrispondono a quelli identificati per il servizio, tranne per lo scenario "indisponibilità documentazione", per cui si prendono le tempistiche censite per la documentazione. L'RPO è N/A quando non si parla di dati. </t>
  </si>
  <si>
    <t>MTPoD</t>
  </si>
  <si>
    <t xml:space="preserve">Identificare l'MTPoD dello scenario </t>
  </si>
  <si>
    <t xml:space="preserve">- Indicare il limite massimo di interruzione oltre il quale il danno diventa irreversibile o inaccettabile. Superato l’MTPD, l’azienda subisce impatti troppo gravi (legali, economici o reputazionali) e la continuità operativa è compromessa.
-Tendenzialmente RTO, RPO e MTPD degli scenari corrispondono a quelli identificati per il servizio, tranne per lo scenario "indisponibilità documentazione", per cui si prendono le tempistiche censite per la documentazione. L'RPO è N/A quando non si parla di dati. </t>
  </si>
  <si>
    <t>Frequenza di accadimento</t>
  </si>
  <si>
    <t xml:space="preserve">Identificare la frequenza di accadimento di ciascuno scenario selezionando l'opzione più appropriata tra quelle riportate nel menù a tendina. </t>
  </si>
  <si>
    <t>Verificare se il foglio Applicazioni è stato compilato. Se sì, verranno mostrati automaticamente i campi con i nomi delle applicazioni presenti nella sezione "Nome applicazione IT".</t>
  </si>
  <si>
    <t xml:space="preserve">Se non sono state censite applicazioni, la valutazione d'impatto su riservatezza e infrastruttura deve essere effettuata sulle componenti infrastrutturarli (e.g. perché possono esserci dei DB in virtual machine). Qualora non si è al corrente dei dati trattati, fare riferimento al DPA stipulato e alle modalità/tipologie di trattamento dei dati definite. </t>
  </si>
  <si>
    <t>Impatto Economico_R</t>
  </si>
  <si>
    <t xml:space="preserve">Identificare l'impatto selezionando il livello appropriato tramite l'apposito menù a tendina. </t>
  </si>
  <si>
    <t>L'Impatto Economico si riferisce alla valutazione dell'impatto economico che si avrebbe a seguito della perdita di riservatezza dei dati trattati dall'applicazione.</t>
  </si>
  <si>
    <t>Impatto Reputazionale_R</t>
  </si>
  <si>
    <t>L'Impatto Reputazionale si riferisce alla valutazione dell'impatto sulla reputazione dell'azienda che si avrebbe a seguito della perdita di riservatezza dei dati trattati dall'applicazione.</t>
  </si>
  <si>
    <t>Impatto Normativo/Legale_R</t>
  </si>
  <si>
    <t>L'Impatto Normativo Legale si riferisce alla valutazione dell'impatto sulla conformità ai regolamenti e alle leggi sulla privacy che si avrebbe a seguito della perdita di riservatezza dei dati trattati dall'applicazione.</t>
  </si>
  <si>
    <t>Impatto Operativo-R</t>
  </si>
  <si>
    <t>L'Impatto Operativo si riferisce alla valutazione dell'impatto sulle attività operative dell'azienda che si avrebbe a seguito della perdita di riservatezza dei dati trattati dall'applicazione.</t>
  </si>
  <si>
    <t>Note Valutazione Impatti Perdita di Riservatezza</t>
  </si>
  <si>
    <t>Inserire una breve descrizione che contestualizzi la valutazione degli impatti fornita</t>
  </si>
  <si>
    <t>Impatto Economico_I</t>
  </si>
  <si>
    <t>L'Impatto Economico si riferisce alla valutazione dell'impatto economico che si avrebbe a seguito della perdita di integrità dei dati trattati dall'applicazione.</t>
  </si>
  <si>
    <t>Impatto Reputazionale_I</t>
  </si>
  <si>
    <t>L'Impatto Reputazionale si riferisce alla valutazione dell'impatto sulla reputazione dell'azienda che si avrebbe a seguito della perdita di integrità dei dati trattati dall'applicazione.</t>
  </si>
  <si>
    <t>Impatto Normativo Legale_I</t>
  </si>
  <si>
    <t>L'Impatto Normativo Legale si riferisce alla valutazione dell'impatto sulla conformità ai regolamenti e alle leggi sulla privacy che si avrebbe a seguito della perdita di integrità dei dati trattati dall'applicazione.</t>
  </si>
  <si>
    <t>Impatto Operativo_I</t>
  </si>
  <si>
    <t>L'Impatto Operativo si riferisce alla valutazione dell'impatto sulle attività operative dell'azienda che si avrebbe a seguito della perdita di integrità dei dati trattati dall'applicazione.</t>
  </si>
  <si>
    <t>Note Valutazione Impatti Perdita di Integrità</t>
  </si>
  <si>
    <t>Applicabilità declinazione operativa</t>
  </si>
  <si>
    <t>Filtrare manualmente in colonna "AU" per le declinazioni operative applicabili (campo valorizzato automaticamente)</t>
  </si>
  <si>
    <t xml:space="preserve">E' possibile cambiare manualmente l'applicabilità delle declinazioni operative laddove risultano automaticamente applicabili ma per motivi ragionevoli in realtà non lo sono </t>
  </si>
  <si>
    <t>Valore KPI</t>
  </si>
  <si>
    <t>Riportare il valore del KPI così come descritto nel campo "Descrizione KPI"</t>
  </si>
  <si>
    <t>Livello di Implementazione Declinazione Operativa</t>
  </si>
  <si>
    <t>Scegliere tra 3 diversi livelli di implementazione (totalmente implementato, parzialmente implementato e non implementato) sulla base del KPI indicato. Se il KPI e al 100% allora la declinazione operativa è totalmente implementata, se è allo 0% è non implementata, mentre se è un valore intermedio allora sarà parzialmente implementata</t>
  </si>
  <si>
    <t>Inserire una breve descrizione che contestualizzi la valutazione fornita del livello di implementazione e del relativo KPI</t>
  </si>
  <si>
    <t>/</t>
  </si>
  <si>
    <t>Non è necessario compiere alcuna azione. Il foglio è compilato automaticamente</t>
  </si>
  <si>
    <t>BUSINESS IMPACT ANALYSIS</t>
  </si>
  <si>
    <r>
      <t xml:space="preserve">Informazioni di Perimetro </t>
    </r>
    <r>
      <rPr>
        <sz val="14"/>
        <color theme="1"/>
        <rFont val="CocoEng"/>
        <family val="3"/>
      </rPr>
      <t>(Domande per l'individuazione del perimetro delle attività richieste dal contratto)</t>
    </r>
    <r>
      <rPr>
        <b/>
        <sz val="14"/>
        <color theme="1"/>
        <rFont val="CocoEng"/>
        <family val="3"/>
      </rPr>
      <t xml:space="preserve">
</t>
    </r>
    <r>
      <rPr>
        <i/>
        <sz val="12"/>
        <color theme="1"/>
        <rFont val="CocoEng"/>
        <family val="3"/>
      </rPr>
      <t>Vedi foglio Istruzioni per le regole di compilazione del presente foglio</t>
    </r>
  </si>
  <si>
    <t>Ambito Domanda</t>
  </si>
  <si>
    <t>Descrizione Domanda</t>
  </si>
  <si>
    <t>Risposta</t>
  </si>
  <si>
    <t>Privacy</t>
  </si>
  <si>
    <t>Il contratto del servizio prevede la nomina di Engineering come Responsabile o Cotitolare dei dati personali di cui il cliente è Titolare?</t>
  </si>
  <si>
    <t>Dati Particolari</t>
  </si>
  <si>
    <t>Il servizio prevede il trattamento di dati particolati (origine razziale o etnica; opinioni politiche; convinzioni religiose o filosofiche; appartenenza sindacale; dati genetici; dati biometrici; dati relativi alla salute; dati sulla vita sessuale o l’orientamento sessuale)</t>
  </si>
  <si>
    <t>PSNC Relevant</t>
  </si>
  <si>
    <t>Il servizio ricade nell'ambito di applicabilità del Perimetro Nazionale di Sicurezza Cibernetica (PSNC)?</t>
  </si>
  <si>
    <t>NIS2 Relevant</t>
  </si>
  <si>
    <t>Il servizio ricade nell'ambito di applicabilità della Direttiva NIS2?</t>
  </si>
  <si>
    <t>DORA Relevant</t>
  </si>
  <si>
    <t>Il servizio ricade nell'ambito di applicabilità del Regolamento DORA?</t>
  </si>
  <si>
    <t>AI ACT Relevant</t>
  </si>
  <si>
    <t>Il servizio ricade nell'ambito di applicabilità dell'EU AI ACT?</t>
  </si>
  <si>
    <t>Facility Ownership</t>
  </si>
  <si>
    <r>
      <t xml:space="preserve">Il servizio è erogato presso una sede (Data Center) di proprietà di Engineering o sotto la sua responsabilità?
</t>
    </r>
    <r>
      <rPr>
        <u/>
        <sz val="11"/>
        <color theme="1"/>
        <rFont val="CocoEng"/>
        <family val="3"/>
      </rPr>
      <t>Suggerimento</t>
    </r>
    <r>
      <rPr>
        <sz val="11"/>
        <color theme="1"/>
        <rFont val="CocoEng"/>
        <family val="3"/>
      </rPr>
      <t xml:space="preserve">
- Sì: Il servizio è erogato presso un Data Center o istanze cloud di proprietà del Gruppo Engineering
- No: Il servizio è erogato presso un Data Center o istanze cloud di proprietà del Cliente</t>
    </r>
  </si>
  <si>
    <t>SaaS Solution</t>
  </si>
  <si>
    <t>Il servizio prevede una soluzione SaaS erogata attraverso infrastruttura tecnologica di proprietà di Engineering o sotto la sua responsabilità?</t>
  </si>
  <si>
    <t>Prodotto con Elementi Digitali</t>
  </si>
  <si>
    <t>Il servizio prevede l'erogazione di un prodotto con elementi digitali (qualsiasi prodotto software o hardware e le relative soluzioni di elaborazione dati da remoto, compresi i componenti software o hardware immesso sul mercato separatamente)?</t>
  </si>
  <si>
    <t>Infrastruttura Tecnologica</t>
  </si>
  <si>
    <r>
      <t xml:space="preserve">Il servizio è erogato attraverso server / Istanze Cloud di proprietà di Engineering o sotto la sua responsabilità?
</t>
    </r>
    <r>
      <rPr>
        <u/>
        <sz val="11"/>
        <color theme="1"/>
        <rFont val="CocoEng"/>
        <family val="3"/>
      </rPr>
      <t>Suggerimento</t>
    </r>
    <r>
      <rPr>
        <sz val="11"/>
        <color theme="1"/>
        <rFont val="CocoEng"/>
        <family val="3"/>
      </rPr>
      <t xml:space="preserve">
- Sì: Il servizio è erogato atrraverso l'utilizzo di server di proprietà del Gruppo Engineering
- No: Il servizio è erogato atrraverso l'utilizzo di server di proprietà del Cliente</t>
    </r>
  </si>
  <si>
    <t>Infrastructure Management</t>
  </si>
  <si>
    <t>Il servizio prevede attività di manutenzione sistemistica dell'infrastruttura tecnologica?</t>
  </si>
  <si>
    <t>Sviluppo Software</t>
  </si>
  <si>
    <t>Il servizio prevede attività di sviluppo applicativo?</t>
  </si>
  <si>
    <t>Ambiente di Sviluppo di Engineering</t>
  </si>
  <si>
    <t>Il servizio prevede attività di sviluppo applicativo condotte all'interno di ambienti di responsabilità di Engineering?</t>
  </si>
  <si>
    <t>Application Management</t>
  </si>
  <si>
    <t>Il servizio prevede attività di monitoraggio e manutenzione applicativa?</t>
  </si>
  <si>
    <t>Vulnerabilità di Sicurezza</t>
  </si>
  <si>
    <t>Il servizio prevede la gestione o l’erogazione di applicativi, sistemi informativi o di rete affetti da vulnerabilità con livello di criticità “High” o “Critical”?</t>
  </si>
  <si>
    <t>Risorse Engineering al di fuori dell'UE</t>
  </si>
  <si>
    <t>Il servizio prevede il coinvolgimento di risorse Engineering che operano al di fuori del territorio europeo (es. Serbia)?</t>
  </si>
  <si>
    <t>Active Directory Domain</t>
  </si>
  <si>
    <t>Il servizio prevede la fornitura di un Dominio di Active Directory gestito da Engineering?</t>
  </si>
  <si>
    <t>IAM</t>
  </si>
  <si>
    <t>Il servizio prevede attività di gestione delle utenze personali e/o non personali (privilegiate e non privilegiate) dei clienti e dei relativi controlli degli accessi?</t>
  </si>
  <si>
    <t>VPN Client to Site</t>
  </si>
  <si>
    <t>Il servizio prevede l'utilizzo o la gestione di VPN client to site?</t>
  </si>
  <si>
    <t>Network Services</t>
  </si>
  <si>
    <t>Il servizio prevede attività di gestione del traffico di rete e dei relativi apparati (es. firewall, proxy, ecc)?</t>
  </si>
  <si>
    <t>Servizi Esposti</t>
  </si>
  <si>
    <t>Il servizio prevede la gestione di servizi esposti su internet?</t>
  </si>
  <si>
    <t>PdL Management</t>
  </si>
  <si>
    <t>Il servizio prevede attività di configurazione e gestione delle postazioni di lavoro del cliente?</t>
  </si>
  <si>
    <t>Backup and Recovery</t>
  </si>
  <si>
    <t>Il servizio prevede attività di gestione delle attività di backup e recovery?</t>
  </si>
  <si>
    <t>Security Operations Center</t>
  </si>
  <si>
    <t>Il contratto prevede l'attivazione di un servizio SOC?</t>
  </si>
  <si>
    <t>Security Incident Management</t>
  </si>
  <si>
    <t>Il servizio prevede attività di risposta e/o gestione e/o comunicazione degli incidenti di sicurezza ?</t>
  </si>
  <si>
    <t>Business Continuity</t>
  </si>
  <si>
    <t>All'interno del contratto che regola il servizio in oggetto è stato formalizzato un Recovery Time Objective (RTO)?</t>
  </si>
  <si>
    <t>Disaster Recovery</t>
  </si>
  <si>
    <t>Il servizio prevede una soluzione di Disaster Recovery in caso di indisponibilità del sito primario?</t>
  </si>
  <si>
    <t>Locali di Lavoro Critici</t>
  </si>
  <si>
    <t>Il servizio prevede l'utilizzo o la gestione di una sede di lavoro critica per la continuità operativa dello stesso?</t>
  </si>
  <si>
    <r>
      <t xml:space="preserve">Scheda BIA del Servizio </t>
    </r>
    <r>
      <rPr>
        <sz val="10"/>
        <color theme="1"/>
        <rFont val="CocoEng"/>
        <family val="3"/>
      </rPr>
      <t>(Vedi foglio Istruzioni per le regole di compilazione del presente foglio)</t>
    </r>
  </si>
  <si>
    <t>Codice Servizio</t>
  </si>
  <si>
    <t>Nome Servizio</t>
  </si>
  <si>
    <t>Identificativo Service Owner</t>
  </si>
  <si>
    <t xml:space="preserve">Service Owner </t>
  </si>
  <si>
    <t>Denominazione CdC</t>
  </si>
  <si>
    <t>Responsabile CdC</t>
  </si>
  <si>
    <t>RTO contrattualizzato</t>
  </si>
  <si>
    <t>Tipologia servizio</t>
  </si>
  <si>
    <t>Company Business Continuity Manager</t>
  </si>
  <si>
    <t>Responsabile Service Owner</t>
  </si>
  <si>
    <t>Società di Riferimento</t>
  </si>
  <si>
    <t>Business Unit</t>
  </si>
  <si>
    <t>Recovery Point Objective (minimo)</t>
  </si>
  <si>
    <t>Recovery Time Objective (minimo)</t>
  </si>
  <si>
    <t>Valutazione Impatto MAX</t>
  </si>
  <si>
    <t>Copertura DR (se prevista totale o parziale)</t>
  </si>
  <si>
    <t>RTO-DR Recovery Time Object</t>
  </si>
  <si>
    <t>Maximu Tolebale Period of Disruption (MTPD)</t>
  </si>
  <si>
    <t>Service Owner alternativo</t>
  </si>
  <si>
    <t>Executive Vice President di competenza</t>
  </si>
  <si>
    <t>Valutazione finale</t>
  </si>
  <si>
    <t>Descrizione e note del servizio</t>
  </si>
  <si>
    <t>CUT-OFF</t>
  </si>
  <si>
    <t>SCADENZE</t>
  </si>
  <si>
    <t>PERIODO CON MINORE FLUSSO DI OPERATIVITA'</t>
  </si>
  <si>
    <t>Tipologia Impatto</t>
  </si>
  <si>
    <t>&lt; 4 ore</t>
  </si>
  <si>
    <t>&lt; 8 ore</t>
  </si>
  <si>
    <t>&lt;24ore</t>
  </si>
  <si>
    <t>&lt;2giorni</t>
  </si>
  <si>
    <t>&lt;3giorni</t>
  </si>
  <si>
    <t>&lt;4giorni</t>
  </si>
  <si>
    <t>&lt;1settimana</t>
  </si>
  <si>
    <t>&lt;2settimane</t>
  </si>
  <si>
    <t>&lt;1 mese</t>
  </si>
  <si>
    <t>ECONOMICO</t>
  </si>
  <si>
    <t>NORMATIVO</t>
  </si>
  <si>
    <t>REPUTAZIONALE</t>
  </si>
  <si>
    <t>OPERATIVO</t>
  </si>
  <si>
    <t>SINOTTICO</t>
  </si>
  <si>
    <t>Servizio DNS</t>
  </si>
  <si>
    <t>La BIA ha permesso di considerare il servizio in oggetto d'analisi come non critico. Non è dunque necessario sviluppare soluzioni di business continutiy per il servizio in oggetto.</t>
  </si>
  <si>
    <t>Servizio di cloud computing</t>
  </si>
  <si>
    <t>Il servizio in oggetto risulta essere critico e richiede la formalizzazione di procedure in ambito BC.</t>
  </si>
  <si>
    <t>Servizio di data center</t>
  </si>
  <si>
    <t>Il servizio in oggetto risulta essere critico e richiede la formalizzazione di procedure in ambito BC.
Sono stati identificati Fornitori critici per il quale è necessario svolgere attività di risk assessment.</t>
  </si>
  <si>
    <t>Reti di distribuzione dei contenuti (content delivery network)</t>
  </si>
  <si>
    <t xml:space="preserve">Il servizio in oggetto risulta essere critico e richiede la formalizzazione di procedure in ambito BC.
Sono stati identificati Sistemi IT critici che richiedono lo sviluppo di misure di DR.					</t>
  </si>
  <si>
    <t>Servizio fiduciari (firme elettroniche certificate e identità digitale)</t>
  </si>
  <si>
    <t>Il servizio in oggetto risulta essere critico e richiede la formalizzazione di procedure in ambito BC.
Sono stati identificati Fornitori critici per il quale è necessario svolgere attività di risk assessment.
Sono stati identificati Sistemi IT critici che richiedono lo sviluppo di misure di DR.</t>
  </si>
  <si>
    <t>Servizio gestito</t>
  </si>
  <si>
    <t>Servizio di sicurezza gestito</t>
  </si>
  <si>
    <t>Servizio di pagamento elettronico</t>
  </si>
  <si>
    <t>Piattaforma di trading online</t>
  </si>
  <si>
    <t>Maximu Tolebale Period of Disruption (MTPoD)</t>
  </si>
  <si>
    <t>Servizio di conservazione e archiviazione elettronica finanziaria</t>
  </si>
  <si>
    <t>Mercato online</t>
  </si>
  <si>
    <t>Motore di ricerca online</t>
  </si>
  <si>
    <t>DESCRIZIONE E NOTE DEL SERVIZIO</t>
  </si>
  <si>
    <t>Piattaforma di servizi di social network</t>
  </si>
  <si>
    <t>Prodotto con elementi digitali</t>
  </si>
  <si>
    <t>CUT-OFF / SCADENZE</t>
  </si>
  <si>
    <t>Servizio di sviluppo o deploy di un sistema di AI</t>
  </si>
  <si>
    <t>Altro</t>
  </si>
  <si>
    <t>Valutazione impatti</t>
  </si>
  <si>
    <r>
      <t xml:space="preserve">Processi </t>
    </r>
    <r>
      <rPr>
        <sz val="10"/>
        <color theme="1"/>
        <rFont val="CocoEng"/>
        <family val="3"/>
      </rPr>
      <t>(Vedi foglio Istruzioni per le regole di compilazione del presente foglio)</t>
    </r>
  </si>
  <si>
    <t>Descrizione</t>
  </si>
  <si>
    <r>
      <t xml:space="preserve">Siti </t>
    </r>
    <r>
      <rPr>
        <sz val="10"/>
        <color theme="1"/>
        <rFont val="CocoEng"/>
        <family val="3"/>
      </rPr>
      <t>(Vedi foglio Istruzioni per le regole di compilazione del presente foglio)</t>
    </r>
  </si>
  <si>
    <t>Sito Primario Operativo 1°</t>
  </si>
  <si>
    <t>Sito Primario Operativo 2°</t>
  </si>
  <si>
    <t>Sito Primario Operativo 3°</t>
  </si>
  <si>
    <t>Sito Primario Operativo 4°</t>
  </si>
  <si>
    <t>Sito Primario Operativo 5°</t>
  </si>
  <si>
    <t>Sito Secondario Operativo I°</t>
  </si>
  <si>
    <t>Sito Primario di Erogazione Infrastruttura (Data Center primario)</t>
  </si>
  <si>
    <t>Sito Disaster Recovery
(se presente per il Servizio)</t>
  </si>
  <si>
    <r>
      <t xml:space="preserve">Personale critico </t>
    </r>
    <r>
      <rPr>
        <sz val="10"/>
        <color theme="1"/>
        <rFont val="CocoEng"/>
        <family val="3"/>
      </rPr>
      <t>(Vedi foglio Istruzioni per le regole di compilazione del presente foglio)</t>
    </r>
  </si>
  <si>
    <t>Addetti in Normale Operatività</t>
  </si>
  <si>
    <t>Addetti necessari per eseguire le attività critiche (Addetti Critici)</t>
  </si>
  <si>
    <r>
      <t xml:space="preserve">Addetti critici </t>
    </r>
    <r>
      <rPr>
        <sz val="10"/>
        <color theme="1"/>
        <rFont val="CocoEng"/>
        <family val="3"/>
      </rPr>
      <t>(Vedi foglio Istruzioni per le regole di compilazione del presente foglio)</t>
    </r>
  </si>
  <si>
    <t>Tipologia Addetto</t>
  </si>
  <si>
    <t>Nome e Cognome</t>
  </si>
  <si>
    <t>e-mail</t>
  </si>
  <si>
    <t>I-key</t>
  </si>
  <si>
    <r>
      <t xml:space="preserve">Fornitori </t>
    </r>
    <r>
      <rPr>
        <sz val="10"/>
        <color theme="1"/>
        <rFont val="CocoEng"/>
        <family val="3"/>
      </rPr>
      <t>(Vedi foglio Istruzioni per le regole di compilazione del presente foglio)</t>
    </r>
  </si>
  <si>
    <t>CALL TREE</t>
  </si>
  <si>
    <t>Fornitore Alternativo/Soluzioni di continuità (se presenti)</t>
  </si>
  <si>
    <t>Val Accesso ai sistemi</t>
  </si>
  <si>
    <t>Val Accesso a dati e proprietà intellettuale (PI)</t>
  </si>
  <si>
    <t>Val Impatto interruzione (Criticità BC)</t>
  </si>
  <si>
    <t>Val Ripristino</t>
  </si>
  <si>
    <t>Val Governance IT</t>
  </si>
  <si>
    <r>
      <t xml:space="preserve">Applicazioni </t>
    </r>
    <r>
      <rPr>
        <sz val="10"/>
        <color theme="1"/>
        <rFont val="CocoEng"/>
        <family val="3"/>
      </rPr>
      <t>(Vedi foglio Istruzioni per le regole di compilazione del presente foglio)</t>
    </r>
  </si>
  <si>
    <r>
      <t xml:space="preserve">SW Locali </t>
    </r>
    <r>
      <rPr>
        <sz val="10"/>
        <color theme="1"/>
        <rFont val="CocoEng"/>
        <family val="3"/>
      </rPr>
      <t>(Vedi foglio Istruzioni per le regole di compilazione del presente foglio)</t>
    </r>
  </si>
  <si>
    <t>Browser</t>
  </si>
  <si>
    <t>SIT</t>
  </si>
  <si>
    <t>Mission Critical</t>
  </si>
  <si>
    <t>Office 365</t>
  </si>
  <si>
    <t>VPN Eng</t>
  </si>
  <si>
    <r>
      <t xml:space="preserve">Documentazione </t>
    </r>
    <r>
      <rPr>
        <sz val="10"/>
        <color theme="1"/>
        <rFont val="CocoEng"/>
        <family val="3"/>
      </rPr>
      <t>(Vedi foglio Istruzioni per le regole di compilazione del presente foglio)</t>
    </r>
  </si>
  <si>
    <r>
      <t xml:space="preserve">Infrastruttura </t>
    </r>
    <r>
      <rPr>
        <sz val="10"/>
        <color theme="1"/>
        <rFont val="CocoEng"/>
        <family val="3"/>
      </rPr>
      <t>(Vedi foglio Istruzioni per le regole di compilazione del presente foglio)</t>
    </r>
  </si>
  <si>
    <t>Rete Interna</t>
  </si>
  <si>
    <t>Network Infr.</t>
  </si>
  <si>
    <t>ENG</t>
  </si>
  <si>
    <t>1 h</t>
  </si>
  <si>
    <t>Sì</t>
  </si>
  <si>
    <t>Rete intranet del Gruppo Engineering</t>
  </si>
  <si>
    <t>Pietro Messana</t>
  </si>
  <si>
    <t>pietro.messana@eng.it</t>
  </si>
  <si>
    <t>+393427828839</t>
  </si>
  <si>
    <t>Rete esterna</t>
  </si>
  <si>
    <t>Internet Service Provider</t>
  </si>
  <si>
    <t>Accesso alla rete internet fornito dagli Internet Service Provider</t>
  </si>
  <si>
    <t>Posta Elettronica</t>
  </si>
  <si>
    <t>Communication Infr.</t>
  </si>
  <si>
    <t>Microsoft</t>
  </si>
  <si>
    <t>ND</t>
  </si>
  <si>
    <t>No</t>
  </si>
  <si>
    <t>La rete serve per le connessioni utente e lo scambio dati</t>
  </si>
  <si>
    <t>Service Desk</t>
  </si>
  <si>
    <t>servicedesk_internalit@eng.it</t>
  </si>
  <si>
    <t>Si rileva che per il servizio di posta elettronica fornito da Microsoft non è presente un RTO e un RPO contrattualizzato. Tuttavia è presente uno SLA di disponibilità pari a 99,9%</t>
  </si>
  <si>
    <t>VPN ENG</t>
  </si>
  <si>
    <t>VPN client to site per accedere alla rete interna</t>
  </si>
  <si>
    <r>
      <t xml:space="preserve">Dipendenze </t>
    </r>
    <r>
      <rPr>
        <sz val="10"/>
        <color theme="1"/>
        <rFont val="CocoEng"/>
        <family val="3"/>
      </rPr>
      <t>(Vedi foglio Istruzioni per le regole di compilazione del presente foglio)</t>
    </r>
  </si>
  <si>
    <r>
      <t xml:space="preserve">Clienti </t>
    </r>
    <r>
      <rPr>
        <sz val="10"/>
        <color theme="1"/>
        <rFont val="CocoEng"/>
        <family val="3"/>
      </rPr>
      <t>(Vedi foglio Istruzioni per le regole di compilazione del presente foglio)</t>
    </r>
  </si>
  <si>
    <t>Account Manager</t>
  </si>
  <si>
    <t>Referente Cliente</t>
  </si>
  <si>
    <t>Gestione Incidenti</t>
  </si>
  <si>
    <t>Nome e Cognome_AM</t>
  </si>
  <si>
    <t>Nome e Cognome_RC</t>
  </si>
  <si>
    <r>
      <t xml:space="preserve">Scenari BC </t>
    </r>
    <r>
      <rPr>
        <sz val="10"/>
        <color theme="1"/>
        <rFont val="CocoEng"/>
        <family val="3"/>
      </rPr>
      <t>(Vedi foglio Istruzioni per le regole di compilazione del presente foglio)</t>
    </r>
  </si>
  <si>
    <t>ILO</t>
  </si>
  <si>
    <t>Indisponibilità dei Locali</t>
  </si>
  <si>
    <t>IPE</t>
  </si>
  <si>
    <t>Indisponibilità del Personale Essenziale</t>
  </si>
  <si>
    <t>IST</t>
  </si>
  <si>
    <t>Indisponibilità dei Sistemi IT</t>
  </si>
  <si>
    <t>IFC</t>
  </si>
  <si>
    <t>Indisponibilità dei Fornitori Critici</t>
  </si>
  <si>
    <t>IDE</t>
  </si>
  <si>
    <t>Indisponibilità della Documentazione Essenziale</t>
  </si>
  <si>
    <t>IPL</t>
  </si>
  <si>
    <t>Indisponibilità delle Postazioni di Lavoro</t>
  </si>
  <si>
    <t>INF</t>
  </si>
  <si>
    <t>Indisponibilità dell'infrastruttura</t>
  </si>
  <si>
    <r>
      <t xml:space="preserve">Impatto RI </t>
    </r>
    <r>
      <rPr>
        <sz val="10"/>
        <color theme="1"/>
        <rFont val="CocoEng"/>
        <family val="3"/>
      </rPr>
      <t>(Vedi foglio Istruzioni per le regole di compilazione del presente foglio)</t>
    </r>
  </si>
  <si>
    <t>Impatti Perdita Riservatezza</t>
  </si>
  <si>
    <t>Impatti Perdita Integrità</t>
  </si>
  <si>
    <t>Impatti riservatezza</t>
  </si>
  <si>
    <t>Impatti integrità</t>
  </si>
  <si>
    <t>Val Imp R Ec</t>
  </si>
  <si>
    <t>Val Imp R Rep</t>
  </si>
  <si>
    <t>Val Imp R Nor</t>
  </si>
  <si>
    <t>Val Imp R Op</t>
  </si>
  <si>
    <t>Val Imp R Max</t>
  </si>
  <si>
    <t>Val Imp I Ec</t>
  </si>
  <si>
    <t>Val Imp I Rep</t>
  </si>
  <si>
    <t>Val Imp I Nor</t>
  </si>
  <si>
    <t>Val Imp I Op</t>
  </si>
  <si>
    <t>Val Imp I Max</t>
  </si>
  <si>
    <t>ICT RISK ASSESSMENT</t>
  </si>
  <si>
    <r>
      <t xml:space="preserve">Valutazione controlli </t>
    </r>
    <r>
      <rPr>
        <sz val="10"/>
        <color theme="1"/>
        <rFont val="CocoEng"/>
        <family val="3"/>
      </rPr>
      <t>(Vedi foglio Istruzioni per le regole di compilazione del presente foglio)</t>
    </r>
  </si>
  <si>
    <t>Catalogo Misure di Sicurezza</t>
  </si>
  <si>
    <t>Mapping P&amp;I</t>
  </si>
  <si>
    <t>Mapping con Minacce</t>
  </si>
  <si>
    <t>Mapping Declinazioni Operative VS Ambiti di Attività</t>
  </si>
  <si>
    <t>Valutazione Declinazioni Operative</t>
  </si>
  <si>
    <t>Cross Reference</t>
  </si>
  <si>
    <t>Mitigazione Probabilità</t>
  </si>
  <si>
    <t>Mitigazione Impatto</t>
  </si>
  <si>
    <t xml:space="preserve">Categoria </t>
  </si>
  <si>
    <t>Nome Misura di Sicurezza</t>
  </si>
  <si>
    <t>Declinazione Misura di Sicurezza</t>
  </si>
  <si>
    <t>Tipologia Misura di Sicurezza</t>
  </si>
  <si>
    <t>Ransomware</t>
  </si>
  <si>
    <t>Malware</t>
  </si>
  <si>
    <t>Supply Chain Attacks</t>
  </si>
  <si>
    <t>Minacce su dispositivi mobili</t>
  </si>
  <si>
    <t>Social Engineering</t>
  </si>
  <si>
    <t>Data Breach, Data Leakage &amp; Data Manipulation</t>
  </si>
  <si>
    <t>Furto o smarrimento di dispositivi, storage o apparati aziendali</t>
  </si>
  <si>
    <t>Sfruttamento di vulnerabilità note e zero-day</t>
  </si>
  <si>
    <t>DDoS</t>
  </si>
  <si>
    <t>Guasto HW e obsolescenza tecnologica</t>
  </si>
  <si>
    <t>Anomalia SW</t>
  </si>
  <si>
    <t>Furto e abuso di credenziali</t>
  </si>
  <si>
    <t>Azioni improprie o errore umano</t>
  </si>
  <si>
    <t>Connessione non autorizzata alla rete fisica o wireless</t>
  </si>
  <si>
    <t>Mancato rispetto di normative o requisiti contrattuali di sicurezza</t>
  </si>
  <si>
    <t>Evento naturale o meteorologico estremo</t>
  </si>
  <si>
    <t>Incendio o allagamento</t>
  </si>
  <si>
    <t>Interruzione di utilities</t>
  </si>
  <si>
    <t>Vandalismo, sabotaggio fisico o provvedimento delle autorità</t>
  </si>
  <si>
    <t>Assenza di personale operativo e figure chiave</t>
  </si>
  <si>
    <t>Fault del fornitore</t>
  </si>
  <si>
    <t>Intrusione fraudolenta in uffici, locali tecnici o data center</t>
  </si>
  <si>
    <t>Counting</t>
  </si>
  <si>
    <t>Applicabilità Declinazione Operativa</t>
  </si>
  <si>
    <t>Descrizione KPI</t>
  </si>
  <si>
    <t>ISO 27001</t>
  </si>
  <si>
    <t>Reg UE</t>
  </si>
  <si>
    <t>NIS2 ACN</t>
  </si>
  <si>
    <t>Mit Prob</t>
  </si>
  <si>
    <t>Mit Imp</t>
  </si>
  <si>
    <t>M1</t>
  </si>
  <si>
    <t>01 Domain Controller</t>
  </si>
  <si>
    <t>Accessi privilegiati con Privileged Access Management</t>
  </si>
  <si>
    <t>Garantire che gli accessi ai Domain Controller di tutte le utenze amministrative o privilegiate in perimetro vengano protetti attraverso il Privileged Session Manager di un Privileged Access Management (PAM) o altre soluzioni equivalenti del cliente.</t>
  </si>
  <si>
    <t>Advanced</t>
  </si>
  <si>
    <t>X</t>
  </si>
  <si>
    <t>Nr DC con accessi protetti da PAM / Nr DC totali</t>
  </si>
  <si>
    <t>08.02 Privileged access rights; 08.05 Secure authentication; 08.18 Use of privileged utility programs (complementare); 05.15 Access control</t>
  </si>
  <si>
    <t>11.3.1–11.3.3 (privileged/system admin accounts); 11.6.1–11.6.4 (secure authentication); 11.7.1–11.7.2 (MFA, se usata); 11.4.1–11.4.2 (admin systems, se bastion/PAM jump)</t>
  </si>
  <si>
    <t>PR.AA-05 (least privilege / separazione privilegi); PR.AA-03 (autenticazione); PR.AA-01 (gestione utenze/credenziali)</t>
  </si>
  <si>
    <t>M2</t>
  </si>
  <si>
    <t>Aggiornamenti di Sicurezza Regolari</t>
  </si>
  <si>
    <t>Garantire che tutti i Domain Controller/LDAP siano aggiornati con le patch di sicurezza più recenti, automatizzando il processo di aggiornamento laddove possibile</t>
  </si>
  <si>
    <t>Baseline</t>
  </si>
  <si>
    <t>Nr di DC aggiornati con le ultime patch /  Nr totale di DC</t>
  </si>
  <si>
    <t>08.08 Management of technical vulnerabilities; 08.32 Change management (se patching dentro processo change)</t>
  </si>
  <si>
    <t>6.6.1–6.6.2 (security patch management); 6.10.1–6.10.4 (vulnerability handling); 6.4.1–6.4.4 (change, se formalizzato)</t>
  </si>
  <si>
    <t>PR.PS-02 (patching); ID.RA-08 (vulnerability mgmt plan/remediation)</t>
  </si>
  <si>
    <t>M3</t>
  </si>
  <si>
    <t>Attivazione Defender for Identity</t>
  </si>
  <si>
    <t>Garantire l'implementazione della soluzione di Defender for Identity sui Domain Controller</t>
  </si>
  <si>
    <t>Intermediate</t>
  </si>
  <si>
    <t>Nr DC con soluzione Difender for Identity attiva / Nr DC totali</t>
  </si>
  <si>
    <t>08.16 Monitoring activities; 08.15 Logging; 08.07 Protection against malware (parziale/complementare); 05.07 Threat intelligence (indiretto, se usato per analisi/CTI)</t>
  </si>
  <si>
    <t>3.2.1–3.2.4; 3.2.7 (monitoring/logging/detection); 3.4.1–3.4.2 (event assessment, se integrato in SOC); 6.9.1–6.9.2 (solo parzialmente, se contribuisce al rilevamento)</t>
  </si>
  <si>
    <t>DE.CM-01 (monitoraggio eventi/incidenti significativi); DE.AE-02/03/04 (analisi/correlazione eventi, se integrato); PR.PS-04 (logging, se produce/integra log)</t>
  </si>
  <si>
    <t>M4</t>
  </si>
  <si>
    <t>Conservazione Password per Attività di Manutenzione Domain Controller</t>
  </si>
  <si>
    <t>Garantire che le credenziali di accesso per le attività di manutenzione sui Domain Controller, vengano conservate all’interno del vault di un Password Manager o altre soluzioni equivalenti del cliente, e che le relative password siano diverse per ogni Domain Controller</t>
  </si>
  <si>
    <t>Nr DC con con credenziali amministrative protette in Password Manager / Nr totale DC</t>
  </si>
  <si>
    <t>05.17 Authentication information; 08.02 Privileged access rights; 05.15 Access control</t>
  </si>
  <si>
    <t>11.3.1–11.3.3 (privileged accounts); 11.6.2(b) (gestione secret authentication information)</t>
  </si>
  <si>
    <t>PR.AA-01 (credenziali gestite/robuste); PR.AA-05 (gestione privilegi)</t>
  </si>
  <si>
    <t>M5</t>
  </si>
  <si>
    <t>Disabilitare Accesso Internet per Domain Controller</t>
  </si>
  <si>
    <t>Garantire che venga impedito l'accesso a internet dai Domain Controller in perimetro, ad esclusione del traffico verso la soluzione EDR attiva (es Trend Micro) ed eventuali necessità di aggiornamenti del software</t>
  </si>
  <si>
    <t xml:space="preserve">Nr DC con accesso a internet disabiliitato / Nr DC totali </t>
  </si>
  <si>
    <t>08.20 Network security; 08.21 Security of network services; 08.23 Web filtering (se attuato via proxy/filtering)</t>
  </si>
  <si>
    <t>6.7.1–6.7.3 (network security); 6.7.2(c)(f) (bloccare connessioni/servizi non necessari); 6.7.2(l) (DNS security, se eccezioni governate)</t>
  </si>
  <si>
    <t>PR.IR-01 (protezione rete / sistemi perimetrali / accessi); DE.CM-01 (se monitoraggio traffico/blocchi)</t>
  </si>
  <si>
    <t>M7</t>
  </si>
  <si>
    <t>Disabilitare Account Guest e Amministratori Locali Predefiniti</t>
  </si>
  <si>
    <t>Garantire la rimozione o la disabilitazione dell'account Guest e la limitazione dell’uso dell'Administrator locale</t>
  </si>
  <si>
    <t>S/Parziale/N</t>
  </si>
  <si>
    <t>05.16 Identity management; 08.02 Privileged access rights; 05.18 Access rights; 08.03 Information access restriction (complementare)</t>
  </si>
  <si>
    <t>11.5.1–11.5.4 (identity lifecycle, identities); 11.3.1–11.3.3 (privileged/system admin accounts); 11.2.2(a)(b)(c) (access rights mgmt)</t>
  </si>
  <si>
    <t>PR.AA-01 (utenze censite/individuali); PR.AA-05 (least privilege / separazione privilegi)</t>
  </si>
  <si>
    <t>M8</t>
  </si>
  <si>
    <t>Dismissione Connessione Trust</t>
  </si>
  <si>
    <t>Garantire che le connessioni trust tra i domini in perimetro e altri domini di Engineering vengano ammesse solo previa valutazione e approvazione del Group CISO</t>
  </si>
  <si>
    <t>Nr DC con assenza di connessioni trust o autorizzate / Nr totale di DC</t>
  </si>
  <si>
    <t>08.22 Segregation of networks; 08.20 Network security; 05.15 Access control; 06.01 Information security roles and responsibilities (solo per approvazione Group CISO, governance)</t>
  </si>
  <si>
    <t>6.8.1–6.8.3 (segmentazione/isolamento tra domini/sistemi); 6.7.2(c)(e)(f)(i) (limitazione comunicazioni/servizi/admin path); 2.1.2(d)(g) (risk-based treatment, se basata su valutazione)</t>
  </si>
  <si>
    <t>PR.IR-01 (segmentazione e restrizione comunicazioni); ID.RA-05 / ID.RA-06 (se la trust è oggetto di RA/trattamento); GV.RR-02 (parte approvativa/governance)</t>
  </si>
  <si>
    <t>M9</t>
  </si>
  <si>
    <t>Domain Controller Security Assessment</t>
  </si>
  <si>
    <t>Garantire che venga eseguito sui domain controller / LDAP in perimetro un security assessment annuale specifico per testare la sicurezza del servizio</t>
  </si>
  <si>
    <t>Data ultimo Sec Assessment sui Domain Controller</t>
  </si>
  <si>
    <t>05.35.02 Independent review of information security – Technical review; 08.08 Management of technical vulnerabilities; 08.34 Protection during audit testing (se applicabile)</t>
  </si>
  <si>
    <t>6.5.1–6.5.3 (security testing); 6.10.2(b) (vulnerability scans, se inclusi); 2.3 (independent review, se assessment indipendente)</t>
  </si>
  <si>
    <t>ID.RA-01 (VA/PT e relazioni); ID.RA-08 (vulnerability management); ID.IM-01 (improvement from assessments)</t>
  </si>
  <si>
    <t>M10</t>
  </si>
  <si>
    <t>Hardening di Base dei Domain Controller</t>
  </si>
  <si>
    <t xml:space="preserve">Garantire una configurazione sicura dei Domain Controller/LDAP, incluse la disabilitazione dei servizi non necessari (es. Print Spooler, SMBv1, $AdminShare in caso di macchine Windows) e il blocco dei protocolli obsoleti e insicuri </t>
  </si>
  <si>
    <t>Nr di DC conformi agli standard di hardening / Nr totale di DC</t>
  </si>
  <si>
    <t>08.09 Configuration management; 08.20 Network security (per protocolli/servizi di rete); 08.08 Management of technical vulnerabilities (complementare)</t>
  </si>
  <si>
    <t>6.3.1–6.3.3 (configuration management); 6.7.1–6.7.3 (network security, protocolli/servizi); 6.9.1–6.9.2 (parziale, riduzione software non autorizzato/esposto)</t>
  </si>
  <si>
    <t>PR.PS-01 (baseline/hardening); PR.IR-01 (protezione rete, per protocolli/servizi); PR.PS-02 (complementare se hardening include remediation vulnerabilità)</t>
  </si>
  <si>
    <t>M11</t>
  </si>
  <si>
    <t>Implementazione di Account Lockout Policy</t>
  </si>
  <si>
    <t>Garantire la configurazione delle policy di blocco di tutti gli account  del dominio dopo un certo numero di tentativi falliti di accesso</t>
  </si>
  <si>
    <t>Nr di DC con account lockout policy / Nr totale di DC</t>
  </si>
  <si>
    <t>08.05 Secure authentication; 05.17 Authentication information</t>
  </si>
  <si>
    <t>11.6.1; 11.6.2(d) (blocking after predefined unsuccessful logins)</t>
  </si>
  <si>
    <t>PR.AA-03 (autenticazione); PR.AA-01 (credenziali/utenze, complementare)</t>
  </si>
  <si>
    <t>M12</t>
  </si>
  <si>
    <t>Implementazione EDR/XDR</t>
  </si>
  <si>
    <t>Garantire l'implementazione di soluzioni avanzate di Endpoint Detection &amp; Response (EDR) o Extended Detection &amp; Response (XDR) sui Domain Controller</t>
  </si>
  <si>
    <t>Nr DC con soluzione EDR/XDR attiva / Nr DC totali</t>
  </si>
  <si>
    <t>08.07 Protection against malware; 08.16 Monitoring activities; 08.15 Logging (se invio log/telemetria)</t>
  </si>
  <si>
    <t>6.9.1–6.9.2 (malicious/unauthorised software protection); 3.2.1–3.2.4 (se integrato con monitoring/SOC)</t>
  </si>
  <si>
    <t>DE.CM-09 (protezione endpoint/antimalware); DE.CM-01 (se integrato in detection centralizzata); PR.PS-04 (logging, se applicabile)</t>
  </si>
  <si>
    <t>M13</t>
  </si>
  <si>
    <t>Monitoraggio Continuo con SIEM e Threat Detection</t>
  </si>
  <si>
    <t>Garantire l'implementazione di un SIEM (es. Splunk, QRadar) per monitorare in tempo reale gli accessi ai Domain Controller e tentativi di modifica non autorizzata ai servizi Active Directory/LDAP</t>
  </si>
  <si>
    <t>Nr DC monitorati con SIEM / Nr DC totali</t>
  </si>
  <si>
    <t>08.16 Monitoring activities; 08.15.01 Logging – General; 08.15.02 Logging – Admin/operators; 08.15.03 Protection of logs; 08.17 Clock synchronization (se incluso)</t>
  </si>
  <si>
    <t>3.2.1–3.2.7 (monitoring &amp; logging); 3.4.1–3.4.2 (assessment/classification, se SIEM+SOC); 3.5.4 (incident response logging, se integrato)</t>
  </si>
  <si>
    <t>DE.CM-01; DE.CM-03; DE.AE-02/03/04/06/07/08; PR.PS-04</t>
  </si>
  <si>
    <t>M14</t>
  </si>
  <si>
    <t>Monitoraggio delle Modifiche all’Active Directory</t>
  </si>
  <si>
    <t>Garantire il monitoraggio delle modifiche ai Group Policy Objects (GPO) e la creazione, modifica o eliminazione di utenti e gruppi privilegiati</t>
  </si>
  <si>
    <t>08.15 Logging; 08.16 Monitoring activities; 05.16 Identity management; 05.18 Access rights</t>
  </si>
  <si>
    <t>3.2.3(b)(e)(f)(k) (user/privileged/config changes logging); 3.2.4 (review/alarm thresholds); 3.2.1 (monitoring procedures)</t>
  </si>
  <si>
    <t>PR.PS-04 (logging); DE.CM-01 (monitoraggio eventi sicurezza); DE.AE-02/03/04/08 (analisi/correlazione/classificazione eventi)</t>
  </si>
  <si>
    <t>M15</t>
  </si>
  <si>
    <t>Rotazione delle password per Attività di Manutenzione Domain Controller</t>
  </si>
  <si>
    <t>Garantire che le credenziali di accesso amministrativo ai Domain Controller (es Domain Admins o Enterprise Admins) siano cambiate automaticamente ogni 15 giorni e dopo ogni utilizzo tramite una soluzione di Privileged Access Management (es Cyberark)</t>
  </si>
  <si>
    <t>Nr DC con rotazione password di accesso amministrativo / Nr totale DC</t>
  </si>
  <si>
    <t>08.02 Privileged access rights; 05.17 Authentication information; 08.05 Secure authentication</t>
  </si>
  <si>
    <t>11.3.1–11.3.3 (privileged/system admin accounts); 11.6.2(c)(f) (credential change, separate credentials privileged)</t>
  </si>
  <si>
    <t>PR.AA-05 (least privilege / separate admin); PR.AA-01 (utenze e credenziali robuste/gestite)</t>
  </si>
  <si>
    <t>M16</t>
  </si>
  <si>
    <t>Segregazione Domain Controller</t>
  </si>
  <si>
    <t>Garantire che i Domain Controller siano attestati su una porzione di rete ad essi dedicata in modo esclusivo (es vlan dedicata) raggiungibile in Desktop Remoto esclusivamente dalla soluzione PAM implementata (es Cyberark)</t>
  </si>
  <si>
    <t>Nr DC segregati / Nr DC totali</t>
  </si>
  <si>
    <t>08.22 Segregation of networks; 08.20 Network security; 08.02 Privileged access rights (per accesso admin solo via PAM)</t>
  </si>
  <si>
    <t>6.8.1–6.8.3 (network segmentation); 6.7.2(b)(c)(d)(e)(g)(h)(i) (network controls/remote access/admin channels); 11.3 (solo per la parte PAM accesso admin)</t>
  </si>
  <si>
    <t>PR.IR-01 (protezione reti/segmentazione/remote access); PR.AA-05 (per parte accesso privilegiato); DE.CM-01 (se monitorata)</t>
  </si>
  <si>
    <t>M17</t>
  </si>
  <si>
    <t>02 Identity and Access Management</t>
  </si>
  <si>
    <t>Analisi su Never Expire Password</t>
  </si>
  <si>
    <t>Garantire che venga effettuata un'analisi sulle utenze volta a evidenziare le utenze privilegiate con password "never expire" al fine di eliminare quelle non strettamente necessarie e implementare per quelle necessarie opportune azioni di mitigazione (es. cambio password manuale, gestione con strumenti PAM, ecc)</t>
  </si>
  <si>
    <t>05.17 Authentication information; 08.05 Secure authentication; 08.02 Privileged access rights (se focalizzato su account privilegiati)</t>
  </si>
  <si>
    <t>11.6.2(c) (credential change at predefined intervals); 11.6.2(b) (management of secret auth info); 11.3 (se su privileged accounts)</t>
  </si>
  <si>
    <t>PR.AA-01 (credenziali robuste/aggiornate); PR.AA-05 (se riguarda privilegiati)</t>
  </si>
  <si>
    <t>M18</t>
  </si>
  <si>
    <t>Implementazione MFA</t>
  </si>
  <si>
    <t>Garantire che venga implementata la Multi Factor Authentication (MFA) a protezione degli accessi</t>
  </si>
  <si>
    <t>08.05 Secure authentication; 05.17 Authentication information; (in parte 08.02 Privileged access rights se MFA su account privilegiati)</t>
  </si>
  <si>
    <t>11.7.1–11.7.2 (MFA / strength of authentication); 11.6.1–11.6.4 (secure authentication)</t>
  </si>
  <si>
    <t>PR.AA-05 (modalità di autenticazione commisurate al rischio, MFA per sistemi rilevanti); PR.AA-03</t>
  </si>
  <si>
    <t>M19</t>
  </si>
  <si>
    <t>Strong Password Policies</t>
  </si>
  <si>
    <t>Garantire l'implementazione di politiche di password complesse e scadenza password</t>
  </si>
  <si>
    <t>05.17 Authentication information; 08.05 Secure authentication</t>
  </si>
  <si>
    <t>11.6.2(c) (change credentials at predefined intervals/compromise suspicion); 11.6.2(a) (strength appropriate to asset classification); 11.6.3 (state-of-the-art methods)</t>
  </si>
  <si>
    <t>PR.AA-01 (credenziali robuste e aggiornate); PR.AA-03 (autenticazione, complementare)</t>
  </si>
  <si>
    <t>M20</t>
  </si>
  <si>
    <t>Utenze Personali Privilegiate con Least Privilege</t>
  </si>
  <si>
    <r>
      <t xml:space="preserve">Garantire che le utenze </t>
    </r>
    <r>
      <rPr>
        <b/>
        <sz val="11"/>
        <color theme="1"/>
        <rFont val="CocoEng"/>
        <family val="3"/>
      </rPr>
      <t>personali</t>
    </r>
    <r>
      <rPr>
        <sz val="11"/>
        <rFont val="CocoEng"/>
        <family val="3"/>
      </rPr>
      <t xml:space="preserve"> privilegiate in perimetro vengano profilate secondo il principio del least privilege</t>
    </r>
  </si>
  <si>
    <t>Nr utenze persoanli privilegiate compliant / Nr utenze personali privilegiate in perimetro</t>
  </si>
  <si>
    <t>08.02 Privileged access rights; 05.18 Access rights; 05.15 Access control</t>
  </si>
  <si>
    <t>11.3.1–11.3.3 (privileged/system admin accounts); 11.2.2(a)(c) (least privilege / authorization); 11.1.1–11.1.3</t>
  </si>
  <si>
    <t>PR.AA-05 (least privilege / separazione funzioni); PR.AA-01 (utenze gestite)</t>
  </si>
  <si>
    <t>M22</t>
  </si>
  <si>
    <t>Utenze Tecniche Privilegiate con Least Privilege</t>
  </si>
  <si>
    <r>
      <t xml:space="preserve">Garantire che le utenze </t>
    </r>
    <r>
      <rPr>
        <b/>
        <sz val="11"/>
        <color theme="1"/>
        <rFont val="CocoEng"/>
        <family val="3"/>
      </rPr>
      <t xml:space="preserve">tecniche </t>
    </r>
    <r>
      <rPr>
        <sz val="11"/>
        <color theme="1"/>
        <rFont val="CocoEng"/>
        <family val="3"/>
      </rPr>
      <t>(utenze application to application)</t>
    </r>
    <r>
      <rPr>
        <sz val="11"/>
        <rFont val="CocoEng"/>
        <family val="3"/>
      </rPr>
      <t xml:space="preserve"> privilegiate in perimetro vengano profilate secondo il principio del least privilege,</t>
    </r>
    <r>
      <rPr>
        <sz val="11"/>
        <color theme="1"/>
        <rFont val="CocoEng"/>
        <family val="3"/>
      </rPr>
      <t xml:space="preserve"> che il relativo logon interattivo venga disabilitato e che le password associate siano in linea con i requisiti di robustezza</t>
    </r>
  </si>
  <si>
    <t>Nr utenze tecniche privilegiate compliant / Nr utenze tecniche privilegiate in perimetro</t>
  </si>
  <si>
    <t>08.02 Privileged access rights; 05.18 Access rights; 05.16 Identity management; 08.05 Secure authentication</t>
  </si>
  <si>
    <t>11.3.1–11.3.3; 11.2.2(a)(c)(e); 11.5.1–11.5.4 (identity lifecycle/oversight/logging identità); 11.6.2(b)(f)</t>
  </si>
  <si>
    <t>PR.AA-05; PR.AA-01; PR.AA-03</t>
  </si>
  <si>
    <t>Gestione Ciclo di Vita Utenze del Servizio (JML)</t>
  </si>
  <si>
    <t>Garantire il tracciamento della  creazione/modifica/sospensione/disattivazione delle utenze del servizio</t>
  </si>
  <si>
    <t>05.16 Identity management; 05.18 Access rights; 05.15 Access control</t>
  </si>
  <si>
    <t>11.5.1–11.5.4 (identity lifecycle, unique IDs, oversight, review/deactivation); 11.2.1 (provide/modify/remove access rights)</t>
  </si>
  <si>
    <t>PR.AA-01 (utenze censite/individuali/verificate); PR.AA-05 (complementare se include diritti/permessi)</t>
  </si>
  <si>
    <t>Registro dei Diritti di Accesso del Servizio</t>
  </si>
  <si>
    <t>Garantire la manutenzione di un registro aggiornato dei diritti di accesso per utenze personali, tecniche e terze parti</t>
  </si>
  <si>
    <t>05.18 Access rights; 05.15 Access control</t>
  </si>
  <si>
    <t>11.2.2(e) (maintain a register of access rights granted); 11.2.1</t>
  </si>
  <si>
    <t>PR.AA-05 (permessi/diritti gestiti e rivisti); PR.AA-01 (complementare)</t>
  </si>
  <si>
    <t>Logging della Gestione dei Diritti di Accesso</t>
  </si>
  <si>
    <t>Garantire il tracciamento di assegnazione/modifica/revoca dei diritti di accesso ai sistemi informativi e di rete del servizio in oggetto</t>
  </si>
  <si>
    <t>05.18 Access rights; 08.15 Logging; 05.16 Identity management</t>
  </si>
  <si>
    <t>11.2.2(f) (logging access rights management); 11.5.2(d) (logging identity management); 3.2.3 (logging framework, se centralizzato)</t>
  </si>
  <si>
    <t>PR.PS-04 (logging); PR.AA-05 / PR.AA-01 (come contesto IAM)</t>
  </si>
  <si>
    <t>Gestione Utenze Condivise con Approvazione e Tracciabilità</t>
  </si>
  <si>
    <t>Garantire la presenza di utenze condivise (privilegiate o non) solo se necessari e conservare le relative credenziali in un Password Manager</t>
  </si>
  <si>
    <t>05.16 Identity management; 05.18 Access rights; 08.02 Privileged access rights (se shared privileged IDs)</t>
  </si>
  <si>
    <t>11.5.3 (shared identities only if necessary + approval + documentation); 11.5.2(d) (logging identities, se presente)</t>
  </si>
  <si>
    <t>PR.AA-01 (utenze individuali come default, eccezioni motivate); PR.AA-05 (se privilegiate)</t>
  </si>
  <si>
    <t>M23</t>
  </si>
  <si>
    <t>Verificare Tutte le Utenze Periodicamente (Ricertificazione Periodica delle Utenze)</t>
  </si>
  <si>
    <r>
      <t xml:space="preserve">Garantire che le utenze </t>
    </r>
    <r>
      <rPr>
        <b/>
        <sz val="11"/>
        <color theme="1"/>
        <rFont val="CocoEng"/>
        <family val="3"/>
      </rPr>
      <t>privilegiate</t>
    </r>
    <r>
      <rPr>
        <b/>
        <sz val="11"/>
        <rFont val="CocoEng"/>
        <family val="3"/>
      </rPr>
      <t xml:space="preserve"> e non privilegiate </t>
    </r>
    <r>
      <rPr>
        <sz val="11"/>
        <rFont val="CocoEng"/>
        <family val="3"/>
      </rPr>
      <t>(personali, condivise e utenze tecniche) vengano periodicamente e formalmente verificate internamente e con il cliente (in caso di gestione di utenze del cliente o rilascio di utenze allo stesso), al fine di confermare la necessità della relativa esistenza</t>
    </r>
  </si>
  <si>
    <t>05.18.02 Access rights – Review of access rights; 05.16 Identity management; 08.02 (se focalizzato su privilegiati)</t>
  </si>
  <si>
    <t>11.2.3 (review access rights); 11.5.4 (review identities / deactivate if no longer needed); 11.3.3 (review privileged rights, se inclusi)</t>
  </si>
  <si>
    <t>PR.AA-01 (verifica periodica utenze/autorizzazioni); PR.AA-05 (se include privilegi/separation of duties)</t>
  </si>
  <si>
    <t>Riesame Periodico Accessi Privilegiati con Evidenze</t>
  </si>
  <si>
    <t>Garantire il riesame periodico degli accessi privilegiati del servizio con esiti tracciati</t>
  </si>
  <si>
    <t>Data ultimo riesame</t>
  </si>
  <si>
    <t>08.02 Privileged access rights; 05.18.02 Access rights review; 05.18 Access rights</t>
  </si>
  <si>
    <t>11.3.3 (review privileged/system admin rights + document results); 11.2.3 (review access rights)</t>
  </si>
  <si>
    <t>PR.AA-05 (permessi/diritti rivisti); PR.AA-01 (complementare)</t>
  </si>
  <si>
    <t>Disattivazione Tempestiva Utenze Non Più Necessarie</t>
  </si>
  <si>
    <t>Garantire che vengano disattivate senza ritardo identità/utenze non più necessarie</t>
  </si>
  <si>
    <t>05.16 Identity management; 05.18.03 Access rights – change/termination; 05.18 Access rights</t>
  </si>
  <si>
    <t>11.5.4 (deactivate identities no longer needed without delay); 11.2.2(b) (modify rights upon termination/change); 11.2.1</t>
  </si>
  <si>
    <t>PR.AA-01 (verifica/revoca/aggiornamento utenze); PR.AA-05 (complementare se diritti privilegiati)</t>
  </si>
  <si>
    <t>02.01 Sicurezza dei Dati</t>
  </si>
  <si>
    <t>Classificazione dei Dati e Asset del Servizio</t>
  </si>
  <si>
    <t>Garantire che i dati/asset del servizio siano classificati secondo lo schema aziendale e che vengano applicate regole di handling/trasferimento/accesso/conservazione in base alla classificazione (es cifratura per DB con dati particolari</t>
  </si>
  <si>
    <t>05.12 Classification of information; 05.09 Inventory of information and other associated assets</t>
  </si>
  <si>
    <t>12.1.1–12.1.3 (asset classification); 12.4.1–12.4.3 (asset inventory, se integrato)</t>
  </si>
  <si>
    <t>ID.AM-05 (prioritizzazione per criticità); ID.AM-07 (inventari dati/metadati, se formalizzati); GV.OC-4 (sistemi rilevanti, contesto)</t>
  </si>
  <si>
    <t>Gestione Certificati e Scadenze Crittografiche del Servizio</t>
  </si>
  <si>
    <t>Garantire il monitoraggio, il rinnovo e la sostituzione tempestiva dei certificati crittografici</t>
  </si>
  <si>
    <t>08.24.02 Use of cryptography – Key management; 08.24.01 Use of cryptography – General</t>
  </si>
  <si>
    <t>9.2(c) (key management incl. issue/renew/revoke/recover/logging); 9.1; 9.3</t>
  </si>
  <si>
    <t>PR.DS-02 (canali protetti, contesto); PR.DS-01 (at rest, se certificati per encryption at rest); PR.PS-01 (processo/configurazione, complementare)</t>
  </si>
  <si>
    <t>Inventario Elementi Crittografici del Servizio</t>
  </si>
  <si>
    <t>Garantire la manutenzione di un inventario di certificati/dipendenze crittografiche del servizio</t>
  </si>
  <si>
    <t>08.24.02 Use of cryptography – Key management; 05.09 Inventory (complementare)</t>
  </si>
  <si>
    <t>9.2(c) (key management incl. inventory-like governance); 9.1</t>
  </si>
  <si>
    <t>PR.PS-01 (gestione configurazioni, se inventario usato per standardizzazione); PR.DS-02 (contesto)</t>
  </si>
  <si>
    <t>Configurazione Sicura TLS/Canali Cifrati</t>
  </si>
  <si>
    <t>Garantire che i protocolli/algoritmi di crittografia siano conformi agli standard approvati</t>
  </si>
  <si>
    <t>08.24.01 Use of cryptography – General; 08.20 Network security; 05.14 Information transfer</t>
  </si>
  <si>
    <t>9.1; 9.2(a)(b); 9.3 (crypto policy, protocolli/algoritmi/strength); 6.7.2(i) (trusted channels, protection channel data)</t>
  </si>
  <si>
    <t>PR.DS-02 (data in transit protetti); PR.IR-01 (contesto canali rete)</t>
  </si>
  <si>
    <t>03 Network Management</t>
  </si>
  <si>
    <t>Inventario Flussi di Rete del Servizio verso l’Esterno</t>
  </si>
  <si>
    <t>Garantire la manutenzione di un inventario approvato e aggiornato dei flussi di rete verso esterno</t>
  </si>
  <si>
    <t>08.20 Network security; 08.22 Segregation of networks (complementare)</t>
  </si>
  <si>
    <t>6.7.2(a) (document architecture of the network); 6.7.1–6.7.3</t>
  </si>
  <si>
    <t>ID.AM-03 (inventario flussi di rete verso l’esterno); PR.IR-01 (contesto protezione rete)</t>
  </si>
  <si>
    <t>Baseline di Configurazione Sicura per Apparati di Rete Critici</t>
  </si>
  <si>
    <t>Garantire l'adozione di baseline di hardening predefinita per apparati di rete critici (es. modificare credenziali e psw di default)</t>
  </si>
  <si>
    <t>08.09 Configuration management; 08.20 Network security</t>
  </si>
  <si>
    <t>6.3.1–6.3.3 (configuration management); 6.7.1–6.7.3 (network security)</t>
  </si>
  <si>
    <t>PR.PS-01 (configurazioni sicure/hardening); PR.IR-01 (complementare)</t>
  </si>
  <si>
    <t>Conservazione Password per Attività di Manutenzione Apparati di Rete</t>
  </si>
  <si>
    <t>Garantire che le credenziali di accesso per le attività di manutenzione sugli apparati di rete vengano conservate all’interno del vault di Cyberark aziendale (o Password Manager equivalenti) o altre soluzioni equivalenti del cliente</t>
  </si>
  <si>
    <t xml:space="preserve">Nr apparati di rete con con credenziali amministrative protette in Password Manager / Nr totale apparati di rete </t>
  </si>
  <si>
    <t>11.6.2(b) (management of secret authentication info); 11.3.1–11.3.3 (privileged/system admin accounts)</t>
  </si>
  <si>
    <t>PR.AA-01 (credenziali gestite/robuste); PR.AA-05 (privilegi)</t>
  </si>
  <si>
    <t>Failover di Rete Automatizzato</t>
  </si>
  <si>
    <t>Garantire l'implementazione di una soluzione di failover automatico per garantire continuità in caso di guasto della rete primaria.</t>
  </si>
  <si>
    <t>08.14 Redundancy of information processing facilities; 05.30 ICT readiness for business continuity; 08.20 Network security (solo contesto rete)</t>
  </si>
  <si>
    <t>4.2.4–4.2.5 (availability/resources/redundancy); 4.1.2(g) (resources incl. redundancies in BC/DR plans); (in parte 13.1 se legato a utilities/telecom)</t>
  </si>
  <si>
    <t>PR.IR-03 (resilience in condizioni normali/avverse); ID.IM-04 (BC/DR piani e risorse)</t>
  </si>
  <si>
    <t>Installazione Appliance di DNS Protection</t>
  </si>
  <si>
    <t>Garantire che venga implementata una infrastruttura per la protezione dei DNS (e.g. Cisco Umbrella) all'interno dell'infrastruttura di rete di competenza</t>
  </si>
  <si>
    <t>Nr apparati di rete coperti da Cisco Umbrella / Nr apparati di rete totali in perimetro</t>
  </si>
  <si>
    <t>08.20 Network security; (in parte 08.23 Web filtering)</t>
  </si>
  <si>
    <t>6.7.2(l) (DNS security best practices); 6.7.1–6.7.3</t>
  </si>
  <si>
    <t>PR.IR-01 (protezione rete); DE.CM-01 (se integrata in monitoraggio/filtraggio)</t>
  </si>
  <si>
    <t>M25</t>
  </si>
  <si>
    <t>Integrazione apparati di rete con SIEM</t>
  </si>
  <si>
    <t>Garantire che tutti i log degli apparati di rete in perimetro (es fw, proxy ecc) vengano inviati a una soluzione SIEM (es Qradar, Splunk, ecc) per la loro correlazione e monitoraggio</t>
  </si>
  <si>
    <t>Nr apparati di rete integrati in SIEM/ Nr apparati di rete totali in perimetro</t>
  </si>
  <si>
    <t>08.15 Logging; 08.16 Monitoring activities; 08.17 Clock synchronization (se sincronizzazione inclusa)</t>
  </si>
  <si>
    <t>3.2.1–3.2.4; 3.2.7 (monitoring/logging); 3.2.3(a)(g)(j) (network traffic/security tools/network devices logs)</t>
  </si>
  <si>
    <t>PR.PS-04 (logging); DE.CM-01 (monitoraggio rete); DE.AE-03 (correlazione)</t>
  </si>
  <si>
    <t>M26</t>
  </si>
  <si>
    <t>IPS Protection</t>
  </si>
  <si>
    <t>Garantire che gli ambienti gestiti vengano protetti da una soluzione IPS a protezione del traffico nord-sud e che i relativi log vengano monitorati dal SOC</t>
  </si>
  <si>
    <t>08.20 Network security; 08.16 Monitoring activities; (in parte 08.07 Protection against malware, solo lato prevention network-based)</t>
  </si>
  <si>
    <t>6.7.1–6.7.3 (network security); 3.2.1–3.2.4 (monitoring, se log IPS monitorati)</t>
  </si>
  <si>
    <t>PR.IR-01 (protezione rete); DE.CM-01 (rilevazione eventi su rete); DE.CM-09 (solo parziale/complementare)</t>
  </si>
  <si>
    <t>M27</t>
  </si>
  <si>
    <t>MFA VPN C2S</t>
  </si>
  <si>
    <t>Garantire che venga implementata la MFA per accedere alla VPN C2S</t>
  </si>
  <si>
    <t>08.05 Secure authentication; 05.15 Access control; 08.20 Network security (remote access); (in parte 08.02 se accessi privilegiati)</t>
  </si>
  <si>
    <t>11.7.1–11.7.2 (MFA); 11.6.1–11.6.4 (secure auth); 6.7.2(d) (controls for remote access)</t>
  </si>
  <si>
    <t>PR.AA-05 (MFA commisurata al rischio); PR.AA-03; PR.IR-01 (accessi remoti)</t>
  </si>
  <si>
    <t>M28</t>
  </si>
  <si>
    <t>Network Devices Logging Retention</t>
  </si>
  <si>
    <t>Garantire che i log degli apparati di rete in perimetro (es. firewall, proxy ecc) sono inviati al sistema di correlazione degli eventi monitorati da un SOC e che abbiano una retention di almeno 6 mesi</t>
  </si>
  <si>
    <t>08.15.03 Protection of logs; 08.15.01 Logging</t>
  </si>
  <si>
    <t>3.2.5 (maintain/back up logs for predefined period and protect them); 3.2.3 (review/document logs)</t>
  </si>
  <si>
    <t>PR.PS-04 (conservazione sicura e retention dei log); DE.CM-01 (contesto monitoraggio)</t>
  </si>
  <si>
    <t>M29</t>
  </si>
  <si>
    <t>Schema di rete</t>
  </si>
  <si>
    <t>Garantire che venga prodotto e manutenuto uno schema di rete dei sistemi in perimetro</t>
  </si>
  <si>
    <t>08.20 Network security</t>
  </si>
  <si>
    <t>6.7.2(a) (network architecture documented and up to date)</t>
  </si>
  <si>
    <t>PR.IR-01 (contesto); ID.AM-03 (se include rappresentazione flussi)</t>
  </si>
  <si>
    <t>M30</t>
  </si>
  <si>
    <t>Change Management (Network)</t>
  </si>
  <si>
    <t>Garantire che le change degli apparati di rete vengano implementate con una valutazione dell'impatto sulla sicurezza, con test (per le change critiche) e approvazioni</t>
  </si>
  <si>
    <t>08.32 Change management; 08.09 Configuration management (complementare)</t>
  </si>
  <si>
    <t>6.4.1–6.4.4 (change mgmt); 6.3.3 (review/update configs, se change impatta baseline)</t>
  </si>
  <si>
    <t>PR.PS-01 (pratiche config/change); PR.IR-01 (contesto rete)</t>
  </si>
  <si>
    <t>M31</t>
  </si>
  <si>
    <t>04 Segregazione</t>
  </si>
  <si>
    <t>Accesso controllato per attività di manutenzione</t>
  </si>
  <si>
    <t>Creazione di accessi con soluzioni per il controllo delle connessioni dei tecnici alle zone di rete segregate (es: Bastion Host) i cui log di accesso vengano monitorati dal SOC (e.g. data e ora, user id, source, destination, ecc)</t>
  </si>
  <si>
    <t>08.20 Network security; 08.02 Privileged access rights; 08.05 Secure authentication; 08.15 Logging; 08.16 Monitoring activities; 08.18 Use of privileged utility programs (complementare)</t>
  </si>
  <si>
    <t>6.7.2(d)(e)(h) (remote access / admin systems / supplier access time-bound); 11.3.1–11.3.3 (privileged/admin accounts); 11.4.1–11.4.2 (administration systems); 3.2.1–3.2.4 (logging/monitoring)</t>
  </si>
  <si>
    <t>PR.IR-01 (accessi remoti e rete); PR.AA-05 (privilegi); PR.PS-04 (logging); DE.CM-01 / DE.AE-03 (monitoring/correlation)</t>
  </si>
  <si>
    <t>M32</t>
  </si>
  <si>
    <t>Segregazione Network</t>
  </si>
  <si>
    <t>Garantire la segregazione della rete degli ambienti in oggetto rispetto alle reti di altri ambienti non correlati, nonché del relativo traffico, mediante l’adozione di adeguati accorgimenti logici (ad es. regole firewall dedicate e/o VLAN dedicate) e/o fisici (ad es. connessioni air‑gap).</t>
  </si>
  <si>
    <t>08.22 Segregation of networks; 08.20 Network security</t>
  </si>
  <si>
    <t>6.8.1–6.8.3 (segmentation incl. separation from third parties); 6.7.2(c)(i) (restrict communication / trusted channels)</t>
  </si>
  <si>
    <t>PR.IR-01</t>
  </si>
  <si>
    <t>M33</t>
  </si>
  <si>
    <t>05 Server</t>
  </si>
  <si>
    <t>Censimento Server</t>
  </si>
  <si>
    <t>Garantire che tutti i server in perimetro siano censiti in un apposito asset inventory e che venga assegnata una ownership agli stessi</t>
  </si>
  <si>
    <t>Nr server censiti / Nr server totali in perimetro</t>
  </si>
  <si>
    <t>05.09 Inventory of information and other associated assets; 05.09.02 Inventory – Responsibilities</t>
  </si>
  <si>
    <t>12.4.1–12.4.3 (asset inventory); 12.4.2(b) (NIS/network systems and associated assets)</t>
  </si>
  <si>
    <t>ID.AM-01 (inventario hardware); GV.OC-4 (elenco sistemi rilevanti); ID.AM-02 (se l’inventario include componenti software/servizi)</t>
  </si>
  <si>
    <t>M34</t>
  </si>
  <si>
    <t>Baseline di Configurazione Sicura per Sistemi Informativi Critici</t>
  </si>
  <si>
    <t>Garantire l'adozione di baseline di hardening predefinita per sistemi informativi critici</t>
  </si>
  <si>
    <t>08.09 Configuration management; 08.08 Management of technical vulnerabilities (complementare); 08.20 Network security (se include servizi/protocolli rete)</t>
  </si>
  <si>
    <t>6.3.1–6.3.3 (configuration management); 6.7.1–6.7.3 (se include configurazioni network-facing)</t>
  </si>
  <si>
    <t>PR.PS-01 (baseline/hardening); PR.PS-02 (complementare se collegato a remediation)</t>
  </si>
  <si>
    <t>M35</t>
  </si>
  <si>
    <t>Conduzione VA Server</t>
  </si>
  <si>
    <t>Garantire che vengano eseguite attività periodiche di VA sui server in perimetro, con cadenza annuale, per verificare la corretta implementazione delle misure di sicurezza e individuare eventuali vulnerabilità</t>
  </si>
  <si>
    <t>Nr server analizzati con VA nell'ultimo anno / Nr server totali in perimetro</t>
  </si>
  <si>
    <t>05.35.02 Independent review of information security – Technical review; 08.08 Management of technical vulnerabilities</t>
  </si>
  <si>
    <t>6.5.1–6.5.3 (security testing); 6.10.2(b) (vulnerability scans); 6.10.1</t>
  </si>
  <si>
    <t>ID.RA-01 (VA/PT e relazioni); ID.RA-08 (vulnerability handling)</t>
  </si>
  <si>
    <t>M36</t>
  </si>
  <si>
    <t>Conservazione Password per Attività di Manutenzione Server</t>
  </si>
  <si>
    <t>Garantire che le credenziali di accesso per le attività di manutenzione su server, vengano conservate all’interno del vault di Cyberark aziendale (o Password Manager equivalenti) o altre soluzioni equivalenti del cliente</t>
  </si>
  <si>
    <t>Nr server con con credenziali amministrative protette in Password Manager / Nr totale server</t>
  </si>
  <si>
    <t>11.6.2(b) (secret authentication info management); 11.3.1–11.3.3 (privileged/system admin accounts)</t>
  </si>
  <si>
    <t>Disabilitare $AdminShares nei Server</t>
  </si>
  <si>
    <t>Garantire che venga disabilitato $AdminShares nei server e file server Windows in perimetro</t>
  </si>
  <si>
    <t>Nr sistemi con $AdminShares disabilitato / Nr server in perimetro</t>
  </si>
  <si>
    <t>08.09 Configuration management; 08.03 Information access restriction; 08.20 Network security (se riduce esposizione SMB/admin shares)</t>
  </si>
  <si>
    <t>6.3.1–6.3.3 (secure config); 6.7.2(c)(f) (prevent unneeded communication/services)</t>
  </si>
  <si>
    <t>PR.PS-01 (hardening); PR.IR-01 (complementare, lato esposizione servizi di rete)</t>
  </si>
  <si>
    <t>M37</t>
  </si>
  <si>
    <t>Dismissione EOS</t>
  </si>
  <si>
    <t>Garantire che i server End of Support vengano dismessi o gestiti attraverso soluzioni tecnologiche che ne garantiscano la sicurezza (e.g. Deep Security di Trend Micro)</t>
  </si>
  <si>
    <t>Nr server non in EOS / Nr server totali in perimetro</t>
  </si>
  <si>
    <t>08.08 Management of technical vulnerabilities; 08.09 Configuration management; 07.14 Secure disposal or re-use of equipment (solo se dismissione fisica effettiva); 08.19 Installation of software on operational systems (complementare)</t>
  </si>
  <si>
    <t>6.6.1(d) (additional measures / residual risk if patch not available/not applied); 6.10.3 (mitigation plan or documented reason); 2.1.2(g)(j) (risk treatment / residual risk documentation)</t>
  </si>
  <si>
    <t>PR.PS-02 (software mantenuto/aggiornato o mitigato); ID.RA-08 (gestione vulnerabilità / remediation o accettazione); ID.RA-06 (piano trattamento rischio, se eccezioni EOS formalizzate)</t>
  </si>
  <si>
    <t>M38</t>
  </si>
  <si>
    <t>Distribuzione Aggiornamenti Server</t>
  </si>
  <si>
    <t xml:space="preserve">Garantire che i server in perimetro siano coperti da un sistema centralizzato di gestione e distribuzione degli aggiornamenti </t>
  </si>
  <si>
    <t>Nr server coperti da MEM / Nr server totali in perimetro</t>
  </si>
  <si>
    <t>08.08 Management of technical vulnerabilities; 08.32 Change management (complementare)</t>
  </si>
  <si>
    <t>6.6.1(a)(c) (apply patches, trusted sources/integrity); 6.4.1–6.4.4 (change mgmt, se formalizzato)</t>
  </si>
  <si>
    <t>PR.PS-02 (patching); ID.RA-08 (vulnerability handling)</t>
  </si>
  <si>
    <t>M39</t>
  </si>
  <si>
    <t>Distribuzione DNS Protection per Server</t>
  </si>
  <si>
    <t>Garantire che tutti i server siano configurati per utilzzare la soluzione di DNS Protection (e.g. Cisco Umbrella)</t>
  </si>
  <si>
    <t>Nr server coperti da DNS Protection / Nr server totali in perimetro</t>
  </si>
  <si>
    <t>08.20 Network security; 08.09 Configuration management (configurazione client DNS dei server)</t>
  </si>
  <si>
    <t>6.7.1–6.7.3; 6.3.1–6.3.3 (config management, se formalizzata come baseline/config)</t>
  </si>
  <si>
    <t>PR.IR-01; PR.PS-01 (configurazioni sicure, se censito come baseline)</t>
  </si>
  <si>
    <t>M40</t>
  </si>
  <si>
    <t>EDR Server - cloud</t>
  </si>
  <si>
    <t>Garantire che venga installata una soluzione di EDR/XDR (es TrendMicro, Splunk) su tutti i server in cloud in perimetro</t>
  </si>
  <si>
    <t>Nr server in cloud coperti da EDR / Nr server in cloud totali in perimetro</t>
  </si>
  <si>
    <t>08.07 Protection against malware; 08.16 Monitoring activities; 08.15 Logging (se telemetria/log inviati a SOC/SIEM)</t>
  </si>
  <si>
    <t>6.9.1–6.9.2 (malicious/unauthorised software protection); 3.2.1–3.2.4 (se monitorato)</t>
  </si>
  <si>
    <t>DE.CM-09 (protezione endpoint/antimalware); DE.CM-01 (se integrato in monitoraggio centralizzato)</t>
  </si>
  <si>
    <t>M41</t>
  </si>
  <si>
    <t>EDR Server - on premise</t>
  </si>
  <si>
    <t>Garantire che venga installata una soluzione di EDR/XDR (es TrendMicro, Splunk) su tutti i server on premise in perimetro</t>
  </si>
  <si>
    <t>Nr server on prem coperti da EDR / Nr server on prem totali in perimetro</t>
  </si>
  <si>
    <t>08.07 Protection against malware; 08.16 Monitoring activities; 08.15 Logging</t>
  </si>
  <si>
    <t>6.9.1–6.9.2; 3.2.1–3.2.4 (se monitorato)</t>
  </si>
  <si>
    <t>DE.CM-09; DE.CM-01 (se SOC monitoring)</t>
  </si>
  <si>
    <t>M42</t>
  </si>
  <si>
    <t>Integrazione server con SIEM</t>
  </si>
  <si>
    <t>Garantire che tutti i log dei server in perimetro vengano inviati a una soluzione SIEM (es. Qradar) per la loro correlazione e monitoraggio da parte del servizio SOC</t>
  </si>
  <si>
    <t>Nr server integrati in SIEM / Nr server totali in perimetro</t>
  </si>
  <si>
    <t>08.15 Logging; 08.16 Monitoring activities; 08.17 Clock synchronization (se incluso)</t>
  </si>
  <si>
    <t>3.2.1–3.2.4; 3.2.7; 3.2.3(c)(d)(e)(f)(g)(h) (accessi/auth/admin/config/security tools/system resources)</t>
  </si>
  <si>
    <t>PR.PS-04 (logging); DE.CM-01; DE.CM-03; DE.AE-03</t>
  </si>
  <si>
    <t>M43</t>
  </si>
  <si>
    <t>Log Server Retention</t>
  </si>
  <si>
    <t>Garantire che i log dei server Linux e Windows vengano raccolti dal SOC e conservati per almeno 6 mesi (conformità legge privacy)</t>
  </si>
  <si>
    <t>Nr server compliant / Nr server totale in perimetro</t>
  </si>
  <si>
    <t>3.2.5 (maintain/back up/protect logs for predefined period); 3.2.3</t>
  </si>
  <si>
    <t>PR.PS-04 (conservazione sicura / retention log)</t>
  </si>
  <si>
    <t>M44</t>
  </si>
  <si>
    <t>Monitoraggio Infrastrutturale</t>
  </si>
  <si>
    <t>Implementare strumenti di monitoraggio per l'infrastruttura server (CPU, memoria, traffico di rete, accessi), identificando anomalie (es. carichi sospetti o accessi non autorizzati) e generando alert in tempo reale.</t>
  </si>
  <si>
    <t>Nr server monitorati / Nr server in perimetro</t>
  </si>
  <si>
    <t>08.16 Monitoring activities; 08.15 Logging; 08.06 Capacity management (per CPU/memoria/capacità); 08.20 Network security (se include traffico/accessi)</t>
  </si>
  <si>
    <t>3.2.1–3.2.4 (monitoring/logging/alarm thresholds/response); 3.2.3(h) (system resources/performance); 3.2.3(c)(d) (access/auth events, se inclusi)</t>
  </si>
  <si>
    <t>DE.CM-01 (monitoraggio rete/servizi); DE.CM-03 (attività personale/utilizzo tecnologia); DE.AE-04 (impatto/portata eventi, se analisi); PR.IR-04 (capacità risorse, se monitoraggio capacity è formalizzato)</t>
  </si>
  <si>
    <t>M45</t>
  </si>
  <si>
    <t>Patching Cadence Sistemistico</t>
  </si>
  <si>
    <t>Garantire l'attivazione di un sistema centralizzato di gestione e distribuzione degli aggiornamenti e garantire una corretta tempestività delle patch in funzione della criticità delle vulnerabilità riscontrate (in assenza di vincoli contrattuali più stringenti):
- vulnerabilità Critiche Sfruttate attivamente per gli attacchi (lista CISA) -&gt; Immediatamente
- vulnerabilità Critiche -&gt; entro massimo 5 gg 
- vulnerabilità High -&gt; entro massimo 15 gg
- vulnerabilità  Medium -&gt; entro massimo 30 gg</t>
  </si>
  <si>
    <t>Nr Vulnerabilità Critiche/High sistemistiche Risolte / Nr Vuln. Critiche/High sistemistiche Totali</t>
  </si>
  <si>
    <t>08.08 Management of technical vulnerabilities; 08.32 Change management (complementare); 08.09 Configuration management (complementare)</t>
  </si>
  <si>
    <t>6.6.1–6.6.2 (patch management); 6.10.1–6.10.4 (vulnerability handling); 6.4.1–6.4.4 (change mgmt se patching process)</t>
  </si>
  <si>
    <t>PR.PS-02 (patching tempestivo); ID.RA-08 (vulnerability mgmt plan/remediation); ID.RA-01 (se derivante da VA/scans)</t>
  </si>
  <si>
    <t>M46</t>
  </si>
  <si>
    <t>Change Management (Sistemi)</t>
  </si>
  <si>
    <t>Garantire che le change dei sistemi informativi vengano implementate con una valutazione dell'impatto sulla sicurezza, con test (per le change critiche) e approvazioni</t>
  </si>
  <si>
    <t>6.4.1–6.4.4 (change management)</t>
  </si>
  <si>
    <t>PR.PS-01 (pratiche config/change); PR.PS-02 (complementare se include patching)</t>
  </si>
  <si>
    <t>M47</t>
  </si>
  <si>
    <t>06 Applicazioni</t>
  </si>
  <si>
    <t>Censimento applicazioni e piattaforme</t>
  </si>
  <si>
    <t>Censire le applicazioni web (sia esposte in internet che interne all'intranet) all'interno del catalogo aziendale delle web application esposte in internet o in intranet</t>
  </si>
  <si>
    <t>Nr applicazione web censite in EWAC / Nr applicazioni web totali</t>
  </si>
  <si>
    <t>05.09 Inventory of information and other associated assets</t>
  </si>
  <si>
    <t>12.4.1–12.4.3 (asset inventory); 12.4.2(a)(b) (operations/services + systems/assets)</t>
  </si>
  <si>
    <t>ID.AM-02 (inventario software/servizi/applicazioni); GV.OC-4 (sistemi rilevanti)</t>
  </si>
  <si>
    <t>M48</t>
  </si>
  <si>
    <t>Cifratura dati at rest</t>
  </si>
  <si>
    <t>Sono applicati meccanismi di Encryption at rest sui DB che trattano dati particolari volti a mitigare il rischio di sottrazione dei dispositivi e meccanismi di encryption applicativi</t>
  </si>
  <si>
    <t>08.24.01 Use of cryptography – General; (in parte 05.12 Classification per approccio risk/classification based)</t>
  </si>
  <si>
    <t>9.1; 9.2(a)(b); 9.3</t>
  </si>
  <si>
    <t>PR.DS-01 (data-at-rest); PR.DS-11 (se applicata a backup, ma qui sembra DB/app data)</t>
  </si>
  <si>
    <t>Cifratura dati in transit</t>
  </si>
  <si>
    <t>Sono utilizzati canali di comunicazione sicuri e criptati durante la migrazione di server, servizi, applicazioni o dati in ambienti cloud. Tali canali devono includere solo protocolli aggiornati e approvati</t>
  </si>
  <si>
    <t>08.24.01 Use of cryptography – General; 05.14 Information transfer; 08.20 Network security</t>
  </si>
  <si>
    <t>9.1; 9.2(a)(b); 9.3; 6.7.2(i) (trusted channels)</t>
  </si>
  <si>
    <t>PR.DS-02 (data-in-transit); PR.IR-01 (contesto rete)</t>
  </si>
  <si>
    <t>M49</t>
  </si>
  <si>
    <t>Conduzione PT Applicativo</t>
  </si>
  <si>
    <t>Garantire che venga eseguito, periodicamente a partire dalla messa in produzione, almeno un Penetration Test all’anno sulle applicazioni gestite se queste sono in modalità SaaS o se trattano dati personali o ricadono in campi di applicazione di specifiche norme o regolamenti e che le vulnerabilità riscontrate vengano risolte in funzione della relativa criticità.</t>
  </si>
  <si>
    <t>08.29.01 Security testing in development and acceptance; 05.35.02 Technical review; 08.08 (remediation follow-up, complementare)</t>
  </si>
  <si>
    <t>6.5.1–6.5.3 (security testing); 6.2.2(d) (security testing in SDLC, se integrato); 6.10.2(b) (se include scans)</t>
  </si>
  <si>
    <t>ID.RA-01 (VA/PT e relazioni); ID.RA-08 (remediation vuln); PR.PS-06 (se inserito nel ciclo DevSecOps)</t>
  </si>
  <si>
    <t>M50</t>
  </si>
  <si>
    <t>Separazione Ambienti Sviluppo/Test/Produzione</t>
  </si>
  <si>
    <t>Garantire la separazione degli ambienti di sviluppo e test da quelli di produzione</t>
  </si>
  <si>
    <t>08.31 Separation of development, test and production environments; 08.25 Secure development life cycle</t>
  </si>
  <si>
    <t>6.8.2(h) (separare production da dev/test incl. backup); 6.2.2(c) (security requirements for dev environments)</t>
  </si>
  <si>
    <t>PR.PS-06 (secure software practices); PR.IR-01 (se include separazione rete/canali)</t>
  </si>
  <si>
    <t>M51</t>
  </si>
  <si>
    <t>Requisiti di Sicurezza in Analisi e Design</t>
  </si>
  <si>
    <t>Garantire l'analisi e la documentazione dei requisiti di sicurezza nelle fasi di analisi/progettazione</t>
  </si>
  <si>
    <t>08.26 Application security requirements; 08.27 Secure system architecture and engineering principles; 08.25 Secure development life cycle</t>
  </si>
  <si>
    <t>6.2.2(a) (security requirements at specification/design); 6.2.2(b) (secure engineering principles); 6.1.2(a) (se in acquisizione)</t>
  </si>
  <si>
    <t>PR.PS-06 (sviluppo sicuro); PR.PS-02 (parziale, se requisiti includono patchability/supportability)</t>
  </si>
  <si>
    <t>M52</t>
  </si>
  <si>
    <t>Conduzione SAST in fase di sviluppo</t>
  </si>
  <si>
    <t>Garantire la conduzione di uno Static Application Security Testing (SAST) in fase di sviluppo al fine di identificare eventuali vulnerabilità note all'interno del codice sorgente</t>
  </si>
  <si>
    <t>08.29.01 Security testing in development and acceptance; 08.28 Secure coding; 08.25 Secure development life cycle</t>
  </si>
  <si>
    <t>6.2.2(d) (security testing processes in SDLC); 6.2.2(b) (secure coding principles); 6.5.1–6.5.3 (security testing, se formalizzato come policy/procedure)</t>
  </si>
  <si>
    <t>PR.PS-06 (sviluppo sicuro); ID.RA-01 (se findings trattati come vulnerabilità identificate)</t>
  </si>
  <si>
    <t>M53</t>
  </si>
  <si>
    <t>Security Gates in Release / Go-Live</t>
  </si>
  <si>
    <t>Garantire che vengano applicati criteri minimi di sicurezza prima del go-live (test, remediation, approvazioni)</t>
  </si>
  <si>
    <t>08.29.02 Security testing in development and acceptance – Acceptance; 08.25 SDLC; 08.32 Change management</t>
  </si>
  <si>
    <t>6.2.2(d) (security testing nel ciclo); 6.4.2 (changes tested/assessed before implementation); 6.2.1/6.2.4 (secure development rules lifecycle)</t>
  </si>
  <si>
    <t>PR.PS-06; PR.PS-01 (se gate formalizzato in processo release/change)</t>
  </si>
  <si>
    <t>Sviluppo Esternalizzato Sicuro</t>
  </si>
  <si>
    <t xml:space="preserve">Garantire che i requisiti di sviluppo sicuro siano adottati anche per i moduli software off‑the‑shelf, ossia componenti commerciali di terze parti non sviluppati internamente, e per quelli realizzati tramite sviluppo in outsourcing.
</t>
  </si>
  <si>
    <t>08.30 Outsourced development; 08.25 SDLC; 05.20 Supplier agreements; 05.21 ICT supply chain</t>
  </si>
  <si>
    <t>6.2.3 (outsourced development); 6.1.1–6.1.3 (acquisition security); 5.1.4(g) (subcontracting requirements, se applicabile)</t>
  </si>
  <si>
    <t>PR.PS-06 (sviluppo sicuro); GV.SC-01 / GV.SC-05 / GV.SC-07 (requisiti contrattuali, monitoraggio rischio fornitura)</t>
  </si>
  <si>
    <t>Conduzione VA Applicativo</t>
  </si>
  <si>
    <t>Garantire che vengano eseguite, periodicamente a partire dalla messa in produzione, attività periodiche di VA sugli applicativi in perimetro, con cadenza annuale, per verificare la corretta implementazione delle misure di sicurezza e individuare eventuali vulnerabilità</t>
  </si>
  <si>
    <t>Nr applicazioni analizzati con VA nell'ultimo anno / Nr applicazioni totali in perimetro</t>
  </si>
  <si>
    <t>05.35.02 Technical review; 08.29.01 Security testing; 08.08 (remediation follow-up)</t>
  </si>
  <si>
    <t>ID.RA-01 (VA/PT); ID.RA-08</t>
  </si>
  <si>
    <t>M54</t>
  </si>
  <si>
    <t>Tracciare e gestire vulnerabilità applicative fino a remediation/accettazione</t>
  </si>
  <si>
    <t>Garantire che le vulnerabilità applicative siano tracciate e gestite fino a remediation/accettazione</t>
  </si>
  <si>
    <t>08.08 Management of technical vulnerabilities; 08.29.01 Security testing; 08.25 SDLC</t>
  </si>
  <si>
    <t>6.10.1–6.10.4 (vulnerability handling/disclosure); 6.6.1–6.6.2 (se remediation via patching); 6.10.3 (mitigation/acceptance rationale)</t>
  </si>
  <si>
    <t>ID.RA-08 (vulnerability mgmt/remediation); ID.RA-01 (identificazione vulnerabilità); ID.RA-06 (accettazione rischio / trattamento)</t>
  </si>
  <si>
    <t>Conservazione Password per Attività di Manutenzione Applicativa</t>
  </si>
  <si>
    <t>Garantire che le utenze privilegiate applicative condivise o non di dominio vengano conservate all’interno del vault di Cyberark aziendale (o Password Manager equivalenti) o altre soluzioni equivalenti del cliente</t>
  </si>
  <si>
    <t>Nr applicazioni con con credenziali amministrative protette in Password Manager / Nr totale applicazioni</t>
  </si>
  <si>
    <t>05.17 Authentication information; 08.02 Privileged access rights; 05.15 Access control; 05.16 Identity management (se utenze applicative condivise/non di dominio)</t>
  </si>
  <si>
    <t>11.6.2(b) (secret auth info); 11.3.1–11.3.3 (privileged/admin accounts); 11.5.3 (shared identities, se applicabile)</t>
  </si>
  <si>
    <t>PR.AA-01; PR.AA-05</t>
  </si>
  <si>
    <t>Monitoraggio Applicativo</t>
  </si>
  <si>
    <t>Implementare strumenti di monitoraggio continuo per verificare la disponibilità e la raggiungibilità delle applicazioni, rilevare interruzioni di servizio o degradazioni delle prestazioni (es. tempi di risposta elevati, errori applicativi ricorrenti, indisponibilità di componenti critici) e inviare alert tempestivi al team responsabile per garantire interventi rapidi e minimizzare i tempi di downtime</t>
  </si>
  <si>
    <t>08.16 Monitoring activities; 08.15 Logging; 08.06 Capacity management (se monitoraggio performance/capacità); 08.26 (solo contesto requisiti di sicurezza app)</t>
  </si>
  <si>
    <t>3.2.1–3.2.4; 3.2.7 (monitoring/logging/alarm thresholds/response); 3.2.3(c)(d)(h) (access/auth/system resources/performance)</t>
  </si>
  <si>
    <t>DE.CM-01 (monitoraggio servizi/rete); DE.CM-03 (attività/uso tecnologia); DE.AE-02/04 (analisi impatto/portata eventi); PR.IR-04 (se monitoraggio capacità è formalizzato)</t>
  </si>
  <si>
    <t>M55</t>
  </si>
  <si>
    <t>Patching Cadence Applicativo</t>
  </si>
  <si>
    <t>Garantire una corretta tempestività delle patch in funzione della criticità delle vulnerabilità riscontrate (in assenza di vincoli contrattuali più stringenti):
- vulnerabilità Critiche Sfruttate attivamente per gli attacchi (lista CISA) -&gt; Immediatamente
- vulnerabilità Critiche -&gt; entro massimo 5 gg 
- vulnerabilità High -&gt; entro massimo 15 gg
- vulnerabilità  Medium -&gt; entro massimo 30 gg</t>
  </si>
  <si>
    <t>08.08 Management of technical vulnerabilities; 08.32 Change management; 08.25 SDLC (se parte del ciclo applicativo)</t>
  </si>
  <si>
    <t>6.6.1–6.6.2 (patch management); 6.10.1–6.10.4 (vulnerability handling); 6.4.1–6.4.4 (change)</t>
  </si>
  <si>
    <t>PR.PS-02; ID.RA-08; ID.RA-01 (se alimentato da VA/PT/scans)</t>
  </si>
  <si>
    <t>Change Management (Applicazioni)</t>
  </si>
  <si>
    <t>Garantire che le change applicative vengano implementate con una valutazione dell'impatto sulla sicurezza, con test (per le change critiche) e approvazioni</t>
  </si>
  <si>
    <t>08.32 Change management; 08.25 Secure development life cycle (se change in SDLC applicativo)</t>
  </si>
  <si>
    <t>6.4.1–6.4.4 (change management); (in parte 6.2.1/6.2.4 se integrato nel secure SDLC)</t>
  </si>
  <si>
    <t>PR.PS-01 (config/change practices); PR.PS-06 (sviluppo sicuro, se nel ciclo di rilascio)</t>
  </si>
  <si>
    <t>M56</t>
  </si>
  <si>
    <t>07 Servizi Esposti</t>
  </si>
  <si>
    <t>Anti DDOS</t>
  </si>
  <si>
    <t>Valutare l'implementazione di una soluzione anti DDOS a protezione delle applicazioni esposte in internet</t>
  </si>
  <si>
    <t>08.20 Network security; 08.14 Redundancy of information processing facilities (solo se la soluzione è integrata in architettura resiliente)</t>
  </si>
  <si>
    <t>6.7.1–6.7.3 (network security); 4.2.4–4.2.5 (ridondanza/availability, se incluso nel design di resilienza); 4.1.2(g) (BC/DR resources, se formalizzato)</t>
  </si>
  <si>
    <t>PR.IR-01 (protezione reti); PR.IR-03 (resilienza in condizioni avverse); ID.IM-04 (se integrato in piani BC/DR)</t>
  </si>
  <si>
    <t>M57</t>
  </si>
  <si>
    <t>External Interface Hardening</t>
  </si>
  <si>
    <t>Garantire che per i servizi esposti in internet sia impedito l'uso di protocolli insicuri e porte non standard (es. RDP, etc..), tramite opportuna configurazione degli apparati di rete. Inoltre garantire che sia rimossa la pubblicazione di banner che mostrino la versione delle componenti del software adottato.</t>
  </si>
  <si>
    <t>08.20 Network security; 08.09 Configuration management; 08.21 Security of network services</t>
  </si>
  <si>
    <t>6.7.1–6.7.3; 6.7.2(c)(f) (bloccare connessioni/servizi non necessari); 6.3.1–6.3.3 (configurazioni sicure); 6.7.2(l) (best practice DNS/routing, se pertinente)</t>
  </si>
  <si>
    <t>PR.IR-01; PR.PS-01 (hardening/config baseline)</t>
  </si>
  <si>
    <t>M58</t>
  </si>
  <si>
    <t>MFA di Applicazione Esposte</t>
  </si>
  <si>
    <t xml:space="preserve">Garantire l'implementazione della Multi Factor Authentication (MFA) per le applicazioni esposte in rete
</t>
  </si>
  <si>
    <t>08.05 Secure authentication; 05.15 Access control; 08.26 Application security requirements (se requisito applicativo by design)</t>
  </si>
  <si>
    <t>11.7.1–11.7.2 (MFA); 11.6.1–11.6.4 (secure authentication)</t>
  </si>
  <si>
    <t>PR.AA-05 (MFA risk-based); PR.AA-03</t>
  </si>
  <si>
    <t>M59</t>
  </si>
  <si>
    <t>Monitoraggio delle API Esposte</t>
  </si>
  <si>
    <t>Monitorare l’attività delle API esposte per identificare anomalie e tentativi di abuso.</t>
  </si>
  <si>
    <t>08.16 Monitoring activities; 08.15 Logging; 08.26 Application security requirements; 08.20 Network security</t>
  </si>
  <si>
    <t>3.2.1–3.2.4; 3.2.7 (monitoring/logging/alarm); 3.2.3(c)(d)(g)(h) (access/auth/security tools/performance, se tracciati); 3.4.1–3.4.2 (event assessment, se SOC fa triage)</t>
  </si>
  <si>
    <t>DE.CM-01; DE.CM-03; DE.AE-02/03/04/08; PR.PS-04 (se logging API formalizzato)</t>
  </si>
  <si>
    <t>Validazione Input Applicazioni</t>
  </si>
  <si>
    <t>Implementare una validazione rigorosa dell’input per prevenire attacchi injection (es. SQLi, XSS).</t>
  </si>
  <si>
    <t>08.28 Secure coding; 08.26 Application security requirements; 08.27 Secure architecture and engineering principles</t>
  </si>
  <si>
    <t>6.2.2(b) (secure coding principles); 6.2.2(a) (security requirements in design/spec); 6.2.1</t>
  </si>
  <si>
    <t>PR.PS-06 (sviluppo sicuro)</t>
  </si>
  <si>
    <t>M60</t>
  </si>
  <si>
    <t>WAF per Applicazioni Esposte</t>
  </si>
  <si>
    <t xml:space="preserve">Garantire l'implementazione di un WAF a protezione di applicazioni esposte su internet se trattano dati personali o ricadono in campi di applicazione di specifiche norme o regolamenti
</t>
  </si>
  <si>
    <t>08.20 Network security; 08.23 Web filtering (parziale/analogico); 08.26 Application security requirements (complementare)</t>
  </si>
  <si>
    <t>6.7.1–6.7.3 (network security); 6.7.2(c)(i) (controlli su comunicazioni e canali trusted); 3.2.* (se log WAF monitorati)</t>
  </si>
  <si>
    <t>PR.IR-01 (protezione rete/servizi esposti); DE.CM-01 (se WAF monitorato); PR.PS-06 (solo contesto secure app, non primaria)</t>
  </si>
  <si>
    <t>M61</t>
  </si>
  <si>
    <t>Webserver Logging</t>
  </si>
  <si>
    <t>Garantire che i webServer traccino i log gli accessi, in particolare:
·	sincronizzazione NTP con il master ENG;
. user-ID utilizzato per l’accesso; 
·	indirizzo IP utilizzato dall’utente durante l’accesso; 
·	data ed ora del login al servizio; 
·	data ed ora della terminazione del servizio; 
·	causa della terminazione del servizio; 
·	operazioni effettuate durante l’accesso; 
·	informazioni accedute in lettura dall’utente durante l’accesso; 
·	informazioni inviate dall’utente al server durante l’accesso.</t>
  </si>
  <si>
    <t>Nr Webserver compliant / Nr web server totali in perimetro</t>
  </si>
  <si>
    <t>08.15.01 Logging; 08.15.02 Logging – Administrators and operators; 08.15.03 Protection of logs; 08.17 Clock synchronization; 08.16 Monitoring activities</t>
  </si>
  <si>
    <t>3.2.1–3.2.7 (monitoring/logging); 3.2.3(c)(d)(e)(k) + (eventuali campi custom applicativi); 3.2.6 (clock sync / correlazione log)</t>
  </si>
  <si>
    <t>PR.PS-04 (logging e retention); DE.CM-01; DE.AE-03</t>
  </si>
  <si>
    <t>M62</t>
  </si>
  <si>
    <t>08 Postazioni di Lavoro</t>
  </si>
  <si>
    <t>Data Loss Prevention</t>
  </si>
  <si>
    <t>Garantire l'implementazione di una soluzione di Data Loss Prevention (DLP) al fine di proteggere le informazioni riservate</t>
  </si>
  <si>
    <t>08.12 Data leakage prevention; 05.10 Acceptable use of assets; 05.14 Information transfer (complementare)</t>
  </si>
  <si>
    <t>12.2.1–12.2.3 (handling of assets/information); (indiretto su 3.2 se DLP genera eventi monitorati); 9.x se include enforcement crittografico</t>
  </si>
  <si>
    <t>PR.DS-01 / PR.DS-02 (contesto protezione dati); DE.CM-01 (se DLP monitorato); PR.IR-01 (se blocca esfiltrazione su rete)</t>
  </si>
  <si>
    <t>M63</t>
  </si>
  <si>
    <t>DNS Protection per PdL</t>
  </si>
  <si>
    <t>Garantire l'implementazione di una soluzione di DNS Protection su tutte le postazioni di lavoro</t>
  </si>
  <si>
    <t>08.20 Network security; 08.23 Web filtering (parziale); 08.07 Protection against malware (indiretto/preventivo)</t>
  </si>
  <si>
    <t>6.7.1–6.7.3; 6.7.2(l) (DNS security best practices)</t>
  </si>
  <si>
    <t>PR.IR-01; DE.CM-01 (se monitorata); DE.CM-09 (parziale, prevenzione malware via DNS sinkhole/protection)</t>
  </si>
  <si>
    <t>M64</t>
  </si>
  <si>
    <t>Patching Cadence PdL</t>
  </si>
  <si>
    <t>Garantire che vengano gestite l'implementazione delle patch all'interno delle postazioni di lavoro del cliente gestite e in perimetro con tempistiche relative alla criticità delle vulnerabilità riscontrate</t>
  </si>
  <si>
    <t>6.6.1–6.6.2 (patch management); 6.10.1–6.10.4 (vulnerability handling)</t>
  </si>
  <si>
    <t>PR.PS-02 (patching); ID.RA-08 (vulnerability mgmt)</t>
  </si>
  <si>
    <t>M65</t>
  </si>
  <si>
    <t>PdL Cifratura Disco</t>
  </si>
  <si>
    <t>Garantire che venga implementata la cifratura del disco per le postazioni di lavoro del cliente gestite e in perimetro</t>
  </si>
  <si>
    <t>Nr Postazioni di Lavoro con disco cifrato / Nr totale di Postazioni di lavoro in perimetro</t>
  </si>
  <si>
    <t>08.24.01 Use of cryptography – General; 08.01 User end point devices</t>
  </si>
  <si>
    <t>9.1; 9.2(a)(b); 9.3 (cryptography); (contesto endpoint governance in altre sezioni)</t>
  </si>
  <si>
    <t>PR.DS-01 (data-at-rest su dispositivi portatili/PdL)</t>
  </si>
  <si>
    <t>M66</t>
  </si>
  <si>
    <t>PDL Fornitori Sicure</t>
  </si>
  <si>
    <t>Garantire che le PdL degli addetti esterni siano compliant alle policy aziendali (fornitura VDI Eng, PdL del fornitore in Intune o fornitura muletto Eng)</t>
  </si>
  <si>
    <t>Nr addetti esterni con PdL compliant / Nr addetti esterni</t>
  </si>
  <si>
    <t>08.01 User end point devices; 05.19 Information security in supplier relationships; 05.20 Supplier agreements; 05.21 ICT supply chain; 05.15 Access control</t>
  </si>
  <si>
    <t>5.1.1–5.1.7 (supply chain security policy/monitoring/change); 5.1.4(a)(b)(c)(g) (security requirements in contracts incl. personnel/subcontracting); 6.1.1–6.1.3 (acquisition security, se device/VDI solution)</t>
  </si>
  <si>
    <t>GV.SC-01 / GV.SC-05 / GV.SC-07; GV.SC-02 (ruoli/responsabilità terze parti); PR.AA-05 / PR.AA-01 (se requisiti di accesso/endpoint posture)</t>
  </si>
  <si>
    <t>M67</t>
  </si>
  <si>
    <t>PdL Local Administrators Removal</t>
  </si>
  <si>
    <t>Garantire che vengano rimossi i privilegi di amministratore locale all'interno dei client in perimetro o gestirli attraverso tool simil Laps</t>
  </si>
  <si>
    <t>Nr Client senza privilegi di amministratori locali / Nr client totali in perimetro</t>
  </si>
  <si>
    <t>08.02 Privileged access rights; 05.18 Access rights; 08.01 User end point devices</t>
  </si>
  <si>
    <t>11.3.1–11.3.3 (privileged/system admin); 11.2.2(a) (least privilege); 11.2.3 (review, se formalizzato)</t>
  </si>
  <si>
    <t>PR.AA-05 (least privilege); PR.AA-01 (utenze/permessi, complementare)</t>
  </si>
  <si>
    <t>M68</t>
  </si>
  <si>
    <t>PdL XDR</t>
  </si>
  <si>
    <t>Garantire che venga attivata la soluzione di XDR (con relativo monitoraggio del SOC) per i client in perimetro</t>
  </si>
  <si>
    <t>Nr Client coperti da XDR / Nr Client totali in perimetro</t>
  </si>
  <si>
    <t>6.9.1–6.9.2; 3.2.1–3.2.4 (se monitorato dal SOC)</t>
  </si>
  <si>
    <t>DE.CM-09; DE.CM-01</t>
  </si>
  <si>
    <t>M69</t>
  </si>
  <si>
    <t>Gestione Supporti Rimovibili per il Perimetro del Servizio</t>
  </si>
  <si>
    <t>Garantire che vengano applicati controlli su USB/SD (blocco auto-run, scansione, cifratura, tracciabilità)</t>
  </si>
  <si>
    <t>Nr Client con controlli su supporti rimovibili / Nr Client totali in perimetro</t>
  </si>
  <si>
    <t>07.10.01 Storage media – Removable storage media; 08.01 User end point devices; 08.24.01 (se include cifratura)</t>
  </si>
  <si>
    <t>12.3.1–12.3.3 (removable media policy); 12.3.2(a)(b)(c)(d) (block autorun, scan malware, protect transit/storage, encryption)</t>
  </si>
  <si>
    <t>PR.DS-01 (dati a riposo su supporti); DE.CM-09 (scansione malware, endpoint protection); PR.PS-04 (se tracciabilità/logging formalizzata)</t>
  </si>
  <si>
    <t>M70</t>
  </si>
  <si>
    <t>Verifica Postura di Sicurezza dei Client che Accedono al Servizio</t>
  </si>
  <si>
    <t>Garantire che vengano verificati i requisiti minimi di sicurezza dei client (EDR, patching, cifratura, compliance)</t>
  </si>
  <si>
    <t>08.01 User end point devices; 08.07 Protection against malware; 08.08 Management of technical vulnerabilities; 08.24.01 (se cifratura richiesta); 05.15 Access control</t>
  </si>
  <si>
    <t>6.9.1–6.9.2 (EDR/antimalware); 6.6.1–6.6.2 + 6.10.* (patch/vuln); 11.1–11.2 (access control, se posture condiziona accesso); 11.6–11.7 (se requisiti auth/MFA)</t>
  </si>
  <si>
    <t>DE.CM-09 (endpoint protection); PR.PS-02 (patching); PR.DS-01 (cifratura PdL); PR.AA-05 / PR.AA-03 (accesso condizionato/autenticazione)</t>
  </si>
  <si>
    <t>M71</t>
  </si>
  <si>
    <t>Postazioni di lavoro di risorse interne extra UE</t>
  </si>
  <si>
    <t>Garantire la fornitura alle risorse interne che operano al di fuori del territorio dell'Unione Europea delle soluzioni di Virtual Desktop Infrastructure (VDI) gestite centralmente</t>
  </si>
  <si>
    <t>08.01 User end point devices; 06.07 Remote working; 08.20 Network security; 05.15 Access control</t>
  </si>
  <si>
    <t>6.7.2(d) (remote access controls); 11.6/11.7 (se VDI protetta con auth/MFA); 6.7.2(i) (trusted channels)</t>
  </si>
  <si>
    <t>PR.IR-01 (accessi remoti protetti); PR.AA-05 (autenticazione risk-based/MFA se applicata); PR.AA-03</t>
  </si>
  <si>
    <t>M72</t>
  </si>
  <si>
    <t>09 Backup</t>
  </si>
  <si>
    <t>Backup Centralizzato</t>
  </si>
  <si>
    <t>Garantire che il backup dei server in perimetro venga eseguito attraverso una soluzione centralizzata (es. Commvault)</t>
  </si>
  <si>
    <t>Nr server backuppati centralmente / nr server totali in perimetro</t>
  </si>
  <si>
    <t>08.13 Information backup; 08.02 Privileged access rights (per admin backup platform); 08.05 Secure authentication (MFA accessi admin)</t>
  </si>
  <si>
    <t>4.2.1–4.2.3 (backup and redundancy management); 4.2.2 (backup plans incl. storage/access/restore/retention); 11.3 (privileged accounts, per accessi admin piattaforma); 11.7 (MFA, se applicata)</t>
  </si>
  <si>
    <t>PR.DS-11 (backup creati/protetti/mantenuti); PR.AA-05 (MFA/privilegi, se formalizzato); PR.AA-03</t>
  </si>
  <si>
    <t>M73</t>
  </si>
  <si>
    <t>Cifratura Backup</t>
  </si>
  <si>
    <t>Garantire che le copie di backup vengano cifrate</t>
  </si>
  <si>
    <t>08.13 Information backup; 08.24.01 Use of cryptography – General</t>
  </si>
  <si>
    <t>4.2.2(d) (appropriate logical access controls to backups in line with classification); 9.1; 9.2(a)(b); 9.3 (cryptography)</t>
  </si>
  <si>
    <t>PR.DS-11 (protezione backup); PR.DS-01 (data-at-rest, in senso complementare)</t>
  </si>
  <si>
    <t>Copia Immutabile Backup</t>
  </si>
  <si>
    <t>Garantire che venga attivata la feature di copia immutabile per i backup dei server critici</t>
  </si>
  <si>
    <t>Nr server critici coperti da copia immutabile dei backup / Nr server critici in perimetro</t>
  </si>
  <si>
    <t>08.13 Information backup; 08.14 Redundancy of information processing facilities (complementare per resilienza)</t>
  </si>
  <si>
    <t>4.2.2(c) (safe location / not same network); 4.2.1 (backup/redundancy); 4.2.6 (recoverability assurance via test)</t>
  </si>
  <si>
    <t>PR.DS-11; PR.IR-03 (resilienza in condizioni avverse, complementare)</t>
  </si>
  <si>
    <t>Segregazione Backup</t>
  </si>
  <si>
    <t>Garantire che i backup vengano conservati in un ambiente che sia segregato logicamente (es. vlan segregate) e fisicamente (es macchine separate e indipendenti)dall'ambiente di produzione</t>
  </si>
  <si>
    <t>08.13 Information backup; 08.22 Segregation of networks; 08.20 Network security</t>
  </si>
  <si>
    <t>4.2.2(c) (backup in location/network separata); 4.2.2(d) (access controls); 6.8.1–6.8.3 (segmentation, se segregazione logica esplicita)</t>
  </si>
  <si>
    <t>PR.DS-11; PR.IR-01 (segmentazione rete, complementare)</t>
  </si>
  <si>
    <t>M74</t>
  </si>
  <si>
    <t>Verifica Integrità delle Copie di Backup</t>
  </si>
  <si>
    <t>Garantire l'esecuzione di verifiche periodiche di integrità delle copie di backup (es. verifica consistenza dell'hash delle copie di backup)</t>
  </si>
  <si>
    <t>08.13 Information backup</t>
  </si>
  <si>
    <t>4.2.3 (regular integrity checks on backup copies)</t>
  </si>
  <si>
    <t>PR.DS-11</t>
  </si>
  <si>
    <t>M75</t>
  </si>
  <si>
    <t>Test dei Recovery di Backup</t>
  </si>
  <si>
    <t xml:space="preserve">Garantire che il ripristino dei backup venga testato regolarmente (almeno una volta all'anno) </t>
  </si>
  <si>
    <t>08.13 Information backup; 05.30 ICT readiness for business continuity (complementare)</t>
  </si>
  <si>
    <t>4.2.6 (regular testing of recovery of backups and redundancies + documented results + corrective action); 4.1.4 (test/review/update plans, se incluso in BC/DR)</t>
  </si>
  <si>
    <t>PR.DS-11 (test restore/utilizzabilità backup); ID.IM-04 (contesto BC/DR)</t>
  </si>
  <si>
    <t>M76</t>
  </si>
  <si>
    <t>Evidenze e Azioni Correttive da Test Restore</t>
  </si>
  <si>
    <t>Garantire che gli esiti dei test di restore e e le relative azioni correttive siano documentate</t>
  </si>
  <si>
    <t>08.13 Information backup; 10.2 Nonconformity and corrective action (clausola ISMS, complementare); 05.30 ICT readiness for BC (contesto)</t>
  </si>
  <si>
    <t>4.2.6 (document results of tests and take corrective action); 4.1.4 (lessons learned from tests, se integrato nei piani)</t>
  </si>
  <si>
    <t>PR.DS-11; ID.IM-01 / ID.IM-02 (miglioramenti da valutazioni/test, se processato formalmente)</t>
  </si>
  <si>
    <t>M77</t>
  </si>
  <si>
    <t>Protezione Accessi alla Piattaforma Backup</t>
  </si>
  <si>
    <t>Garantire che gli accessi alla console di backup avvenga tramite un accesso con multi fattore per l'autenticazione (MFA)</t>
  </si>
  <si>
    <t>08.02 Privileged access rights; 05.15 Access control; 05.18 Access rights; 08.05 Secure authentication</t>
  </si>
  <si>
    <t>11.3.1–11.3.3 (privileged/system admin accounts); 11.1–11.2 (access control &amp; access rights); 11.6–11.7 (secure auth/MFA se presente)</t>
  </si>
  <si>
    <t>M78</t>
  </si>
  <si>
    <t>10 Formazione</t>
  </si>
  <si>
    <t>Formazione del Personale su Sicurezza Fisica</t>
  </si>
  <si>
    <t>Garantire che il personale sia addestrato su sicurezza fisica e procedure di emergenza</t>
  </si>
  <si>
    <t>06.03 Information security awareness, education and training; 07.05 Protecting against physical and environmental threats (contesto); 07.02 Physical entry (contesto procedure)</t>
  </si>
  <si>
    <t>8.1.1–8.1.3 (awareness); 8.2.1–8.2.5 (training, se ruoli specifici); 13.2.1–13.2.3 / 13.3.1–13.3.3 (contesto fisico)</t>
  </si>
  <si>
    <t>PR.AT-01 (formazione generale); PR.AT-02 (se ruoli specialistici, es. facility/security)</t>
  </si>
  <si>
    <t>Formazione Sicurezza delle Informazioni</t>
  </si>
  <si>
    <t>Attraverso opportuna reportistica fornita dalla Scuola ICT, verificare il livello di partecipazione ai corsi sulla sicurezza delle informazioni per il personale coinvolto nel Servizio in oggetto. In caso di scopertura, sensibilizzare il personale perché partecipi ai corsi (es. WBT_SGQENG Modulo Sistema di Gestione Sicurezza Informazioni, corso INFOSEC, etc.)</t>
  </si>
  <si>
    <t>06.03 Information security awareness, education and training</t>
  </si>
  <si>
    <t>8.1.1–8.1.3 (awareness programme); 8.2.1–8.2.5 (training, se ruoli specialistici); 10.1.1–10.1.3 (understand/commit security responsibilities)</t>
  </si>
  <si>
    <t>PR.AT-01; PR.AT-02 (se formazione specialistica)</t>
  </si>
  <si>
    <t>M79</t>
  </si>
  <si>
    <t>Formazione Sviluppo Sicuro</t>
  </si>
  <si>
    <t>Iscrivere le risorse del team di sviluppo a corsi sullo sviluppo sicuro del codice.</t>
  </si>
  <si>
    <t>06.03; 08.28 Secure coding; 08.25 Secure development life cycle</t>
  </si>
  <si>
    <t>8.2.1–8.2.5 (training su skill set security-relevant); 6.2.2(b) (secure coding principles)</t>
  </si>
  <si>
    <t>PR.AT-02 (ruoli specialistici); PR.PS-06 (sviluppo sicuro)</t>
  </si>
  <si>
    <t>11 Continuità Operativa</t>
  </si>
  <si>
    <t>Formazione Business Continuity</t>
  </si>
  <si>
    <t>Verificare la presenza di corsi di formazione specifici erogati al personale coinvolto nella gestione della continuità operativa</t>
  </si>
  <si>
    <t>06.03 Information security awareness, education and training; (in parte 05.30 ICT readiness for business continuity)</t>
  </si>
  <si>
    <t>8.1 / 8.2 (awareness/training); 4.1 / 4.3 (solo come contesto BC/crisis, non formazione specifica)</t>
  </si>
  <si>
    <t>PR.AT-01 (formazione generale); PR.AT-02 (ruoli specializzati, se personale BC/DR/Crisis) ; ID.IM-04 (contesto BC/DR)</t>
  </si>
  <si>
    <t>Verificare che sia effettuato l'aggiornamento annuale della Business Impact Analysis</t>
  </si>
  <si>
    <t>05.29.01 Information security during disruption – BIA; 05.30 ICT readiness for business continuity (contesto)</t>
  </si>
  <si>
    <t>4.1.3 (carry out BIA and establish continuity requirements)</t>
  </si>
  <si>
    <t>ID.IM-04 (piani BC/DR basati su esigenze di continuità/ripristino); GV.RM-03 / ID.RA-05 (contesto risk-based)</t>
  </si>
  <si>
    <t>M80</t>
  </si>
  <si>
    <t>Clausole Contrattuali Terze Parti BC</t>
  </si>
  <si>
    <t>Verificare la formalizzazione di opportune clausole in materia di continuità operativa nei contratti di collaborazione</t>
  </si>
  <si>
    <t>05.20 Addressing information security within supplier agreements; 05.19 Supplier relationships; 05.21 ICT supply chain</t>
  </si>
  <si>
    <t>5.1.4 (contractual security requirements incl. incidents, continuity-related aspects, termination); 5.1.2 (criteria for selection/contracting)</t>
  </si>
  <si>
    <t>GV.SC-05 (requisiti sicurezza in contratti/bandi/accordi); GV.SC-01 (requisiti di sicurezza sulla fornitura); GV.SC-07 (coerenza con rischio fornitura)</t>
  </si>
  <si>
    <t>M81</t>
  </si>
  <si>
    <t>Fornitori Critici</t>
  </si>
  <si>
    <t>Verificare che siano stati identificati i fornitori "critici"</t>
  </si>
  <si>
    <t>Nr Fornitori critici</t>
  </si>
  <si>
    <t>05.19 Information security in supplier relationships; 05.21 ICT supply chain; 05.22 Monitoring/review supplier services</t>
  </si>
  <si>
    <t>5.1.1–5.1.7 (supply chain security policy &amp; monitoring); 5.2 (directory suppliers/providers)</t>
  </si>
  <si>
    <t>GV.SC-04 (inventario/prioritizzazione fornitori); GV.SC-07 (rischio fornitura); ID.AM-04 (servizi erogati da fornitori)</t>
  </si>
  <si>
    <t>M82</t>
  </si>
  <si>
    <t>Indisponibilità Documentazione Essenziale</t>
  </si>
  <si>
    <t>Verificare la presenza di una soluzione efficace per lo scenario Indisponibilità della documentazione essenziale</t>
  </si>
  <si>
    <t>05.29.02; 05.30 ICT readiness for BC; 05.37 Documented operating procedures</t>
  </si>
  <si>
    <t>4.1.2(c)(g)(h) (contacts/resources/restore &amp; resume from temporary measures); 4.1.1–4.1.4</t>
  </si>
  <si>
    <t>ID.IM-04; PR.IR-03 (resilienza operativa, contesto)</t>
  </si>
  <si>
    <t>M88</t>
  </si>
  <si>
    <t>Indisponibilità Fornitori Critici</t>
  </si>
  <si>
    <t>Verificare la presenza di una soluzione efficace per lo scenario Indisponibilità dei fornitori critici</t>
  </si>
  <si>
    <t>05.19 / 05.21 / 05.22 (supplier security + monitoring); 05.29 / 05.30 (continuity during disruption)</t>
  </si>
  <si>
    <t>5.1.6–5.1.7 (monitor/evaluate supplier changes/incidents); 4.1.2(g)(h) (resources and temporary measures); 4.3.2(a) (supplier roles in crisis, where appropriate)</t>
  </si>
  <si>
    <t>GV.SC-07; GV.SC-09; ID.IM-04; PR.IR-03</t>
  </si>
  <si>
    <t>Indisponibilità Locali di Lavoro</t>
  </si>
  <si>
    <t>Verificare la presenza di una soluzione efficace per lo scenario Indisponibilità dei locali di lavoro</t>
  </si>
  <si>
    <t>05.29.02 / 05.30; 07.03 Securing offices, rooms and facilities; 07.05 Physical and environmental threats (contesto)</t>
  </si>
  <si>
    <t>4.1.2 (BC/DR plans/resources); 13.2.1–13.2.3 (physical/environmental threats, contesto causa); 13.3 (physical access/perimeter, contesto sede)</t>
  </si>
  <si>
    <t>ID.IM-04; PR.IR-03; PR.IR-02 (se legato a minacce ambientali)</t>
  </si>
  <si>
    <t>Indisponibilità Personale Essenziale</t>
  </si>
  <si>
    <t>Verificare la presenza di una soluzione efficace per lo scenario Indisponibilità del personale essenziale</t>
  </si>
  <si>
    <t>05.29.02 / 05.30; 06.03 (training/competenze, contesto risorse alternative)</t>
  </si>
  <si>
    <t>4.2.4(c) (availability/redundancy of personnel with competence); 4.1.2(g) (required resources incl. staff); 4.3.2(a) (roles in crisis)</t>
  </si>
  <si>
    <t>ID.IM-04; PR.IR-03</t>
  </si>
  <si>
    <t>M89</t>
  </si>
  <si>
    <t>Indisponibilità Sistemi IT Critici</t>
  </si>
  <si>
    <t>Verificare la presenza di una soluzione efficace per lo scenario Indisponibilità dei sistemi IT. Esempio: Sono implementati meccanismi (es. failsafe, load balancing, hot swap) che permettono di soddisfare requisiti di resilienza sia durante il normale esercizio che in situazioni avverse</t>
  </si>
  <si>
    <t>08.14 Redundancy of information processing facilities; 05.29.02 / 05.30; 08.06 Capacity management (complementare)</t>
  </si>
  <si>
    <t>4.2.4(a)(b)(d) (redundancy systems/assets/communication); 4.2.5 (monitoring/adjustment resources); 4.1.2(e)(f)(g) (order of recovery / recovery plans / resources)</t>
  </si>
  <si>
    <t>PR.IR-03 (resilienza); ID.IM-04 (BC/DR piani); PR.IR-04 (capacity, se formalizzato)</t>
  </si>
  <si>
    <t>M90</t>
  </si>
  <si>
    <t>Verificare la presenza di una soluzione efficace per lo scenario Indisponibilità delle postazioni di lavoro (es. allocazione muletti di emergenza)</t>
  </si>
  <si>
    <t>05.29.02 / 05.30; 08.01 User end point devices (contesto)</t>
  </si>
  <si>
    <t>4.1.2(g)(h) (resources + temporary measures); 4.2.4(b)(c) (assets/personnel resources redundancy)</t>
  </si>
  <si>
    <t>M91</t>
  </si>
  <si>
    <t>Indisponibilità delle Infrastrutture Critiche</t>
  </si>
  <si>
    <t>Verificare la presenza di una soluzione efficace per lo scenario Indisponibilità delle infrastrutture critiche (es. ridondanza infrastrutturale, Alta Affidabulità, gruppi di continuità, ecc)</t>
  </si>
  <si>
    <t>05.29.02 / 05.30; 08.14 Redundancy; 07.11 Supporting utilities</t>
  </si>
  <si>
    <t>4.2.4(a)(b)(d); 4.2.5; 13.1.1–13.1.3 (supporting utilities); 4.1.2(g)</t>
  </si>
  <si>
    <t>ID.IM-04; PR.IR-03; PR.IR-02 (se minacce ambientali/utilities)</t>
  </si>
  <si>
    <t>M92</t>
  </si>
  <si>
    <t>Verifica Risorse Minime per Continuità del Servizio</t>
  </si>
  <si>
    <t>Verificare disponibilità minima di risorse (persone, sistemi, canali, documentazione, sedi alternative)</t>
  </si>
  <si>
    <t>05.29.02 / 05.30; 08.14 Redundancy; 08.06 Capacity management (complementare)</t>
  </si>
  <si>
    <t>4.1.2(g) (required resources incl. backups/redundancies); 4.2.4(a)(b)(c)(d) (systems/assets/personnel/channels redundancy); 4.2.5</t>
  </si>
  <si>
    <t>ID.IM-04; PR.IR-03; PR.IR-04 (capacity/resources)</t>
  </si>
  <si>
    <t>M93</t>
  </si>
  <si>
    <t>Monitoraggio Fornitori Critici</t>
  </si>
  <si>
    <t>Verificare la presenza di attività di monitoraggio per garantire il rispetto delle misure da attuare in caso di crisi nelle quali sono coinvolte terze parti o outsourcer</t>
  </si>
  <si>
    <t>05.22.01 Monitoring, review and change management of supplier services – Monitoring and review; 05.19 / 05.21</t>
  </si>
  <si>
    <t>5.1.6–5.1.7 (monitor/evaluate supplier cybersecurity changes/incidents; review SLA reports)</t>
  </si>
  <si>
    <t>GV.SC-07 (valutazione/monitoraggio rischio fornitura); GV.SC-09 (monitorare prestazioni supply chain)</t>
  </si>
  <si>
    <t>M94</t>
  </si>
  <si>
    <t>Procedura di Recovery</t>
  </si>
  <si>
    <t>Verificare l'aggiornamento della documentazione relativa al ripristino dei processi, dei servizi e dei sistemi presente sul repository utilizzato per la loro conservazione e consultazione</t>
  </si>
  <si>
    <t>05.29.02 Information security during disruption – Implementation; 05.30 ICT readiness for business continuity; 08.13 (se include recovery backup)</t>
  </si>
  <si>
    <t>4.1.1–4.1.2 (BC/DR plan + order/procedure/resources/activation); 4.3.1–4.3.2 (se include crisis process/communication); 4.1.4 (review/update)</t>
  </si>
  <si>
    <t>ID.IM-04 (piano BC/DR/crisi); RC.RP-01 (procedure di ripristino incidenti, se collegate a IR)</t>
  </si>
  <si>
    <t>Risk Assessment</t>
  </si>
  <si>
    <t>Verificare che sia definita, documentata ed aggiornata una metodologia per l'identificazione e la valutazione del rischio e le relative procedure operative</t>
  </si>
  <si>
    <t>6.1.2 Information security risk assessment; 8.2 Information security risk assessment; 05.29/05.30 (contesto continuità)</t>
  </si>
  <si>
    <t>2.1.1–2.1.4 (risk management framework/RA/risk treatment review); 4.1.2 (BC/DR plan based on risk assessment)</t>
  </si>
  <si>
    <t>GV.RM-03; ID.RA-05; ID.RA-06 (se include trattamento); GV.OV-02 (review)</t>
  </si>
  <si>
    <t>Test di BC</t>
  </si>
  <si>
    <t>Verificare che sia definito ed attivato un piano di test per le soluzioni tecnologiche e organizzative di Continuità Operativa e Disaster Recovery, sulla base del livello di rilevanza e criticità dei processi e/o dei servizi erogati, che includa le attività di analisi degli esiti dei test</t>
  </si>
  <si>
    <t>05.29.03 Information security during disruption – Test; 05.30 ICT readiness for business continuity</t>
  </si>
  <si>
    <t>4.1.4 (plans tested/reviewed/updated; lessons learned); 4.3.4 (crisis management plan test/review/update, se incluso)</t>
  </si>
  <si>
    <t>ID.IM-04 (piani BC/DR testati e aggiornati); ID.IM-02 (miglioramenti da test/esercitazioni)</t>
  </si>
  <si>
    <t>Evidenze e Lesson Learned dei Test BC/DR del Servizio</t>
  </si>
  <si>
    <t>Garantire la manutenzione di evidenze, esiti, lesson learned e piani di adeguamento dei test</t>
  </si>
  <si>
    <t>05.29.03 Test; 10.1 Continual improvement; 10.2 Nonconformity and corrective action (clausole ISMS, complementare)</t>
  </si>
  <si>
    <t>4.1.4 (plans incorporate lessons learnt from tests); 4.3.4 (crisis plan review/update, se incluso)</t>
  </si>
  <si>
    <t>ID.IM-02 (miglioramenti da test/esercitazioni); ID.IM-01 (piani di adeguamento/miglioramento, se formalizzati)</t>
  </si>
  <si>
    <t>M95</t>
  </si>
  <si>
    <t>12 Controllo Accessi Fisici</t>
  </si>
  <si>
    <t>Accesso ai visitatori</t>
  </si>
  <si>
    <t>Garantire la manutenzione di un registro per i visitatori con rilascio di badge temporaneo</t>
  </si>
  <si>
    <t>07.02.01 Physical entry – General</t>
  </si>
  <si>
    <t>13.3.2(b) (entry controls and access points); 13.3.1</t>
  </si>
  <si>
    <t>PR.AA-06</t>
  </si>
  <si>
    <t>M97</t>
  </si>
  <si>
    <t>Autenticazione e badge</t>
  </si>
  <si>
    <t>Garantire che tutti i dipendenti abbiano un badge personale per l’accesso</t>
  </si>
  <si>
    <t>M98</t>
  </si>
  <si>
    <t>Controllo biometrico</t>
  </si>
  <si>
    <t>Garantire l'implementazione di sistemi biometrici nelle aree critiche (es. data center, archivi sensibili)</t>
  </si>
  <si>
    <t>07.02.01 Physical entry – General (mezzo di autenticazione fisica); 07.03 (se su aree critiche)</t>
  </si>
  <si>
    <t>13.3.2(b); 13.3.1</t>
  </si>
  <si>
    <t>M99</t>
  </si>
  <si>
    <t>Protezione perimetrale</t>
  </si>
  <si>
    <t>Garantire la presenza di recinzioni, barriere, tornelli o altri sistemi per impedire accessi non autorizzati</t>
  </si>
  <si>
    <t>07.01 Physical security perimeters</t>
  </si>
  <si>
    <t>13.3.2(a) (security perimeters); 13.3.1</t>
  </si>
  <si>
    <t>Sorveglianza e CCTV</t>
  </si>
  <si>
    <t>Garantire che le aree critiche siano coperte da telecamere di sicurezza con registrazione</t>
  </si>
  <si>
    <t>07.04 Physical security monitoring</t>
  </si>
  <si>
    <t>13.3.2(d) (continuous monitoring of premises)</t>
  </si>
  <si>
    <t>DE.CM-02 (monitoraggio ambiente fisico); PR.AA-06 (complementare)</t>
  </si>
  <si>
    <t>M100</t>
  </si>
  <si>
    <t>13 Protezione degli Asset Fisici Critici</t>
  </si>
  <si>
    <t>Protezione archivi cartacei</t>
  </si>
  <si>
    <t>Garantire che i documenti sensibili siano conservati in armadi blindati o stanze sicure</t>
  </si>
  <si>
    <t>07.03 Securing offices, rooms and facilities; 07.08 Equipment siting and protection (solo indirettamente); 07.07 Clear desk/screen (complementare)</t>
  </si>
  <si>
    <t>13.3.2(c) (design/physical security for offices, rooms, facilities)</t>
  </si>
  <si>
    <t>PR.AA-06 (fisico); (in parte PR.DS-* se visto come protezione dati su supporti fisici)</t>
  </si>
  <si>
    <t>M101</t>
  </si>
  <si>
    <t>Protezione fisica dei dispositivi IT</t>
  </si>
  <si>
    <t>Garantire che i dispositivi critici siano protetti contro furti o sabotaggi</t>
  </si>
  <si>
    <t>07.08 Equipment siting and protection; 07.09 Security of assets off-premises (se applicabile)</t>
  </si>
  <si>
    <t>13.3 (physical access/perimeter); 13.2 (se include protezione da minacce ambientali)</t>
  </si>
  <si>
    <t>PR.AA-06; PR.IR-02 (se include minacce ambientali)</t>
  </si>
  <si>
    <t>M102</t>
  </si>
  <si>
    <t>Sicurezza Data Center</t>
  </si>
  <si>
    <t>Garantire che la server room/data center sia protetto da accesso non autorizzato</t>
  </si>
  <si>
    <t>07.03 Securing offices, rooms and facilities; 07.01 Physical security perimeters; 07.02 Physical entry; 07.04 Physical monitoring; 07.08 Equipment siting and protection</t>
  </si>
  <si>
    <t>13.3.1; 13.3.2(a)(b)(c)(d); 13.3.3</t>
  </si>
  <si>
    <t>PR.AA-06; DE.CM-02</t>
  </si>
  <si>
    <t>M103</t>
  </si>
  <si>
    <t>Sicurezza degli Endpoint</t>
  </si>
  <si>
    <t xml:space="preserve"> Garantire che sia adottata una soluzione di Mobile Device Management (MDM) per la gestione centralizzata e il controllo della sicurezza di tutti i dispositivi mobili aziendali e personali utilizzati per accedere a sistemi e dati del servizio (BYOD inclusi).</t>
  </si>
  <si>
    <t xml:space="preserve">A.8.1 (User Endpoint Devices) </t>
  </si>
  <si>
    <t>8;9;10</t>
  </si>
  <si>
    <t>PR.AA-1; PR.PS-1</t>
  </si>
  <si>
    <t>M104</t>
  </si>
  <si>
    <t>14 Sicurezza Antincendio</t>
  </si>
  <si>
    <t>Estintori</t>
  </si>
  <si>
    <t>Garantire che gli estintori sano presenti, funzionanti e con manutenzione aggiornata</t>
  </si>
  <si>
    <t>07.05 Protecting against physical and environmental threats</t>
  </si>
  <si>
    <t>13.2.1; 13.2.2(a); 13.2.3</t>
  </si>
  <si>
    <t>PR.IR-02 (protezione da minacce ambientali)</t>
  </si>
  <si>
    <t>M105</t>
  </si>
  <si>
    <t>Rilevatori di fumo e gas</t>
  </si>
  <si>
    <t>Garantire l'installazione di rilevatori di fumo e gas in tutte le aree sensibili</t>
  </si>
  <si>
    <t>13.2.2(b)(c) (threshold/monitoring ambientale); 13.2.1</t>
  </si>
  <si>
    <t>PR.IR-02</t>
  </si>
  <si>
    <t>M106</t>
  </si>
  <si>
    <t>Sistemi di spegnimento automatico</t>
  </si>
  <si>
    <t>Garantire la presenza di sistemi sprinkler o sistemi a gas in aree critiche</t>
  </si>
  <si>
    <t>M107</t>
  </si>
  <si>
    <t>Test ed esercitazioni</t>
  </si>
  <si>
    <t>Garantire che vengano effettuati test periodici su procedure di evacuazione e antincendio</t>
  </si>
  <si>
    <t>07.05 Protecting against physical and environmental threats (review/test); (in parte 05.30 / 05.29 se inserite in BC drills)</t>
  </si>
  <si>
    <t>13.2.3 (test/review/update misure); (eventualmente 4.3.4 se nell’ambito crisis/BC test)</t>
  </si>
  <si>
    <t>PR.IR-02; (in parte ID.IM-04 se integrato in test di continuità/crisi)</t>
  </si>
  <si>
    <t>Vie di fuga</t>
  </si>
  <si>
    <t>Garantire che le vie di fuga siano segnalate, accessibili e prive di ostacoli</t>
  </si>
  <si>
    <t>07.05 Protecting against physical and environmental threats; 07.03 (configurazione locali)</t>
  </si>
  <si>
    <t>13.2.1; 13.2.2(a)</t>
  </si>
  <si>
    <t>M108</t>
  </si>
  <si>
    <t>15 Infrastrutture Critiche</t>
  </si>
  <si>
    <t>Continuità elettrica (UPS e Gruppi Elettrogeni)</t>
  </si>
  <si>
    <t>Garantire l'installazione di UPS e gruppi elettrogeni per assicurare la continuità operativa in caso di blackout</t>
  </si>
  <si>
    <t>07.11 Supporting utilities; (in parte 08.14 Redundancy of information processing facilities)</t>
  </si>
  <si>
    <t>13.1.1; 13.1.2(a)(b)(e)(f); 13.1.3</t>
  </si>
  <si>
    <t>ID.IM-04 (BC/DR piani e risorse); PR.IR-03 (resilience in condizioni avverse)</t>
  </si>
  <si>
    <t>M109</t>
  </si>
  <si>
    <t>Protezione da eventi climatici</t>
  </si>
  <si>
    <t>Garantire l'adozione di misure per proteggere la sede da allagamenti, terremoti, tempeste</t>
  </si>
  <si>
    <t>13.2.1; 13.2.2(a)(b)(c); 13.2.3</t>
  </si>
  <si>
    <t>Risk Register</t>
  </si>
  <si>
    <r>
      <t>N.B. Il Catalogo Minacce è stato predsposto sulla base dell'</t>
    </r>
    <r>
      <rPr>
        <b/>
        <sz val="11"/>
        <color theme="1"/>
        <rFont val="CocoEng"/>
        <family val="3"/>
      </rPr>
      <t>ENISA Threat Landscape 2025 e sugli scenari principali di continuità operativa</t>
    </r>
  </si>
  <si>
    <t>Catalogo Minacce</t>
  </si>
  <si>
    <t>Valutazione Rischio Inerente</t>
  </si>
  <si>
    <t>Valutazione Rischio Residuo</t>
  </si>
  <si>
    <t>Categoria Rischio</t>
  </si>
  <si>
    <t>Categoria Minaccia</t>
  </si>
  <si>
    <t>Nome Minaccia</t>
  </si>
  <si>
    <t>Descrizione Minaccia</t>
  </si>
  <si>
    <t>Natura</t>
  </si>
  <si>
    <t>Attore</t>
  </si>
  <si>
    <t>Fonti valutazione - Probabilità inerente esterna</t>
  </si>
  <si>
    <t>Probabilità inerente esterna</t>
  </si>
  <si>
    <t>Razionale - Probabilità inerente esterna</t>
  </si>
  <si>
    <t>Probabilità inerente interna</t>
  </si>
  <si>
    <t>Razionale - Probabilità inerente interna</t>
  </si>
  <si>
    <t>R</t>
  </si>
  <si>
    <t>I</t>
  </si>
  <si>
    <t>D</t>
  </si>
  <si>
    <t>Val prob ine est</t>
  </si>
  <si>
    <t>Val prob ine int</t>
  </si>
  <si>
    <t>Val Imp In R</t>
  </si>
  <si>
    <t>Val Imp In I</t>
  </si>
  <si>
    <t>Val Imp In D</t>
  </si>
  <si>
    <t>Val Imp In Max</t>
  </si>
  <si>
    <t>Impatto Inerente R</t>
  </si>
  <si>
    <t>Impatto Inerente I</t>
  </si>
  <si>
    <t>Impatto Inerente D</t>
  </si>
  <si>
    <t>Impatto Inerente MAX</t>
  </si>
  <si>
    <t>Rischio Inerente</t>
  </si>
  <si>
    <t>Val Mitigazione Probab</t>
  </si>
  <si>
    <t>Val Mitigazione Probab*</t>
  </si>
  <si>
    <t>Liv Mitigazione Probabilità</t>
  </si>
  <si>
    <t>Val Mitigazione Impatto</t>
  </si>
  <si>
    <t>Val Mitigazione Impatto*</t>
  </si>
  <si>
    <t>Liv Mitigazione Impatto</t>
  </si>
  <si>
    <t>Probabilità residua</t>
  </si>
  <si>
    <t>Val Probabilità residua</t>
  </si>
  <si>
    <t>Impatto Residuo</t>
  </si>
  <si>
    <t>Val Impatto Residuo</t>
  </si>
  <si>
    <t>Rischio Residuo</t>
  </si>
  <si>
    <t>Cyber Risk</t>
  </si>
  <si>
    <t xml:space="preserve">Cyber attack </t>
  </si>
  <si>
    <t>Software malevolo che cifra i dati o i sistemi della vittima rendendoli inaccessibili fino al pagamento di un riscatto. Include varianti con doppia estorsione (cifratura + esfiltrazione dati), Ransomware-as-a-Service (RaaS), builder leak e utilizzo di access broker per l'accesso iniziale (es. WannaCry, NotPetya, LockBit, BlackCat/ALPHV). Il ransomware è la minaccia core del cybercrime secondo ENISA ETL 2025.</t>
  </si>
  <si>
    <t>Intenzionale</t>
  </si>
  <si>
    <t>Esterno</t>
  </si>
  <si>
    <t>- ENISA Threat Landscape 2025 
- Rapporto Clusit 2025</t>
  </si>
  <si>
    <t>Probabile</t>
  </si>
  <si>
    <t>Il Malware (categoria che include il ransomware) rappresenta la tecnica di attacco più diffusa nel 2024 sia a livello globale (32% degli incidenti, +11% in termini assoluti rispetto al 2023) che in Italia (38% degli incidenti). Il CLUSIT evidenzia come i ransomware si confermino la risorsa più affidabile per i cybercriminali, con impatti critici in oltre il 35% dei casi. L'ENISA ETL 2025 conferma il ransomware come minaccia primaria nel panorama europeo, con gruppi sempre più strutturati e modelli RaaS in costante espansione.</t>
  </si>
  <si>
    <r>
      <t xml:space="preserve">- </t>
    </r>
    <r>
      <rPr>
        <b/>
        <sz val="11"/>
        <rFont val="CocoEng"/>
        <family val="3"/>
      </rPr>
      <t>Raro</t>
    </r>
    <r>
      <rPr>
        <sz val="11"/>
        <rFont val="CocoEng"/>
        <family val="3"/>
      </rPr>
      <t xml:space="preserve">, se i seguenti fattori di rischio non sono contemporaneamente abilitati: Servizi Esposti; Infrastruttura Tecnologica; Active Directory Domain; Vulnerabilità di Sicurezza
- </t>
    </r>
    <r>
      <rPr>
        <b/>
        <sz val="11"/>
        <rFont val="CocoEng"/>
        <family val="3"/>
      </rPr>
      <t>PIE - 3</t>
    </r>
    <r>
      <rPr>
        <sz val="11"/>
        <rFont val="CocoEng"/>
        <family val="3"/>
      </rPr>
      <t xml:space="preserve">, se i seguenti fattori di rischio non sono abilitati: Servizi Esposti; Vulnerabilità di Sicurezza o Infrastruttura Tecnologica
- </t>
    </r>
    <r>
      <rPr>
        <b/>
        <sz val="11"/>
        <rFont val="CocoEng"/>
        <family val="3"/>
      </rPr>
      <t>PIE - 2</t>
    </r>
    <r>
      <rPr>
        <sz val="11"/>
        <rFont val="CocoEng"/>
        <family val="3"/>
      </rPr>
      <t xml:space="preserve"> (diminuita di due livelli), se il seguente fattore di rischio non è abilitato: Servizi Esposti
- </t>
    </r>
    <r>
      <rPr>
        <b/>
        <sz val="11"/>
        <rFont val="CocoEng"/>
        <family val="3"/>
      </rPr>
      <t xml:space="preserve">PIE </t>
    </r>
    <r>
      <rPr>
        <sz val="11"/>
        <rFont val="CocoEng"/>
        <family val="3"/>
      </rPr>
      <t>(valore invariato), in tutti gli altri casi</t>
    </r>
  </si>
  <si>
    <t>Software malevolo con finalità diverse dal riscatto: wiper che distruggono irreversibilmente dati e sistemi (es. NotPetya usato come wiper, HermeticWiper); worm che si propagano autonomamente in rete; infostealer e spyware che esfiltrano credenziali, dati sensibili o sessioni browser (es. Lumma, Vidar, Agent Tesla). Gli infostealer rappresentano una quota rilevante delle intrusioni cybercriminali (87,3% combinato con ransomware e banking trojan secondo ENISA ETL 2025).</t>
  </si>
  <si>
    <t>Possibile</t>
  </si>
  <si>
    <t>Il Malware è la tecnica di attacco più utilizzata a livello globale (32%) e in Italia (38%), con una crescita dell'11% in termini assoluti nel 2024 rispetto al 2023. Il CLUSIT segnala la progressiva diffusione di modelli as-a-Service che rendono l'uso di malware accessibile anche ad attaccanti non specializzati. L'ENISA ETL 2025 conferma la diversificazione dei vettori malware, inclusi infostealer e trojan bancari. La distinzione rispetto al ransomware (che ottiene Probabile/5) è giustificata dal fatto che il malware generico ha impatti mediamente meno critici.</t>
  </si>
  <si>
    <r>
      <t xml:space="preserve">- </t>
    </r>
    <r>
      <rPr>
        <b/>
        <sz val="11"/>
        <color theme="1"/>
        <rFont val="CocoEng"/>
        <family val="3"/>
      </rPr>
      <t>Raro</t>
    </r>
    <r>
      <rPr>
        <sz val="11"/>
        <color theme="1"/>
        <rFont val="CocoEng"/>
        <family val="3"/>
      </rPr>
      <t xml:space="preserve">, se i seguenti fattori di rischio non sono contemporaneamente abilitati: Servizi Esposti; Infrastruttura Tecnologica; Active Directory Domain; Vulnerabilità di Sicurezza
- </t>
    </r>
    <r>
      <rPr>
        <b/>
        <sz val="11"/>
        <color theme="1"/>
        <rFont val="CocoEng"/>
        <family val="3"/>
      </rPr>
      <t xml:space="preserve">PIE - 3 </t>
    </r>
    <r>
      <rPr>
        <sz val="11"/>
        <color theme="1"/>
        <rFont val="CocoEng"/>
        <family val="3"/>
      </rPr>
      <t xml:space="preserve">(diminuita di tre livelli), se i seguenti fattori di rischio non sono abilitati: Servizi Esposti; Vulnerabilità di Sicurezza o Infrastruttura Tecnologica
- </t>
    </r>
    <r>
      <rPr>
        <b/>
        <sz val="11"/>
        <color theme="1"/>
        <rFont val="CocoEng"/>
        <family val="3"/>
      </rPr>
      <t>PIE - 2</t>
    </r>
    <r>
      <rPr>
        <sz val="11"/>
        <color theme="1"/>
        <rFont val="CocoEng"/>
        <family val="3"/>
      </rPr>
      <t xml:space="preserve">  se il seguente fattore di rischio non è abilitato: Servizi Esposti
- </t>
    </r>
    <r>
      <rPr>
        <b/>
        <sz val="11"/>
        <color theme="1"/>
        <rFont val="CocoEng"/>
        <family val="3"/>
      </rPr>
      <t xml:space="preserve">PIE </t>
    </r>
    <r>
      <rPr>
        <sz val="11"/>
        <color theme="1"/>
        <rFont val="CocoEng"/>
        <family val="3"/>
      </rPr>
      <t>(valore invariato), in tutti gli altri casi</t>
    </r>
  </si>
  <si>
    <t>Attacco veicolato attraverso fornitori, partner o componenti software/hardware di terze parti che introducono backdoor, malware o vulnerabilità nei sistemi dell'organizzazione (es. SolarWinds, attacchi a repository open source, aggiornamenti software compromessi, malicious browser extensions, compromissione di service provider).</t>
  </si>
  <si>
    <t>Moderato</t>
  </si>
  <si>
    <t>L'ENISA ETL 2025 conferma gli attacchi alla supply chain come minaccia in crescita strutturale, con episodi ad alto impatto sistemico. Il CLUSIT 2025 non riporta una categoria dedicata agli attacchi supply chain, ma li classifica prevalentemente sotto Multiple Techniques, categoria che registra la maggiore quota di impatti critici. La frequenza rimane inferiore rispetto a malware e ransomware, giustificando il livello Moderato.</t>
  </si>
  <si>
    <r>
      <t xml:space="preserve">- </t>
    </r>
    <r>
      <rPr>
        <b/>
        <sz val="11"/>
        <color theme="1"/>
        <rFont val="CocoEng"/>
        <family val="3"/>
      </rPr>
      <t>PIE</t>
    </r>
    <r>
      <rPr>
        <sz val="11"/>
        <color theme="1"/>
        <rFont val="CocoEng"/>
        <family val="3"/>
      </rPr>
      <t xml:space="preserve"> (valore invariato), se almeno una delle seguenti condizioni è verificata:
Accesso ai sistemi ≥ 3 (Operativo o Amministrativo)
Accesso a dati e PI ≥ 3 (Dati interni/personali o Dati particolari/PI)
Governance IT ≥ 3 (Gestione Sistemi IT con o senza privilegi)
- </t>
    </r>
    <r>
      <rPr>
        <b/>
        <sz val="11"/>
        <color theme="1"/>
        <rFont val="CocoEng"/>
        <family val="3"/>
      </rPr>
      <t>PIE - 1</t>
    </r>
    <r>
      <rPr>
        <sz val="11"/>
        <color theme="1"/>
        <rFont val="CocoEng"/>
        <family val="3"/>
      </rPr>
      <t xml:space="preserve">, se almeno una delle seguenti condizioni è verificata:
Accesso ai sistemi = 2 (Limitato)
Accesso a dati e PI = 2 (Dati non sensibili)
- </t>
    </r>
    <r>
      <rPr>
        <b/>
        <sz val="11"/>
        <color theme="1"/>
        <rFont val="CocoEng"/>
        <family val="3"/>
      </rPr>
      <t>Raro</t>
    </r>
    <r>
      <rPr>
        <sz val="11"/>
        <color theme="1"/>
        <rFont val="CocoEng"/>
        <family val="3"/>
      </rPr>
      <t>, in tutti gli altri casi</t>
    </r>
  </si>
  <si>
    <t>Attacchi mirati ai dispositivi mobili aziendali e personali usati per lavoro (BYOD): spyware, trojan bancari, app contraffatte su store non ufficiali, smishing via RCS/iMessage, intercettazione OTP, mobile MDM bypass. I dispositivi mobili rappresentano il 42,4% delle categorie di minaccia rilevate da ENISA nel 2025.</t>
  </si>
  <si>
    <t>L'ENISA ETL 2025 segnala una crescita delle minacce mobile, in particolare spyware e malware per Android. Il CLUSIT 2025 non riporta una categoria dedicata ai dispositivi mobili, ma la crescita degli Identity Theft / Account Cracking (+135% globale) è in parte riconducibile alla compromissione di dispositivi mobili usati per autenticazione.</t>
  </si>
  <si>
    <r>
      <t xml:space="preserve">- </t>
    </r>
    <r>
      <rPr>
        <b/>
        <sz val="11"/>
        <color theme="1"/>
        <rFont val="CocoEng"/>
        <family val="3"/>
      </rPr>
      <t>PIE</t>
    </r>
    <r>
      <rPr>
        <sz val="11"/>
        <color theme="1"/>
        <rFont val="CocoEng"/>
        <family val="3"/>
      </rPr>
      <t xml:space="preserve"> = PII</t>
    </r>
  </si>
  <si>
    <t>Tecniche di manipolazione psicologica veicolate via e-mail, voce, SMS o pubblicità online per sottrarre credenziali o installare malware. Include spear-phishing verso dirigenti, PhaaS (Phishing-as-a-Service), ClickFix-style scam e campagne su piattaforme mobile (iMessage, RCS). Il phishing è il vettore iniziale nel 60% degli incidenti ENISA 2025.</t>
  </si>
  <si>
    <t>Il CLUSIT 2025 riporta una crescita del Phishing / Social Engineering del +33% a livello globale, attestandosi all'8% del totale degli incidenti. In Italia rappresenta l'11% delle tecniche di attacco. Il CLUSIT sottolinea esplicitamente che "il fattore umano resta sempre il varco di accesso più facile". L'ENISA ETL 2025 conferma il Social Engineering come vettore primario di accesso iniziale, amplificato dall'uso dell'AI generativa per la creazione di contenuti convincenti.</t>
  </si>
  <si>
    <r>
      <t xml:space="preserve">- </t>
    </r>
    <r>
      <rPr>
        <b/>
        <sz val="11"/>
        <color theme="1"/>
        <rFont val="CocoEng"/>
        <family val="3"/>
      </rPr>
      <t xml:space="preserve">PIE </t>
    </r>
    <r>
      <rPr>
        <sz val="11"/>
        <color theme="1"/>
        <rFont val="CocoEng"/>
        <family val="3"/>
      </rPr>
      <t xml:space="preserve">(valore invariato), se i seguenti fattori di rischio sono contemporaneamente abilitati: Infrastructure Management; Application Management
- </t>
    </r>
    <r>
      <rPr>
        <b/>
        <sz val="11"/>
        <color theme="1"/>
        <rFont val="CocoEng"/>
        <family val="3"/>
      </rPr>
      <t>PIE - 1</t>
    </r>
    <r>
      <rPr>
        <sz val="11"/>
        <color theme="1"/>
        <rFont val="CocoEng"/>
        <family val="3"/>
      </rPr>
      <t xml:space="preserve"> (diminuita di un livello), negli altri casi</t>
    </r>
  </si>
  <si>
    <t>IT Risk</t>
  </si>
  <si>
    <t>Threats against Data</t>
  </si>
  <si>
    <t>Accesso, esfiltrazione o divulgazione non autorizzata di dati aziendali sensibili, personali o riservati, per cause intenzionali o accidentali. Include violazioni originate dall'esterno (attacco mirato, compromissione di credenziali, exploit), dall'interno (negligenza, dolo, smaltimento non sicuro di dispositivi o documenti) o da terze parti (fornitore che espone dati del cliente). Manipolazione di dati affidabili in dati inaffidabili e corrotti, prendendo di mira l'accuratezza e le prestazioni di ML/AI, così come la percezione della realtà da parte delle persone. Secondo ENISA ETL 2025, il 68,6% delle intrusioni cybercriminali ha prodotto un data breach pubblicato su forum underground, di cui il 2,8% come esito diretto di ransomware</t>
  </si>
  <si>
    <t>Accidentale / Intenzionale</t>
  </si>
  <si>
    <t>Esterno / Interno</t>
  </si>
  <si>
    <t>Il CLUSIT 2025 evidenzia che gli incidenti con impatti su dati (esfiltrazione, leakage) rappresentano la conseguenza più frequente degli attacchi informatici, trasversale a tutte le tecniche. La crescita degli Identity Theft / Account Cracking (+135% globale) e la diffusione di ransomware con double extortion amplificano ulteriormente questa minaccia. L'ENISA ETL 2025 conferma il data breach come una delle minacce con maggiore frequenza e impatto nel panorama europeo.</t>
  </si>
  <si>
    <r>
      <t xml:space="preserve">- </t>
    </r>
    <r>
      <rPr>
        <b/>
        <sz val="11"/>
        <color theme="1"/>
        <rFont val="CocoEng"/>
        <family val="3"/>
      </rPr>
      <t>Raro</t>
    </r>
    <r>
      <rPr>
        <sz val="11"/>
        <color theme="1"/>
        <rFont val="CocoEng"/>
        <family val="3"/>
      </rPr>
      <t xml:space="preserve">, se i seguenti fattori di rischio sono contemporaneamente disabilitati: Privacy; Servizi Esposti; Infrastruttura Tecnologica; Vulnerabilità di Sicurezza
- </t>
    </r>
    <r>
      <rPr>
        <b/>
        <sz val="11"/>
        <color theme="1"/>
        <rFont val="CocoEng"/>
        <family val="3"/>
      </rPr>
      <t xml:space="preserve">PIE - 3 </t>
    </r>
    <r>
      <rPr>
        <sz val="11"/>
        <color theme="1"/>
        <rFont val="CocoEng"/>
        <family val="3"/>
      </rPr>
      <t>se i seguenti fattori di rischio sono contemporaneamente disabilitati: Privacy; Servizi Esposti; Vulnerabilità di Sicurezza
-</t>
    </r>
    <r>
      <rPr>
        <b/>
        <sz val="11"/>
        <color theme="1"/>
        <rFont val="CocoEng"/>
        <family val="3"/>
      </rPr>
      <t xml:space="preserve"> PIE - 2 </t>
    </r>
    <r>
      <rPr>
        <sz val="11"/>
        <color theme="1"/>
        <rFont val="CocoEng"/>
        <family val="3"/>
      </rPr>
      <t xml:space="preserve">se i seguenti fattori di rischio sono contemporaneamente disabilitati: Privacy; Servizi Esposti
- </t>
    </r>
    <r>
      <rPr>
        <b/>
        <sz val="11"/>
        <color theme="1"/>
        <rFont val="CocoEng"/>
        <family val="3"/>
      </rPr>
      <t xml:space="preserve">PIE </t>
    </r>
    <r>
      <rPr>
        <sz val="11"/>
        <color theme="1"/>
        <rFont val="CocoEng"/>
        <family val="3"/>
      </rPr>
      <t>(valore invariato), in tutti gli altri casi</t>
    </r>
  </si>
  <si>
    <t>Perdita fisica di dispositivi contenenti dati o necessari all'operatività, con impatto su disponibilità e riservatezza (es. laptop rubato con dati aziendali, storage key smarrita, smarrimento di token di autenticazione).</t>
  </si>
  <si>
    <t>Improbabile</t>
  </si>
  <si>
    <t>Né il CLUSIT 2025 né l'ENISA ETL 2025 riportano dati significativi su questa minaccia come causa primaria di incidenti di rilievo. Il furto fisico di dispositivi rimane una minaccia reale ma marginale rispetto ai vettori cyber, con frequenza di accadimento bassa nel campione di incidenti significativi analizzato.</t>
  </si>
  <si>
    <r>
      <t xml:space="preserve">- </t>
    </r>
    <r>
      <rPr>
        <b/>
        <sz val="11"/>
        <color theme="1"/>
        <rFont val="CocoEng"/>
        <family val="3"/>
      </rPr>
      <t>PIE</t>
    </r>
    <r>
      <rPr>
        <sz val="11"/>
        <color theme="1"/>
        <rFont val="CocoEng"/>
        <family val="3"/>
      </rPr>
      <t xml:space="preserve"> (valore invariato), se almeno uno dei seguenti fattori di rischio è abilitato: Facility ownership; Infrastruttura tecnologica
- </t>
    </r>
    <r>
      <rPr>
        <b/>
        <sz val="11"/>
        <color theme="1"/>
        <rFont val="CocoEng"/>
        <family val="3"/>
      </rPr>
      <t>Raro</t>
    </r>
    <r>
      <rPr>
        <sz val="11"/>
        <color theme="1"/>
        <rFont val="CocoEng"/>
        <family val="3"/>
      </rPr>
      <t>, in tutti gli altri casi</t>
    </r>
  </si>
  <si>
    <t>Sfruttamento di Vulnerabilità</t>
  </si>
  <si>
    <t>Utilizzo di vulnerabilità note o 0-day su sistemi esposti o interni per ottenere accesso non autorizzato, combinato con tecniche di escalation di privilegi e movimento laterale (es. exploit su VPN/webapp, pass-the-hash, Kerberoasting, abuse of signed drivers). La vulnerabilità è vettore iniziale nel 21,3% degli incidenti ENISA 2025.</t>
  </si>
  <si>
    <t>Il CLUSIT 2025 riporta che lo sfruttamento di vulnerabilità incide per il 15% degli incidenti globali. In Italia questa tecnica raggiunge il 19%, terza posizione nella classifica nazionale, in parte amplificata dall'attacco zero-day al CMS che ha colpito 77 organizzazioni. L'ENISA ETL 2025 segnala un numero crescente di CVE critiche sfruttate attivamente, con finestre di remediation sempre più ridotte.</t>
  </si>
  <si>
    <r>
      <t xml:space="preserve">- </t>
    </r>
    <r>
      <rPr>
        <b/>
        <sz val="11"/>
        <color theme="1"/>
        <rFont val="CocoEng"/>
        <family val="3"/>
      </rPr>
      <t>Raro</t>
    </r>
    <r>
      <rPr>
        <sz val="11"/>
        <color theme="1"/>
        <rFont val="CocoEng"/>
        <family val="3"/>
      </rPr>
      <t xml:space="preserve">, se i seguenti fattori di rischio sono contemporaneamente disabilitati: Servizi Esposti; Vulnerabilità di Sicurezza; Infrastruttura Tecnologica
- </t>
    </r>
    <r>
      <rPr>
        <b/>
        <sz val="11"/>
        <color theme="1"/>
        <rFont val="CocoEng"/>
        <family val="3"/>
      </rPr>
      <t>PIE - 2</t>
    </r>
    <r>
      <rPr>
        <sz val="11"/>
        <color theme="1"/>
        <rFont val="CocoEng"/>
        <family val="3"/>
      </rPr>
      <t xml:space="preserve">, se i seguenti fattori di rischio sono contemporaneamente disabilitati: Servizi Esposti; Vulnerabilità di Sicurezza
- </t>
    </r>
    <r>
      <rPr>
        <b/>
        <sz val="11"/>
        <color theme="1"/>
        <rFont val="CocoEng"/>
        <family val="3"/>
      </rPr>
      <t xml:space="preserve">PIE </t>
    </r>
    <r>
      <rPr>
        <sz val="11"/>
        <color theme="1"/>
        <rFont val="CocoEng"/>
        <family val="3"/>
      </rPr>
      <t>(valore invariato), in tutti gli altri casi</t>
    </r>
  </si>
  <si>
    <t>Minacce alla Disponibilità</t>
  </si>
  <si>
    <t>Sovraccarico intenzionale di sistemi o servizi tramite botnet o tecniche di amplificazione per renderli irraggiungibili (es. attacchi volumetrici, SYN flood, amplificazione DNS/NTP, ransom DDoS). Gli attacchi DDoS hacktivisti rappresentano il 76,7% degli incidenti registrati da ENISA nel periodo 2024-2025.</t>
  </si>
  <si>
    <t xml:space="preserve">Il CLUSIT 2025 riporta una crescita globale dei DDoS del +36%, portando questa categoria all'8% del totale. In Italia il dato è in controtendenza (-36% rispetto al picco 2023, attestandosi al 21%), ma rimane comunque la seconda tecnica più utilizzata nel Paese. L'ENISA ETL 2025 conferma i DDoS come minaccia in forte crescita, alimentata dall'hacktivism geopolitico e da servizi DDoS-as-a-Service. </t>
  </si>
  <si>
    <r>
      <t xml:space="preserve">- </t>
    </r>
    <r>
      <rPr>
        <b/>
        <sz val="11"/>
        <color theme="1"/>
        <rFont val="CocoEng"/>
        <family val="3"/>
      </rPr>
      <t>Raro</t>
    </r>
    <r>
      <rPr>
        <sz val="11"/>
        <color theme="1"/>
        <rFont val="CocoEng"/>
        <family val="3"/>
      </rPr>
      <t xml:space="preserve">, se il seguente fattore di rischio non è abilitato: Servizi Esposti
- </t>
    </r>
    <r>
      <rPr>
        <b/>
        <sz val="11"/>
        <color theme="1"/>
        <rFont val="CocoEng"/>
        <family val="3"/>
      </rPr>
      <t xml:space="preserve">PIE </t>
    </r>
    <r>
      <rPr>
        <sz val="11"/>
        <color theme="1"/>
        <rFont val="CocoEng"/>
        <family val="3"/>
      </rPr>
      <t>(valore invariato), in tutti gli altri casi</t>
    </r>
  </si>
  <si>
    <t>Failure di componenti fisici o utilizzo di tecnologie non più supportate che causano interruzione operativa. Include guasti a infrastruttura centralizzata (server, storage array, switch core, UPS, firewall) e a dispositivi individuali (laptop, workstation, periferiche critiche), nonché l'utilizzo di hardware a fine vita o privo di aggiornamenti di sicurezza che aumenta la superficie di attacco.</t>
  </si>
  <si>
    <t>Accidentale</t>
  </si>
  <si>
    <t>Sistemico</t>
  </si>
  <si>
    <t>Non trattato direttamente dal CLUSIT 2025 né dall'ENISA ETL 2025 come minaccia cyber esterna, in quanto si tratta prevalentemente di un rischio IT interno. La valutazione Moderato è mantenuta sulla base della frequenza strutturale di questo tipo di evento nei contesti IT complessi, indipendentemente dal panorama delle minacce esterne.</t>
  </si>
  <si>
    <r>
      <t xml:space="preserve">- </t>
    </r>
    <r>
      <rPr>
        <b/>
        <sz val="11"/>
        <color theme="1"/>
        <rFont val="CocoEng"/>
        <family val="3"/>
      </rPr>
      <t>PIE</t>
    </r>
    <r>
      <rPr>
        <sz val="11"/>
        <color theme="1"/>
        <rFont val="CocoEng"/>
        <family val="3"/>
      </rPr>
      <t xml:space="preserve"> (valore invariato), se il seguente fattore di rischio è abilitato: Infrastruttura Tecnologica
- </t>
    </r>
    <r>
      <rPr>
        <b/>
        <sz val="11"/>
        <color theme="1"/>
        <rFont val="CocoEng"/>
        <family val="3"/>
      </rPr>
      <t>Raro</t>
    </r>
    <r>
      <rPr>
        <sz val="11"/>
        <color theme="1"/>
        <rFont val="CocoEng"/>
        <family val="3"/>
      </rPr>
      <t>, in tutti gli altri casi</t>
    </r>
  </si>
  <si>
    <t>Interruzioni causate da difetti, bug o comportamenti imprevisti di software applicativo, middleware o sistemi operativi, sia di produzione interna che di terze parti (es. crash di applicativo critico, bug introdotto in fase di release, memory leak, conflitto tra versioni software, malfunzionamento di software ERP/CRM dopo aggiornamento).</t>
  </si>
  <si>
    <t>Analogamente al guasto HW, non è una minaccia trattata nei report di threat intelligence esterna. Il livello Moderato è confermato sulla base della frequenza strutturale di anomalie software nei contesti di erogazione di servizi IT complessi.</t>
  </si>
  <si>
    <r>
      <t xml:space="preserve">- </t>
    </r>
    <r>
      <rPr>
        <b/>
        <sz val="11"/>
        <color theme="1"/>
        <rFont val="CocoEng"/>
        <family val="3"/>
      </rPr>
      <t>PIE</t>
    </r>
    <r>
      <rPr>
        <sz val="11"/>
        <color theme="1"/>
        <rFont val="CocoEng"/>
        <family val="3"/>
      </rPr>
      <t xml:space="preserve"> (valore invariato), se almeno uno dei seguenti fattori di rischio è abilitato: SaaS; Sviluppo Software
- </t>
    </r>
    <r>
      <rPr>
        <b/>
        <sz val="11"/>
        <color theme="1"/>
        <rFont val="CocoEng"/>
        <family val="3"/>
      </rPr>
      <t>Raro</t>
    </r>
    <r>
      <rPr>
        <sz val="11"/>
        <color theme="1"/>
        <rFont val="CocoEng"/>
        <family val="3"/>
      </rPr>
      <t>, in tutti gli altri casi</t>
    </r>
  </si>
  <si>
    <t>Uso Improrio / Non Autorizzato</t>
  </si>
  <si>
    <t>Acquisizione illecita o uso improprio di credenziali per accedere a sistemi e dati aziendali (es. credential harvesting via phishing, password cracking, credential stuffing, acquisto su dark web, MFA fatigue, session token theft).</t>
  </si>
  <si>
    <t>Il CLUSIT 2025 riporta una crescita degli Identity Theft / Account Cracking del +135% a livello globale nel 2024, portando questa categoria al 6% del totale. L'ENISA ETL 2025 conferma il credential theft come vettore primario di accesso iniziale, amplificato dalla diffusione di infostealer e dalla disponibilità di credenziali compromesse nel dark web.</t>
  </si>
  <si>
    <r>
      <t xml:space="preserve">- </t>
    </r>
    <r>
      <rPr>
        <b/>
        <sz val="11"/>
        <color theme="1"/>
        <rFont val="CocoEng"/>
        <family val="3"/>
      </rPr>
      <t>Raro</t>
    </r>
    <r>
      <rPr>
        <sz val="11"/>
        <color theme="1"/>
        <rFont val="CocoEng"/>
        <family val="3"/>
      </rPr>
      <t xml:space="preserve">, se i seguenti fattori di rischio sono contemporaneamente disabilitati: Servizi Esposti; Vulnerabilità di Sicurezza; IAM; Infrastracture Management; Application Management
- </t>
    </r>
    <r>
      <rPr>
        <b/>
        <sz val="11"/>
        <color theme="1"/>
        <rFont val="CocoEng"/>
        <family val="3"/>
      </rPr>
      <t>PIE - 2</t>
    </r>
    <r>
      <rPr>
        <sz val="11"/>
        <color theme="1"/>
        <rFont val="CocoEng"/>
        <family val="3"/>
      </rPr>
      <t xml:space="preserve">, se i seguenti fattori di rischio sono contemporaneamente disabilitati: Servizi Esposti; Vulnerabilità di Sicurezza
- </t>
    </r>
    <r>
      <rPr>
        <b/>
        <sz val="11"/>
        <color theme="1"/>
        <rFont val="CocoEng"/>
        <family val="3"/>
      </rPr>
      <t>PIE</t>
    </r>
    <r>
      <rPr>
        <sz val="11"/>
        <color theme="1"/>
        <rFont val="CocoEng"/>
        <family val="3"/>
      </rPr>
      <t xml:space="preserve"> (valore invariato), in tutti gli altri casi</t>
    </r>
  </si>
  <si>
    <t>Accesso, copia, divulgazione o alterazione non autorizzata di dati da parte di personale interno per dolo, negligenza o abuso dei privilegi concessi (es. invio di file riservati all'esterno, smaltimento di dispositivi non sanitizzati, errata classificazione di documenti, operazioni abusive su sistemi, utilizzo non autorizzato di AI tools).</t>
  </si>
  <si>
    <t>Interno</t>
  </si>
  <si>
    <t>Il CLUSIT 2025 evidenzia il fattore umano come variabile critica. L'ENISA ETL 2025 riporta l'errore umano tra i fattori contribuenti più frequenti negli incidenti analizzati.</t>
  </si>
  <si>
    <r>
      <t xml:space="preserve">- </t>
    </r>
    <r>
      <rPr>
        <b/>
        <sz val="11"/>
        <color theme="1"/>
        <rFont val="CocoEng"/>
        <family val="3"/>
      </rPr>
      <t>PIE</t>
    </r>
    <r>
      <rPr>
        <sz val="11"/>
        <color theme="1"/>
        <rFont val="CocoEng"/>
        <family val="3"/>
      </rPr>
      <t xml:space="preserve"> (valore invariato), se almeno uno dei seguenti fattori di rischio è abilitato: Infrastructure Management; Application Management; IAM; Sviluppo Software
- </t>
    </r>
    <r>
      <rPr>
        <b/>
        <sz val="11"/>
        <color theme="1"/>
        <rFont val="CocoEng"/>
        <family val="3"/>
      </rPr>
      <t>Raro</t>
    </r>
    <r>
      <rPr>
        <sz val="11"/>
        <color theme="1"/>
        <rFont val="CocoEng"/>
        <family val="3"/>
      </rPr>
      <t>, in tutti gli altri casi</t>
    </r>
  </si>
  <si>
    <t>Connessione di dispositivi non autorizzati alla rete aziendale cablata o Wi-Fi che può abilitare intercettazioni, movimenti laterali o esfiltrazione di dati (es. rogue access point, dispositivi personali non gestiti, connessioni da reti non fidate, war-driving).</t>
  </si>
  <si>
    <t>Né il CLUSIT 2025 né l'ENISA ETL 2025 riportano questa minaccia come rilevante nel panorama degli incidenti significativi. Si tratta di un vettore di attacco fisico con frequenza bassa nel campione di incidenti di rilievo analizzati.</t>
  </si>
  <si>
    <r>
      <t xml:space="preserve">- </t>
    </r>
    <r>
      <rPr>
        <b/>
        <sz val="11"/>
        <color theme="1"/>
        <rFont val="CocoEng"/>
        <family val="3"/>
      </rPr>
      <t>PIE</t>
    </r>
    <r>
      <rPr>
        <sz val="11"/>
        <color theme="1"/>
        <rFont val="CocoEng"/>
        <family val="3"/>
      </rPr>
      <t xml:space="preserve"> (valore invariato), se il seguente fattore di rischio è abilitato: Network Services
- </t>
    </r>
    <r>
      <rPr>
        <b/>
        <sz val="11"/>
        <color theme="1"/>
        <rFont val="CocoEng"/>
        <family val="3"/>
      </rPr>
      <t>Raro</t>
    </r>
    <r>
      <rPr>
        <sz val="11"/>
        <color theme="1"/>
        <rFont val="CocoEng"/>
        <family val="3"/>
      </rPr>
      <t>, in tutti gli altri casi</t>
    </r>
  </si>
  <si>
    <t>Compliance / Legal Risk</t>
  </si>
  <si>
    <t>Non Conformità &amp; Compliance</t>
  </si>
  <si>
    <t>Inadempienza a obblighi normativi o contrattuali in materia di sicurezza, privacy e continuità operativa, con rischio di sanzioni, contenziosi o perdita di licenze (es. mancata notifica di data breach entro 72h, SLA di sicurezza non rispettati, audit fallito su certificazione ISO 27001). I cybercriminali sfruttano sempre più la leva della compliance come strumento di estorsione.</t>
  </si>
  <si>
    <t>Il CLUSIT 2025 richiama l'impatto positivo della regolamentazione (DORA, NIS2) nel ridurre gli incidenti nei settori regolati, evidenziando indirettamente come la non conformità rappresenti un fattore di rischio concreto. L'ENISA ETL 2025 segnala la crescente pressione normativa europea e i rischi per le organizzazioni non conformi.</t>
  </si>
  <si>
    <r>
      <t xml:space="preserve">- </t>
    </r>
    <r>
      <rPr>
        <b/>
        <sz val="11"/>
        <color theme="1"/>
        <rFont val="CocoEng"/>
        <family val="3"/>
      </rPr>
      <t>PIE</t>
    </r>
    <r>
      <rPr>
        <sz val="11"/>
        <color theme="1"/>
        <rFont val="CocoEng"/>
        <family val="3"/>
      </rPr>
      <t xml:space="preserve"> (valore invariato), se almeno uno dei seguenti fattori di rischio è abilitato: NIS2 Relevant; DORA Relevant; PSNC Relevant
- </t>
    </r>
    <r>
      <rPr>
        <b/>
        <sz val="11"/>
        <color theme="1"/>
        <rFont val="CocoEng"/>
        <family val="3"/>
      </rPr>
      <t>PIE</t>
    </r>
    <r>
      <rPr>
        <sz val="11"/>
        <color theme="1"/>
        <rFont val="CocoEng"/>
        <family val="3"/>
      </rPr>
      <t xml:space="preserve"> - 1, in tutti gli altri casi</t>
    </r>
  </si>
  <si>
    <t>Business Continuity Risk</t>
  </si>
  <si>
    <t>Calamità Naturali</t>
  </si>
  <si>
    <t>Fenomeni naturali che danneggiano fisicamente edifici o infrastrutture aziendali rendendoli inaccessibili o inagibili (es. sisma con danni strutturali, alluvione nei piani interrati dove risiedono data center o archivi, tempesta che abbatte linee elettriche o comunicazioni).</t>
  </si>
  <si>
    <t>Esterna</t>
  </si>
  <si>
    <t>Non trattato nei report di threat intelligence cyber. La frequenza di accadimento è bassa e non mostra trend di crescita rilevanti nel contesto dei servizi IT.</t>
  </si>
  <si>
    <r>
      <t xml:space="preserve">- </t>
    </r>
    <r>
      <rPr>
        <b/>
        <sz val="11"/>
        <color theme="1"/>
        <rFont val="CocoEng"/>
        <family val="3"/>
      </rPr>
      <t>PIE</t>
    </r>
    <r>
      <rPr>
        <sz val="11"/>
        <color theme="1"/>
        <rFont val="CocoEng"/>
        <family val="3"/>
      </rPr>
      <t xml:space="preserve"> (valore invariato), se almeno uno seguenti fattori di rischio è abilitato: Locali di Lavoro Critici; Fcility Ownership
- </t>
    </r>
    <r>
      <rPr>
        <b/>
        <sz val="11"/>
        <color theme="1"/>
        <rFont val="CocoEng"/>
        <family val="3"/>
      </rPr>
      <t>Raro</t>
    </r>
    <r>
      <rPr>
        <sz val="11"/>
        <color theme="1"/>
        <rFont val="CocoEng"/>
        <family val="3"/>
      </rPr>
      <t>, in tutti gli altri casi</t>
    </r>
  </si>
  <si>
    <t>Eventi fisici e ambientali</t>
  </si>
  <si>
    <t>Eventi che rendono i locali inaccessibili o distruggono asset fisici e IT, originati internamente (es. cortocircuito, rottura tubatura) o per dolo (incendio doloso, sabotaggio). Differente dall'evento naturale esterno in quanto la fonte è interna alla struttura o alle sue immediate pertinenze.</t>
  </si>
  <si>
    <t>Mancanza prolungata di servizi essenziali che rende impossibile l'operatività dei locali e dei sistemi IT ospitati (es. blackout prolungato, guasto al sistema di raffreddamento del data center, disturbi EMP, interruzione della connettività internet/WAN).</t>
  </si>
  <si>
    <t>L'ENISA ETL 2025 segnala gli attacchi alle infrastrutture critiche (energia, telecomunicazioni) come minaccia in crescita, con potenziali effetti a cascata sui servizi IT dipendenti. Il CLUSIT 2025 riporta una crescita degli incidenti nel settore Energy/Utilities.</t>
  </si>
  <si>
    <t>Azioni intenzionali o provvedimenti legali che impediscono l'accesso ai locali o la continuità operativa (es. sabotaggio di impianti, sgombero ordinato dall'autorità giudiziaria, sequestro di beni aziendali, azione dimostrativa di attivisti o ex-dipendenti).</t>
  </si>
  <si>
    <t>Raro</t>
  </si>
  <si>
    <t>Né il CLUSIT 2025 né l'ENISA ETL 2025 riportano questa minaccia come rilevante. Frequenza molto bassa nel campione di incidenti significativi.</t>
  </si>
  <si>
    <t>Fattore Umano</t>
  </si>
  <si>
    <t>Riduzione significativa della capacità operativa per assenza prolungata o improvvisa di personale, sia individuale che collettiva. Include: assenza di figure chiave non sostituibili nel breve termine (malattia, infortunio, dimissioni, key-man risk) in assenza di piani di successione; indisponibilità collettiva per sciopero, pandemia o evento sanitario che impedisce la presenza in sede o riduce gravemente la forza lavoro disponibile</t>
  </si>
  <si>
    <t>Accidentale / Esterna</t>
  </si>
  <si>
    <t>Interno / Sistemico</t>
  </si>
  <si>
    <t>La valutazione si basa sull'analisi della frequenza storica di accadimento rilevata nell'ambito della BIA 2025, condotta su un campione di 132 servizi (111 valorizzati, 21 non compilati).
Dei 111 servizi valorizzati:
- 107 non hanno mai registrato l'evento negli ultimi 3 anni
- 2 hanno registrato l'evento almeno una volta negli ultimi 3 anni
- 2 hanno registrato l'evento più volte (da 2 a 5 volte)
La distribuzione osservata colloca la minaccia in media al livello Improbabile (2), coerentemente con la scala adottata — l'evento si è verificato almeno una volta negli ultimi 3 anni in una quota marginale del campione (circa 4 servizi su 111, pari al 3,6%).</t>
  </si>
  <si>
    <t>Terze Parti</t>
  </si>
  <si>
    <t>Interruzione del servizio da parte di un fornitore critico per cause interne che ne compromettono capacità operativa o legittimità (es. fornitore insolvente, provider IT che perde certificazione ISO 27001, fornitore coinvolto in procedimento legale o sanzione regolatoria).</t>
  </si>
  <si>
    <t xml:space="preserve">Il CLUSIT 2025 non riporta dati specifici su questa minaccia. L'ENISA ETL 2025 cita la supply chain come area di rischio crescente ma focalizzandosi sugli attacchi cyber ai fornitori più che sull'instabilità operativa degli stessi. </t>
  </si>
  <si>
    <r>
      <t xml:space="preserve">- </t>
    </r>
    <r>
      <rPr>
        <b/>
        <sz val="11"/>
        <color theme="1"/>
        <rFont val="CocoEng"/>
        <family val="3"/>
      </rPr>
      <t>PIE</t>
    </r>
    <r>
      <rPr>
        <sz val="11"/>
        <color theme="1"/>
        <rFont val="CocoEng"/>
        <family val="3"/>
      </rPr>
      <t xml:space="preserve"> (valore invariato), se almeno una delle seguenti condizioni è verificata:
Impatto interruzione (Criticità BC) = 4 (Mission Critical)
Ripristino ≥ 3 (Nessuna alternativa interna immediata o Totalmente dipendenti)
- </t>
    </r>
    <r>
      <rPr>
        <b/>
        <sz val="11"/>
        <color theme="1"/>
        <rFont val="CocoEng"/>
        <family val="3"/>
      </rPr>
      <t>Raro</t>
    </r>
    <r>
      <rPr>
        <sz val="11"/>
        <color theme="1"/>
        <rFont val="CocoEng"/>
        <family val="3"/>
      </rPr>
      <t>, in tutti gli altri casi</t>
    </r>
  </si>
  <si>
    <t>Rischio Fisico e Ambientale</t>
  </si>
  <si>
    <t>Accesso Fisico Non Autorizzato</t>
  </si>
  <si>
    <t>Ingresso non autorizzato in aree riservate aggirando i controlli fisici di accesso (es. tailgating, clonazione di badge, accesso notturno a server room, furto di documenti cartacei o dispositivi lasciati incustoditi, installazione di hardware malevolo tipo keylogger fisico, furto di backup su nastro, apparati di rete o server blade).</t>
  </si>
  <si>
    <t>Il CLUSIT 2025 non riporta dati specifici su questa minaccia fisica. L'ENISA ETL 2025 cita il physical security come area di rischio ma con frequenza bassa.</t>
  </si>
  <si>
    <t>Dashboard Cyber &amp; BC Risk Assessment</t>
  </si>
  <si>
    <t>Valutazione Cyber &amp; BC Risk</t>
  </si>
  <si>
    <t>Livello Rischio Inerente</t>
  </si>
  <si>
    <t>Livello Rischio Residuo</t>
  </si>
  <si>
    <t>Imp in-0,5</t>
  </si>
  <si>
    <t>Prob in-0,5</t>
  </si>
  <si>
    <t>Imp Res-0,5</t>
  </si>
  <si>
    <t>Prob Res-0,5</t>
  </si>
  <si>
    <t>Valutazione Maturità Controlli di Sicurezza</t>
  </si>
  <si>
    <t>Numero di controlli implementati per Livello di Maturità e Minaccia</t>
  </si>
  <si>
    <t>Minaccia</t>
  </si>
  <si>
    <t>Implementato</t>
  </si>
  <si>
    <t>Parzialmente Implementato</t>
  </si>
  <si>
    <t>Non Implementato</t>
  </si>
  <si>
    <t>Da valutare</t>
  </si>
  <si>
    <t>Numero di controlli implementati per Livello di Maturità e Categoria di apparternenza</t>
  </si>
  <si>
    <t>Categoria</t>
  </si>
  <si>
    <t>Function</t>
  </si>
  <si>
    <t>Val Maturità Medio</t>
  </si>
  <si>
    <t>Identify</t>
  </si>
  <si>
    <t>Prevention</t>
  </si>
  <si>
    <t>Detection</t>
  </si>
  <si>
    <t>Respond</t>
  </si>
  <si>
    <t>Recover</t>
  </si>
  <si>
    <t>PARAMETRI BIA</t>
  </si>
  <si>
    <t>TABELLA TIPOLOGIA SERVIZI</t>
  </si>
  <si>
    <t>MATRICE VALUTAZIONE IMPATTI</t>
  </si>
  <si>
    <t>TABELLA PARAMETRI RISCHIO FORNITURA</t>
  </si>
  <si>
    <t>TABELLA CRITICITA' BC</t>
  </si>
  <si>
    <t>OPZIONI SOLUZIONI SCENARI BC</t>
  </si>
  <si>
    <t>OPZIONI FREQUENZA ACCADIMENTO SCENARI BC</t>
  </si>
  <si>
    <t>Descrizione Servizio</t>
  </si>
  <si>
    <t>Liv Impatto</t>
  </si>
  <si>
    <t>Val Imp</t>
  </si>
  <si>
    <t xml:space="preserve">ECONOMICO </t>
  </si>
  <si>
    <t>NORMATIVO-LEGALE</t>
  </si>
  <si>
    <t>CATEGORIA</t>
  </si>
  <si>
    <t>DESCRIZIONE</t>
  </si>
  <si>
    <t>VALORE</t>
  </si>
  <si>
    <t>LIVELLO</t>
  </si>
  <si>
    <t>Soglia Minima</t>
  </si>
  <si>
    <t>Soglia Massima</t>
  </si>
  <si>
    <t>Livello di Rischio Fornitura</t>
  </si>
  <si>
    <t>Criticità BC</t>
  </si>
  <si>
    <t>Opzioni</t>
  </si>
  <si>
    <t>servizi di risoluzione dei nomi di dominio ricorsivi accessibili al pubblico per gli utenti finali di internet, o servizi di risoluzione dei nomi di dominio autorevoli per uso da parte di terzi, fatta eccezione per i server dei nomi radice</t>
  </si>
  <si>
    <t>Estremo</t>
  </si>
  <si>
    <t>Impatto economico effettivo / potenziale &gt; 3% EBITDA di Gruppo</t>
  </si>
  <si>
    <t>Notizia su uno o più media nazionali o internazionali con esposizione mediatica di medio-lungo periodo con conseguente impatto sulla Governance Societaria
Notizia diffusa da numerosi canali web/social, anche internazionali, con compromissione della fiducia da parte di molteplici gruppi di stakeholder (Clienti, partner, Pubblica Amministrazione, fornitori, dipendenti) con impatti gravi sulla capacità di business</t>
  </si>
  <si>
    <t>Violazione di normative nazionali o internazionali da cui derivano gravi sanzioni, anche interdittive, che possono comportare gravissime conseguenze a livello reputazionale, tali da mettere a repentaglio l’operatività della Società o di alcuni suoi business
Sanzioni amministrative/penali di grave entità.
Commissariamento della Società e/o sanzioni interdittive che incidono sulla continuità aziendale</t>
  </si>
  <si>
    <t>Estrema e duratura interruzione della continuità delle attività estesa ad un numero consistente di processi/aree, utenti e / o asset
Impatto operativo che comporta una significativa ed estesa revisione delle strategie della Società
Risoluzione contratti da parte dei Clienti</t>
  </si>
  <si>
    <t>Livello di accesso del fornitore ai sistemi informativi e di rete</t>
  </si>
  <si>
    <t>Nessuno</t>
  </si>
  <si>
    <t>Il fornitore non accede ai sistemi informativi aziendali</t>
  </si>
  <si>
    <t>Basso</t>
  </si>
  <si>
    <t>Remote Working</t>
  </si>
  <si>
    <t>Gli addetti che supportano l'operatività del servizio possono lavorare da remoto senza alcun impatto sull'operatività del servizio</t>
  </si>
  <si>
    <t>L’evento di rischio non si è verificato negli ultimi 3 anni o si è verificato una volta negli ultimi 3 anni</t>
  </si>
  <si>
    <t>servizio digitale che consente l'amministrazione su richiesta di un pool scalabile ed elastico di risorse di calcolo condivisibili e l'ampio accesso remoto a quest'ultimo, anche ove tali risorse sono distribuite in varie ubicazioni</t>
  </si>
  <si>
    <t>Alto</t>
  </si>
  <si>
    <t>Impatto economico effettivo / potenziale &gt; 1% EBITDA di Gruppo e &lt;= 3% EBITDA di Gruppo</t>
  </si>
  <si>
    <t>Notizia su più media nazionali con esposizione mediatica di breve periodo
Notizia diffusa da più canali web/social con effetti duraturi sulla fiducia di differenti gruppi di stakeholder (Clienti, fornitori, dipendenti) con impatti sulla capacità di business</t>
  </si>
  <si>
    <t>Violazione di normative nazionali o internazionali da cui derivano sanzioni con effetti rilevanti a livello reputazionale
Sanzioni amministrative/penali di significativa entità</t>
  </si>
  <si>
    <t>Rilevante e prolungata interruzione della continuità delle attività estesa ad un numero consistente di processi/aree, utenti e / o asset
Impatto operativo sul business, con danno rilevante sulla capacità di servire i Clienti, che comporta una contenuta e mirata revisione delle strategie della Società
Rilevante perdita di qualità dei servizi con conseguente insorgenza di controversie con i Clienti</t>
  </si>
  <si>
    <t>Limitato</t>
  </si>
  <si>
    <t>Il fornitore ha a disposizione un’utenza aziendale per  accedere ai sistemi informativi aziendali</t>
  </si>
  <si>
    <t>Medio</t>
  </si>
  <si>
    <t>La risorsa in oggetto è bloccante per il servizio in oggetto, infatti qualora fosse indisponibile l’erogazione del servizio verrebbe compromessa</t>
  </si>
  <si>
    <t>Rilocazione Addetti Critici su Sedi Alternative</t>
  </si>
  <si>
    <t>Gli addetti critici del servizio in oggetto, in caso di indisponibilità dei siti primari presso cui operano, dovranno essere trasferiti presso una sede alternativa durante il periodo di emergenza</t>
  </si>
  <si>
    <t>L’evento di rischio si è verificato almeno una volta negli ultimi 3 anni</t>
  </si>
  <si>
    <t>servizio che comprende strutture, o gruppi di strutture, dedicate a ospitare, interconnettere e far funzionare in modo centralizzato apparecchiature informatiche e di rete che forniscono servizi di conservazione, elaborazione e trasporto di dati insieme a tutti gli impianti e le infrastrutture per la distribuzione dell'energia e il controllo ambientale</t>
  </si>
  <si>
    <t>Significativo</t>
  </si>
  <si>
    <t xml:space="preserve">Impatto economico effettivo / potenziale &gt; 0,5% EBITDA e &lt;= 1% EBITDA </t>
  </si>
  <si>
    <t>Notizia su media nazionale con esposizione mediatica di breve periodo
Notizia diffusa da alcuni canali web/social con effetti temporanei ma rilevanti sulla relazione con alcuni gruppi di stakeholder (dipendenti, fornitori) senza impatti sulla capacità di business</t>
  </si>
  <si>
    <t>Violazione di normative nazionali o internazionali da cui derivano sanzioni con modesti effetti a livello reputazionale
Sanzioni amministrative/penali di modesta entità</t>
  </si>
  <si>
    <t>Rilevante, ma temporanea, interruzione della continuità delle attività limitata ad un numero medio di processi/aree, utenti e / o asset
Impatto operativo sul business, con ricadute sui Clienti, che richiede il coinvolgimento del management fuori dall’ordinario
Perdita di qualità dei servizi percepita dai Clienti con conseguente presentazione di reclami formali</t>
  </si>
  <si>
    <t>Operativo</t>
  </si>
  <si>
    <t>Il fornitore accede a sistemi informativi aziendali per esecuzione di attività operative (es utilizzo tool di trouble ticketing)</t>
  </si>
  <si>
    <t>Importante</t>
  </si>
  <si>
    <t>La risorsa in oggetto non è bloccante per il servizio in oggetto, ma qualora fosse indisponibile l’erogazione del servizio subirebbe forti rallentamenti</t>
  </si>
  <si>
    <t>Remote Working + Rilocazione Addetti Critici su Sedi Alternative</t>
  </si>
  <si>
    <t>Possibile Combinazione degli altri scenari</t>
  </si>
  <si>
    <t>L’evento di rischio si è verificato almeno una volta nell’ultimo anno o più volte negli ultimi 3 anni</t>
  </si>
  <si>
    <t>rete di server distribuiti geograficamente allo scopo di garantire l'elevata disponibilità, l'accessibilità o la rapida distribuzione di contenuti e servizi digitali agli utenti di internet per conto di fornitori di contenuti e servizi;</t>
  </si>
  <si>
    <t>Contenuto</t>
  </si>
  <si>
    <t>Impatto economico effettivo / potenziale &gt; 0,1% EBITDA e &lt;= 0,5% EBITDA</t>
  </si>
  <si>
    <t>Notizia su media locale con esposizione mediatica di breve periodo
Notizia diffusa da vari canali web/social con moderata diffusione/viralità e con effetti temporanei</t>
  </si>
  <si>
    <t>Violazione di normative nazionali o internazionali da cui derivano sanzioni con limitati effetti a livello reputazionale
Sanzioni Amministrative/penali di trascurabile entità</t>
  </si>
  <si>
    <t>Lieve interruzione della continuità delle attività limitata ad un solo processo/area e / o ad uno specifico target di utenti e/o di asset
Impatto operativo solo all’interno dell’organizzazione che richiede un impegno minimo del management
Perdita di qualità dei servizi percepita dai Clienti con conseguente presentazione di rimostranze «informali»</t>
  </si>
  <si>
    <t>Amministrativo</t>
  </si>
  <si>
    <t>il fornitore dispone di privilegi di Amministratori di Sistema</t>
  </si>
  <si>
    <t>Nice to have</t>
  </si>
  <si>
    <t>Qualora la risorsa in oggetto fosse indisponibile sarebbe possibile continuare a erogare il servizio a un livello di qualità minimo accettabile</t>
  </si>
  <si>
    <t>Trasferimento Operatività su Personale Interno Operante presso un'altra Sede</t>
  </si>
  <si>
    <t>L'operatività dei processi che concorrono all'erogazione del servizio in oggetto viene presa in carico dagli addetti critici che operano presso un'altra sede non impattata dall'indisponibilità</t>
  </si>
  <si>
    <t>L’evento di rischio si è verificato più volte nell’ultimo anno (da 2 a 5 volte)</t>
  </si>
  <si>
    <t xml:space="preserve">servizio elettronico consistente nei seguenti elementi: a) creazione, verifica e convalida di firme elettroniche, sigilli elettronici o validazioni temporali elettroniche, servizi elettronici di recapito certificato e certificati relativi a tali servizi; oppure b) creazione, verifica e convalida di certificati di autenticazione di siti web; o c) conservazione di firme, sigilli o certificati elettronici relativi a tali servizi; </t>
  </si>
  <si>
    <t>Trascurabile</t>
  </si>
  <si>
    <t>Impatto economico effettivo / potenziale &lt;= 0,1% EBITDA</t>
  </si>
  <si>
    <t>Notizia su media locale
Notizia diffusa da singoli canali web/social con bassa diffusione/viralità con effetti trascurabili</t>
  </si>
  <si>
    <t>Osservazioni / Ammonimenti da parte dell’autorità giudiziaria/Autority
Nessuna sanzione amministrativa/penale</t>
  </si>
  <si>
    <t>Minima interruzione della continuità delle attività, limitata ad un solo processo/area e / o a un numero molto limitato di utenti e / o asset
Impatto operativo sull’organizzazione facilmente assorbibile attraverso la normale attività
Basso impatto sulla qualità del servizio, non percepito dai Clienti</t>
  </si>
  <si>
    <t>Accesso a dati e proprietà intellettuale in base alla criticità</t>
  </si>
  <si>
    <t>Remote Working + Trasferimento Operatività su Personale Interno Operante presso un'altra Sede</t>
  </si>
  <si>
    <t>L’evento di rischio si è verificato molto frequentemente nell’ultimo anno (più di 5 volte)</t>
  </si>
  <si>
    <t>Servizio relativo all'installazione, alla gestione, al funzionamento o alla manutenzione di prodotti, reti infrastrutture, applicazioni TIC o di qualsiasi altro sistema informativo e di rete, tramite assistenza o amministrazione attiva effettuata nei locali dei clienti o a distanza</t>
  </si>
  <si>
    <t>Dati non sensibili</t>
  </si>
  <si>
    <t>Rilocazione Addetti Critici su Sedi Alternative + Trasferimento Operatività su Personale Interno Operante presso un'altra Sede</t>
  </si>
  <si>
    <t>Servizio prestato a un terzo consistente nello svolgiimento di attività, o nella fornitura di assistenza per tali attività, legate alla gestione dei rischi in materia di cibersicurezza, ad esempio servizi di gestione degli incidenti, test di penetrazione, audit di sicurezza e consulenza, tra cui consulenza specialistica relativa all'asistenza tecnica</t>
  </si>
  <si>
    <t>Dati interni o dati personali a basso rischio</t>
  </si>
  <si>
    <t>Remote Working + Rilocazione Addetti Critici su Sedi Alternative + Trasferimento Operatività su Personale Interno Operante presso un'altra Sede</t>
  </si>
  <si>
    <t>Piattaforma di pagamento online, sistemi di pagamento mobile e infrastrutture che supportano le transazioni elettroniche</t>
  </si>
  <si>
    <t>Dati particolari, dati personali comuni ad alto rischio, PI</t>
  </si>
  <si>
    <t>Trasferimento dell’operatività del personale indisponibile su 1 o più addetti di riserva</t>
  </si>
  <si>
    <t>L'operatività degli addetti critici indisponibili del servizio in oggetto viene presa in carico dagli addetti di riserva</t>
  </si>
  <si>
    <t>Servizio che permettono la compravendita di strumenti finanziari attraverso internet</t>
  </si>
  <si>
    <t>Impatto potenziale di un'interruzione</t>
  </si>
  <si>
    <t>Trasferimento dell’operatività del personale indisponibile su 1 o più fornitori</t>
  </si>
  <si>
    <t>L'operatività degli addetti critici indisponibili del servizio in oggetto viene presa in carico dal personale esterno di 1 o più fornitori che supportano l'erogazione del servizio</t>
  </si>
  <si>
    <t>Soluzioni per la conservazione sicura e l'accesso a registri finanziari, contratti e comunicazioni</t>
  </si>
  <si>
    <t>Nice to Have</t>
  </si>
  <si>
    <t>Trasferimento dell’operatività del personale indisponibile su 1 o più addetti di riserva e su 1 o più fornitori</t>
  </si>
  <si>
    <t>servizio che utilizza un software, compresi siti web, parte di siti web o un'applicazione, gestito da o per conto del professionista, che permette ai consumatori di concludere contratti a distanza con altri professionisti o consumatori</t>
  </si>
  <si>
    <t>Attivazione Disaster Recovery (DR)</t>
  </si>
  <si>
    <t>Attivazione, se prevista, della soluzione di Disaster Recovery (DR) e del relativo DR Plan per ripristinare l'applicativo indisponibile presso il sito secondario di DR</t>
  </si>
  <si>
    <t>servizio digitale che consente agli utenti di effettuare ricerche su siti web o database online su base tematica, mediante l'immissione di una query sotto forma di parola chiave, frase o altro input.</t>
  </si>
  <si>
    <t>Attivazione workaround</t>
  </si>
  <si>
    <t>Attivazione, ove possibile, delle procedure alternative per garantire l'erogazione delle attività critiche anche in caso di indisponibilità dell'applicativo in oggetto (es. gestione ticket tramite mail)</t>
  </si>
  <si>
    <t>piattaforma che consente agli utenti finali di entrare in contatto, condividere, scoprire e comunicare gli uni con gli altri su molteplici dispositivi, in particolare, attraverso chat, post, video e raccomandazioni;</t>
  </si>
  <si>
    <t>Tempi e costi di ripristino</t>
  </si>
  <si>
    <t>Ripristino rapido e a basso costo</t>
  </si>
  <si>
    <t>Disponibili soluzioni alternative interne o di backup.</t>
  </si>
  <si>
    <t>Attivazione DR e workaround</t>
  </si>
  <si>
    <t>Qualsiasi prodotto software o hardware e le relative soluzioni di elaborazione dati da remoto, compresi i componenti software o hardware immesso sul mercato separatamente</t>
  </si>
  <si>
    <t>Ripristino gestibile in tempi moderati, con costi contenuti</t>
  </si>
  <si>
    <t>Disponibilità parziale di alternative.</t>
  </si>
  <si>
    <t>Recovery da backup</t>
  </si>
  <si>
    <t>Ripristino del sistema indisponibile attraverso la procedura di recovery del relativo backup</t>
  </si>
  <si>
    <t>Sviluppo e/o deploy di un sistema automatizzato progettato per funzionare con livelli di autonomia variabili e che può presentare adattabilità dopo la diffusione e che, per obiettivi espliciti o impliciti, deduce dall'input che riceve come generare output quali previsioni, contenuti, raccomandazioni o decisioni che possono influenzare ambienti fisici o virtuali</t>
  </si>
  <si>
    <t>Ripristino lento o costoso, alta dipendenza</t>
  </si>
  <si>
    <t>Nessuna alternativa interna immediata.</t>
  </si>
  <si>
    <t>Attivazione DR e recovery da backup</t>
  </si>
  <si>
    <t>Servizio che non ricade in nessuna delle casistiche sopra descritte</t>
  </si>
  <si>
    <t>Ripristino complesso e molto costoso</t>
  </si>
  <si>
    <t>Totalmente dipendenti dal fornitore. Tempi lunghi.</t>
  </si>
  <si>
    <t>Attivazione workaround e recovery da backup</t>
  </si>
  <si>
    <t>Ruolo nella gestione dei sistemi</t>
  </si>
  <si>
    <t>Nessuna</t>
  </si>
  <si>
    <t xml:space="preserve"> Il fornitore non ha alcuna responsabilità nella gestione dei sistemi.</t>
  </si>
  <si>
    <t>Monitoraggio atttivazione presidio di BC dei fornitori</t>
  </si>
  <si>
    <t>Monitoraggio delle soluzioni di Business Continuity che il fornitore ha attivato per ripristinare il proprio servizio fornito al Gruppo Engineering per supportare l'erogazione del servizio in oggetto</t>
  </si>
  <si>
    <t>Supporto o Assistenza</t>
  </si>
  <si>
    <t>Il fornitore fornisce solo supporto o assistenza tecnica, senza accesso privilegiato e senza potere decisionale.</t>
  </si>
  <si>
    <t>Trasferimento operatività del fornitore indisponibile su fornitore alternativo</t>
  </si>
  <si>
    <t>L'operatività del fornitore indisponibile viene presa in carico da un fornitore alternativo durante il periodo di emergenza</t>
  </si>
  <si>
    <t>Gestione Sistemi IT Senza Privilegi</t>
  </si>
  <si>
    <t xml:space="preserve"> Il fornitore collabora attivamente alla gestione dei sistemi o processi IT, con accessi regolari e ruoli condivisi.</t>
  </si>
  <si>
    <t>Trasferimento operatività del fornitore indisponibile su personale interno</t>
  </si>
  <si>
    <t>L'operatività del fornitore indisponibile viene presa in carico dal personale interno del Gruppo Engineering</t>
  </si>
  <si>
    <t>Gestione Sistemi IT Con Privilegi</t>
  </si>
  <si>
    <t>Il fornitore ha controllo diretto, privilegiato e continuativo su componenti critici dei sistemi informativi o di rete.</t>
  </si>
  <si>
    <t>Monitoraggio atttivazione presidio di BC dei fornitori + Trasferimento operatività del fornitore indisponibile su fornitore alternativo</t>
  </si>
  <si>
    <t>Monitoraggio atttivazione presidio di BC dei fornitori + Trasferimento operatività del fornitore indisponibile su personale interno</t>
  </si>
  <si>
    <t>Trasferimento operatività del fornitore indisponibile su fornitore alternativo e personale interno</t>
  </si>
  <si>
    <t>Monitoraggio atttivazione presidio di BC dei fornitori + Trasferimento operatività del fornitore indisponibile su fornitore alternativo e personale interno</t>
  </si>
  <si>
    <t>Attivazione, se prevista, della soluzione di Disaster Recovery (DR) e del relativo DR Plan per ripristinare l'applicativo indisponibile presso il sito secondario di DR con al suo interno la documentazione critica</t>
  </si>
  <si>
    <t>Recovery da Backup</t>
  </si>
  <si>
    <t>Ripristino della documentazione critica indisponibile attraverso la procedura di recovery del relativo backup</t>
  </si>
  <si>
    <t>Attivazione DR e/o Recovery da backup</t>
  </si>
  <si>
    <t>L'operatività del personale con la PdL indisponibil,  incaricato del servizio in oggetto, viene presa in carico dagli addetti di riserva</t>
  </si>
  <si>
    <t>Recupero muletto di emergenza presso la propria sede di competenza</t>
  </si>
  <si>
    <t xml:space="preserve">La PdL indisponibile viene sostituita da un muletto di emergenza </t>
  </si>
  <si>
    <t>Trasferimento dell’operatività del personale indisponibile su 1 o più addetti di riserva + Recupero muletto di emergenza presso la propria sede di competenza</t>
  </si>
  <si>
    <t>Alta affidabilità</t>
  </si>
  <si>
    <t>Si verifica quando, nell’ambiente di produzione, è presente una coppia di firewall configurati in modo che, in caso di guasto di uno, il traffico venga automaticamente instradato sull’altro, garantendo la continuità del servizio</t>
  </si>
  <si>
    <t xml:space="preserve">Attivazione, se prevista, della soluzione di Disaster Recovery (DR) e del relativo DR Plan per ripristinare l'infrastruttura indisponibile </t>
  </si>
  <si>
    <t>Ripristino del'infrastruttura indisponibile attraverso la procedura di recovery del relativo backup</t>
  </si>
  <si>
    <t>Alta affidabilità + Attivazione Disaster Recovery (DR)</t>
  </si>
  <si>
    <t>Alta affidabilità + Recovery da Backup</t>
  </si>
  <si>
    <t>Recovery da Backup + Attivazione Disaster Recovery (DR)</t>
  </si>
  <si>
    <t>Alta affidabilità + Attivazione Disaster Recovery (DR) + Recovery da Backup</t>
  </si>
  <si>
    <t>PARAMETRI CYBER &amp; BC RISK ASSESSMENT</t>
  </si>
  <si>
    <t>Matrice della probabilità</t>
  </si>
  <si>
    <t>Livello Probabilità</t>
  </si>
  <si>
    <t>Val Prob</t>
  </si>
  <si>
    <t>Descrizione (Base Storica)</t>
  </si>
  <si>
    <t>Descrizione (Base Predittiva)</t>
  </si>
  <si>
    <t>Si prevede che l’evento di rischio si verificherà molto frequentemente nel prossimo anno</t>
  </si>
  <si>
    <t>Si prevede che l’evento di rischio si verificherà più volte nel prossimo anno</t>
  </si>
  <si>
    <t>L’evento di rischio si è verificato almeno una volta nell’ultimo anno più volte negli ultimi 3 anni</t>
  </si>
  <si>
    <t>Si prevede che l’evento di rischio si verificherà: almeno una volta nel prossimo anno più volte nei prossimi 3 anni</t>
  </si>
  <si>
    <t>Si prevede che l’evento di rischio si verificherà almeno una volta nei prossimi 3 anni</t>
  </si>
  <si>
    <t>L’evento di rischio non si è verificato negli ultimi 3 anni</t>
  </si>
  <si>
    <t xml:space="preserve">Si prevede che l’evento di rischio non si verificherà nei prossimi 3 anni </t>
  </si>
  <si>
    <t>Matrice dei Livelli di Maturità dei Controlli di Sicurezza</t>
  </si>
  <si>
    <t>Livello di Maturità</t>
  </si>
  <si>
    <t>Valore</t>
  </si>
  <si>
    <t>% Mitigazione</t>
  </si>
  <si>
    <t>Controllo Implementato correttamente in tutte le sue parti</t>
  </si>
  <si>
    <t>Controllo implementato parzialmente. Si riscontrano aree di miglioramento</t>
  </si>
  <si>
    <t>Controllo assente</t>
  </si>
  <si>
    <t>Matrice per Valutazione Impatto Residuo</t>
  </si>
  <si>
    <t>Val Impatto Inerente</t>
  </si>
  <si>
    <t>Liv. Imp. Inerente</t>
  </si>
  <si>
    <t>Livello</t>
  </si>
  <si>
    <t>Val di Mitigazione</t>
  </si>
  <si>
    <t>Soglia Max</t>
  </si>
  <si>
    <t>Soglia Min</t>
  </si>
  <si>
    <t>Maturità dei Controlli di Sicurezza e Fattori di Mitigazione dell'Impatto</t>
  </si>
  <si>
    <t>Matrice per Valutazione Probabilità Residua</t>
  </si>
  <si>
    <t>Val</t>
  </si>
  <si>
    <t>Liv. Probabilità Inerente</t>
  </si>
  <si>
    <t>Val di riferimento</t>
  </si>
  <si>
    <t>Maturità dei Controlli di Sicurezza e Fattori di Mitigazione della Probabilità</t>
  </si>
  <si>
    <t>Matrice per Valutazione Rischio (Inerente &amp; Residuo)</t>
  </si>
  <si>
    <t xml:space="preserve">Val Probablità </t>
  </si>
  <si>
    <t>Liv Probablità</t>
  </si>
  <si>
    <t>Livello Impatto</t>
  </si>
  <si>
    <t>Val Impatto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</si>
</sst>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57" x14ac:knownFonts="1">
    <font>
      <sz val="11"/>
      <color theme="1"/>
      <name val="Calibri"/>
      <family val="2"/>
      <scheme val="minor"/>
    </font>
    <font>
      <sz val="8"/>
      <name val="Calibri"/>
      <family val="2"/>
      <scheme val="minor"/>
    </font>
    <font>
      <sz val="10"/>
      <name val="Arial"/>
      <family val="2"/>
    </font>
    <font>
      <sz val="11"/>
      <color theme="1"/>
      <name val="Calibri"/>
      <family val="2"/>
      <scheme val="minor"/>
    </font>
    <font>
      <sz val="12"/>
      <color theme="1"/>
      <name val="Calibri"/>
      <family val="2"/>
      <scheme val="minor"/>
    </font>
    <font>
      <u/>
      <sz val="11"/>
      <color theme="10"/>
      <name val="Calibri"/>
      <family val="2"/>
      <scheme val="minor"/>
    </font>
    <font>
      <sz val="11"/>
      <color rgb="FF000000"/>
      <name val="Calibri"/>
      <family val="2"/>
    </font>
    <font>
      <b/>
      <sz val="11"/>
      <color theme="1"/>
      <name val="CocoEng"/>
      <family val="3"/>
    </font>
    <font>
      <sz val="11"/>
      <color theme="1"/>
      <name val="CocoEng"/>
      <family val="3"/>
    </font>
    <font>
      <sz val="11"/>
      <name val="CocoEng"/>
      <family val="3"/>
    </font>
    <font>
      <b/>
      <sz val="11"/>
      <name val="CocoEng"/>
      <family val="3"/>
    </font>
    <font>
      <sz val="11"/>
      <color theme="0"/>
      <name val="CocoEng"/>
      <family val="3"/>
    </font>
    <font>
      <sz val="8"/>
      <color theme="0"/>
      <name val="CocoEng"/>
      <family val="3"/>
    </font>
    <font>
      <sz val="11"/>
      <color rgb="FFFF0000"/>
      <name val="CocoEng"/>
      <family val="3"/>
    </font>
    <font>
      <sz val="9"/>
      <name val="CocoEng"/>
      <family val="3"/>
    </font>
    <font>
      <b/>
      <sz val="14"/>
      <color theme="1"/>
      <name val="CocoEng"/>
      <family val="3"/>
    </font>
    <font>
      <sz val="14"/>
      <color theme="1"/>
      <name val="CocoEng"/>
      <family val="3"/>
    </font>
    <font>
      <sz val="12"/>
      <color theme="1"/>
      <name val="CocoEng"/>
      <family val="3"/>
    </font>
    <font>
      <b/>
      <sz val="11"/>
      <color theme="0"/>
      <name val="CocoEng"/>
      <family val="3"/>
    </font>
    <font>
      <sz val="8"/>
      <color theme="1"/>
      <name val="CocoEng"/>
      <family val="3"/>
    </font>
    <font>
      <b/>
      <sz val="10"/>
      <color theme="1"/>
      <name val="CocoEng"/>
      <family val="3"/>
    </font>
    <font>
      <sz val="10"/>
      <color theme="1"/>
      <name val="CocoEng"/>
      <family val="3"/>
    </font>
    <font>
      <b/>
      <sz val="9"/>
      <color theme="1"/>
      <name val="CocoEng"/>
      <family val="3"/>
    </font>
    <font>
      <sz val="9"/>
      <color theme="1"/>
      <name val="CocoEng"/>
      <family val="3"/>
    </font>
    <font>
      <b/>
      <sz val="10"/>
      <color theme="0"/>
      <name val="CocoEng"/>
      <family val="3"/>
    </font>
    <font>
      <b/>
      <sz val="9"/>
      <color theme="0"/>
      <name val="CocoEng"/>
      <family val="3"/>
    </font>
    <font>
      <sz val="9"/>
      <color theme="0"/>
      <name val="CocoEng"/>
      <family val="3"/>
    </font>
    <font>
      <u/>
      <sz val="11"/>
      <color theme="10"/>
      <name val="CocoEng"/>
      <family val="3"/>
    </font>
    <font>
      <u/>
      <sz val="9"/>
      <color theme="10"/>
      <name val="CocoEng"/>
      <family val="3"/>
    </font>
    <font>
      <sz val="11"/>
      <color rgb="FF000000"/>
      <name val="CocoEng"/>
      <family val="3"/>
    </font>
    <font>
      <b/>
      <sz val="16"/>
      <color rgb="FF983366"/>
      <name val="CocoEng"/>
      <family val="3"/>
    </font>
    <font>
      <sz val="11"/>
      <color rgb="FF36256B"/>
      <name val="CocoEng"/>
      <family val="3"/>
    </font>
    <font>
      <b/>
      <sz val="16"/>
      <color theme="0"/>
      <name val="CocoEng"/>
      <family val="3"/>
    </font>
    <font>
      <b/>
      <sz val="12"/>
      <color theme="0"/>
      <name val="CocoEng"/>
      <family val="3"/>
    </font>
    <font>
      <b/>
      <sz val="12"/>
      <color theme="1"/>
      <name val="CocoEng"/>
      <family val="3"/>
    </font>
    <font>
      <b/>
      <sz val="11"/>
      <color rgb="FFFFFFFF"/>
      <name val="CocoEng"/>
      <family val="3"/>
    </font>
    <font>
      <sz val="8"/>
      <color theme="1"/>
      <name val="Segoe UI"/>
      <family val="2"/>
    </font>
    <font>
      <b/>
      <sz val="18"/>
      <color theme="1"/>
      <name val="Calibri"/>
      <family val="2"/>
      <scheme val="minor"/>
    </font>
    <font>
      <u/>
      <sz val="11"/>
      <color theme="1"/>
      <name val="CocoEng"/>
      <family val="3"/>
    </font>
    <font>
      <i/>
      <sz val="12"/>
      <color theme="1"/>
      <name val="CocoEng"/>
      <family val="3"/>
    </font>
    <font>
      <b/>
      <sz val="10"/>
      <name val="CocoEng"/>
      <family val="3"/>
    </font>
    <font>
      <sz val="9"/>
      <color rgb="FFFF0000"/>
      <name val="CocoEng"/>
      <family val="3"/>
    </font>
    <font>
      <b/>
      <sz val="9"/>
      <name val="CocoEng"/>
      <family val="3"/>
    </font>
    <font>
      <b/>
      <u/>
      <sz val="9"/>
      <name val="CocoEng"/>
      <family val="3"/>
    </font>
    <font>
      <b/>
      <i/>
      <sz val="9"/>
      <name val="CocoEng"/>
      <family val="3"/>
    </font>
    <font>
      <i/>
      <sz val="9"/>
      <name val="CocoEng"/>
      <family val="3"/>
    </font>
    <font>
      <sz val="10"/>
      <color theme="0"/>
      <name val="CocoEng"/>
      <family val="3"/>
    </font>
    <font>
      <b/>
      <sz val="9"/>
      <color rgb="FF000000"/>
      <name val="CocoEng"/>
      <family val="3"/>
    </font>
    <font>
      <sz val="9"/>
      <color theme="10"/>
      <name val="CocoEng"/>
      <family val="3"/>
    </font>
    <font>
      <sz val="7.2"/>
      <color theme="1"/>
      <name val="CocoEng"/>
      <family val="3"/>
    </font>
    <font>
      <b/>
      <sz val="18"/>
      <color theme="1"/>
      <name val="CocoEng"/>
      <family val="3"/>
    </font>
    <font>
      <b/>
      <sz val="9"/>
      <color rgb="FFFFFFFF"/>
      <name val="CocoEng"/>
      <family val="3"/>
    </font>
    <font>
      <sz val="9"/>
      <color rgb="FF000000"/>
      <name val="CocoEng"/>
      <family val="3"/>
    </font>
    <font>
      <sz val="10"/>
      <color rgb="FF000000"/>
      <name val="CocoEng"/>
      <family val="3"/>
    </font>
    <font>
      <sz val="10"/>
      <name val="CocoEng"/>
      <family val="3"/>
    </font>
    <font>
      <b/>
      <sz val="11"/>
      <color rgb="FF000000"/>
      <name val="CocoEng"/>
      <family val="3"/>
    </font>
    <font>
      <b/>
      <sz val="11"/>
      <color rgb="FF36256B"/>
      <name val="CocoEng"/>
      <family val="3"/>
    </font>
  </fonts>
  <fills count="39">
    <fill>
      <patternFill patternType="none"/>
    </fill>
    <fill>
      <patternFill patternType="gray125"/>
    </fill>
    <fill>
      <patternFill patternType="solid">
        <fgColor rgb="FFFFC000"/>
        <bgColor indexed="64"/>
      </patternFill>
    </fill>
    <fill>
      <patternFill patternType="solid">
        <fgColor theme="0" tint="-4.9989318521683403E-2"/>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249977111117893"/>
        <bgColor indexed="64"/>
      </patternFill>
    </fill>
    <fill>
      <patternFill patternType="solid">
        <fgColor rgb="FFFF0000"/>
        <bgColor indexed="64"/>
      </patternFill>
    </fill>
    <fill>
      <patternFill patternType="solid">
        <fgColor rgb="FF002060"/>
        <bgColor indexed="64"/>
      </patternFill>
    </fill>
    <fill>
      <patternFill patternType="solid">
        <fgColor theme="7" tint="-0.499984740745262"/>
        <bgColor indexed="64"/>
      </patternFill>
    </fill>
    <fill>
      <patternFill patternType="solid">
        <fgColor rgb="FF92D050"/>
        <bgColor indexed="64"/>
      </patternFill>
    </fill>
    <fill>
      <patternFill patternType="solid">
        <fgColor theme="5" tint="-0.499984740745262"/>
        <bgColor indexed="64"/>
      </patternFill>
    </fill>
    <fill>
      <patternFill patternType="solid">
        <fgColor rgb="FFFFFFFF"/>
        <bgColor indexed="64"/>
      </patternFill>
    </fill>
    <fill>
      <patternFill patternType="solid">
        <fgColor rgb="FF6E2449"/>
        <bgColor indexed="64"/>
      </patternFill>
    </fill>
    <fill>
      <patternFill patternType="solid">
        <fgColor rgb="FF17175F"/>
        <bgColor indexed="64"/>
      </patternFill>
    </fill>
    <fill>
      <patternFill patternType="solid">
        <fgColor rgb="FF1A2911"/>
        <bgColor indexed="64"/>
      </patternFill>
    </fill>
    <fill>
      <patternFill patternType="solid">
        <fgColor rgb="FF993366"/>
        <bgColor indexed="64"/>
      </patternFill>
    </fill>
    <fill>
      <patternFill patternType="solid">
        <fgColor theme="8" tint="-0.499984740745262"/>
        <bgColor indexed="64"/>
      </patternFill>
    </fill>
    <fill>
      <patternFill patternType="solid">
        <fgColor theme="9" tint="-0.499984740745262"/>
        <bgColor indexed="64"/>
      </patternFill>
    </fill>
    <fill>
      <patternFill patternType="solid">
        <fgColor rgb="FF77274F"/>
        <bgColor indexed="64"/>
      </patternFill>
    </fill>
    <fill>
      <patternFill patternType="solid">
        <fgColor theme="3" tint="-0.499984740745262"/>
        <bgColor indexed="64"/>
      </patternFill>
    </fill>
    <fill>
      <patternFill patternType="solid">
        <fgColor theme="0" tint="-0.499984740745262"/>
        <bgColor indexed="64"/>
      </patternFill>
    </fill>
    <fill>
      <patternFill patternType="solid">
        <fgColor rgb="FF74264D"/>
        <bgColor indexed="64"/>
      </patternFill>
    </fill>
    <fill>
      <patternFill patternType="solid">
        <fgColor rgb="FFC00000"/>
        <bgColor indexed="64"/>
      </patternFill>
    </fill>
    <fill>
      <patternFill patternType="solid">
        <fgColor rgb="FFC34986"/>
        <bgColor indexed="64"/>
      </patternFill>
    </fill>
    <fill>
      <patternFill patternType="solid">
        <fgColor rgb="FF7030A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theme="6" tint="0.59999389629810485"/>
      </patternFill>
    </fill>
    <fill>
      <patternFill patternType="solid">
        <fgColor theme="0"/>
        <bgColor theme="6" tint="0.79998168889431442"/>
      </patternFill>
    </fill>
    <fill>
      <patternFill patternType="solid">
        <fgColor theme="0" tint="-4.9989318521683403E-2"/>
        <bgColor theme="6" tint="0.79998168889431442"/>
      </patternFill>
    </fill>
    <fill>
      <patternFill patternType="solid">
        <fgColor theme="0" tint="-4.9989318521683403E-2"/>
        <bgColor theme="6" tint="0.59999389629810485"/>
      </patternFill>
    </fill>
    <fill>
      <patternFill patternType="solid">
        <fgColor rgb="FFFFFFFF"/>
        <bgColor rgb="FF000000"/>
      </patternFill>
    </fill>
    <fill>
      <patternFill patternType="darkDown">
        <bgColor theme="0"/>
      </patternFill>
    </fill>
    <fill>
      <patternFill patternType="solid">
        <fgColor theme="4" tint="-0.499984740745262"/>
        <bgColor indexed="64"/>
      </patternFill>
    </fill>
    <fill>
      <patternFill patternType="solid">
        <fgColor theme="4" tint="-0.249977111117893"/>
        <bgColor indexed="64"/>
      </patternFill>
    </fill>
  </fills>
  <borders count="58">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style="thin">
        <color indexed="64"/>
      </top>
      <bottom style="thin">
        <color indexed="64"/>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bottom style="thin">
        <color theme="0" tint="-0.499984740745262"/>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0"/>
      </right>
      <top/>
      <bottom/>
      <diagonal/>
    </border>
    <border>
      <left style="thin">
        <color theme="0"/>
      </left>
      <right style="thin">
        <color theme="0"/>
      </right>
      <top style="thin">
        <color indexed="64"/>
      </top>
      <bottom style="thin">
        <color indexed="64"/>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indexed="64"/>
      </right>
      <top/>
      <bottom/>
      <diagonal/>
    </border>
    <border>
      <left style="thin">
        <color indexed="64"/>
      </left>
      <right style="thin">
        <color indexed="64"/>
      </right>
      <top/>
      <bottom/>
      <diagonal/>
    </border>
    <border>
      <left style="thin">
        <color theme="0" tint="-0.499984740745262"/>
      </left>
      <right style="thin">
        <color theme="0" tint="-0.499984740745262"/>
      </right>
      <top/>
      <bottom/>
      <diagonal/>
    </border>
    <border>
      <left/>
      <right style="thin">
        <color indexed="64"/>
      </right>
      <top/>
      <bottom style="thin">
        <color indexed="64"/>
      </bottom>
      <diagonal/>
    </border>
    <border>
      <left/>
      <right style="thin">
        <color indexed="64"/>
      </right>
      <top style="thin">
        <color theme="4" tint="0.39997558519241921"/>
      </top>
      <bottom style="thin">
        <color indexed="64"/>
      </bottom>
      <diagonal/>
    </border>
    <border>
      <left/>
      <right style="thin">
        <color indexed="64"/>
      </right>
      <top/>
      <bottom style="thin">
        <color theme="4" tint="0.39997558519241921"/>
      </bottom>
      <diagonal/>
    </border>
    <border>
      <left style="thin">
        <color auto="1"/>
      </left>
      <right/>
      <top/>
      <bottom style="thin">
        <color auto="1"/>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right/>
      <top style="thin">
        <color theme="0" tint="-0.499984740745262"/>
      </top>
      <bottom style="thin">
        <color theme="0" tint="-0.499984740745262"/>
      </bottom>
      <diagonal/>
    </border>
  </borders>
  <cellStyleXfs count="9">
    <xf numFmtId="0" fontId="0" fillId="0" borderId="0"/>
    <xf numFmtId="0" fontId="2" fillId="0" borderId="0"/>
    <xf numFmtId="0" fontId="2" fillId="0" borderId="0"/>
    <xf numFmtId="9" fontId="3"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xf numFmtId="0" fontId="3" fillId="0" borderId="0"/>
    <xf numFmtId="0" fontId="3" fillId="0" borderId="0"/>
  </cellStyleXfs>
  <cellXfs count="489">
    <xf numFmtId="0" fontId="0" fillId="0" borderId="0" xfId="0"/>
    <xf numFmtId="0" fontId="8" fillId="0" borderId="0" xfId="0" applyFont="1"/>
    <xf numFmtId="0" fontId="11" fillId="0" borderId="0" xfId="0" applyFont="1"/>
    <xf numFmtId="0" fontId="8" fillId="0" borderId="0" xfId="0" applyFont="1" applyAlignment="1">
      <alignment wrapText="1"/>
    </xf>
    <xf numFmtId="0" fontId="7" fillId="0" borderId="0" xfId="0" applyFont="1"/>
    <xf numFmtId="0" fontId="7" fillId="0" borderId="0" xfId="0" applyFont="1" applyAlignment="1">
      <alignment wrapText="1"/>
    </xf>
    <xf numFmtId="0" fontId="11" fillId="0" borderId="0" xfId="0" applyFont="1" applyAlignment="1">
      <alignment vertical="center"/>
    </xf>
    <xf numFmtId="0" fontId="19" fillId="0" borderId="0" xfId="0" applyFont="1" applyAlignment="1">
      <alignment vertical="center"/>
    </xf>
    <xf numFmtId="0" fontId="19" fillId="0" borderId="0" xfId="0" applyFont="1" applyAlignment="1">
      <alignment vertical="center" wrapText="1"/>
    </xf>
    <xf numFmtId="0" fontId="23" fillId="0" borderId="0" xfId="0" applyFont="1" applyAlignment="1">
      <alignment horizontal="left"/>
    </xf>
    <xf numFmtId="0" fontId="23" fillId="0" borderId="0" xfId="0" applyFont="1"/>
    <xf numFmtId="0" fontId="23" fillId="0" borderId="0" xfId="0" applyFont="1" applyAlignment="1">
      <alignment horizontal="left" wrapText="1"/>
    </xf>
    <xf numFmtId="0" fontId="26" fillId="0" borderId="0" xfId="0" applyFont="1"/>
    <xf numFmtId="0" fontId="23" fillId="0" borderId="0" xfId="0" applyFont="1" applyAlignment="1">
      <alignment horizontal="center"/>
    </xf>
    <xf numFmtId="0" fontId="23" fillId="0" borderId="0" xfId="0" quotePrefix="1" applyFont="1" applyAlignment="1">
      <alignment horizontal="center" vertical="top" wrapText="1"/>
    </xf>
    <xf numFmtId="0" fontId="23" fillId="0" borderId="0" xfId="0" applyFont="1" applyAlignment="1">
      <alignment vertical="center"/>
    </xf>
    <xf numFmtId="0" fontId="23" fillId="0" borderId="0" xfId="0" applyFont="1" applyAlignment="1">
      <alignment horizontal="center" vertical="center"/>
    </xf>
    <xf numFmtId="0" fontId="23" fillId="0" borderId="0" xfId="0" applyFont="1" applyAlignment="1">
      <alignment vertical="center" wrapText="1"/>
    </xf>
    <xf numFmtId="0" fontId="14" fillId="0" borderId="0" xfId="0" applyFont="1" applyAlignment="1">
      <alignment vertical="center"/>
    </xf>
    <xf numFmtId="0" fontId="13" fillId="0" borderId="0" xfId="0" applyFont="1" applyAlignment="1">
      <alignment vertical="top" wrapText="1"/>
    </xf>
    <xf numFmtId="0" fontId="14" fillId="0" borderId="0" xfId="0" applyFont="1" applyAlignment="1">
      <alignment horizontal="left"/>
    </xf>
    <xf numFmtId="0" fontId="11" fillId="0" borderId="0" xfId="0" applyFont="1" applyAlignment="1">
      <alignment vertical="top" wrapText="1"/>
    </xf>
    <xf numFmtId="0" fontId="13" fillId="0" borderId="0" xfId="0" applyFont="1" applyAlignment="1">
      <alignment horizontal="center" vertical="top" wrapText="1"/>
    </xf>
    <xf numFmtId="0" fontId="9" fillId="0" borderId="0" xfId="0" applyFont="1" applyAlignment="1">
      <alignment vertical="top" wrapText="1"/>
    </xf>
    <xf numFmtId="0" fontId="8" fillId="0" borderId="0" xfId="0" applyFont="1" applyAlignment="1">
      <alignment vertical="top" wrapText="1"/>
    </xf>
    <xf numFmtId="0" fontId="18" fillId="11" borderId="0" xfId="0" applyFont="1" applyFill="1" applyAlignment="1">
      <alignment horizontal="center" vertical="top" wrapText="1"/>
    </xf>
    <xf numFmtId="0" fontId="8" fillId="0" borderId="0" xfId="0" applyFont="1" applyAlignment="1">
      <alignment horizontal="center" vertical="top" wrapText="1"/>
    </xf>
    <xf numFmtId="0" fontId="8" fillId="15" borderId="0" xfId="0" applyFont="1" applyFill="1" applyAlignment="1">
      <alignment wrapText="1"/>
    </xf>
    <xf numFmtId="0" fontId="8" fillId="0" borderId="0" xfId="0" applyFont="1" applyAlignment="1">
      <alignment horizontal="center"/>
    </xf>
    <xf numFmtId="0" fontId="29" fillId="0" borderId="0" xfId="6" applyFont="1" applyAlignment="1" applyProtection="1">
      <alignment horizontal="center" vertical="center"/>
      <protection locked="0"/>
    </xf>
    <xf numFmtId="0" fontId="29" fillId="0" borderId="0" xfId="6" applyFont="1" applyProtection="1">
      <protection locked="0"/>
    </xf>
    <xf numFmtId="0" fontId="8" fillId="0" borderId="0" xfId="0" applyFont="1" applyAlignment="1">
      <alignment horizontal="center" vertical="center"/>
    </xf>
    <xf numFmtId="0" fontId="31" fillId="0" borderId="0" xfId="7" applyFont="1"/>
    <xf numFmtId="0" fontId="31" fillId="0" borderId="0" xfId="7" applyFont="1" applyAlignment="1">
      <alignment vertical="center" wrapText="1"/>
    </xf>
    <xf numFmtId="0" fontId="8" fillId="0" borderId="0" xfId="0" applyFont="1" applyAlignment="1">
      <alignment vertical="center"/>
    </xf>
    <xf numFmtId="0" fontId="8" fillId="0" borderId="0" xfId="0" applyFont="1" applyAlignment="1">
      <alignment vertical="top"/>
    </xf>
    <xf numFmtId="0" fontId="8" fillId="0" borderId="0" xfId="0" applyFont="1" applyAlignment="1">
      <alignment horizontal="center" vertical="center" wrapText="1"/>
    </xf>
    <xf numFmtId="0" fontId="11" fillId="15" borderId="0" xfId="0" applyFont="1" applyFill="1"/>
    <xf numFmtId="0" fontId="9" fillId="0" borderId="0" xfId="0" applyFont="1"/>
    <xf numFmtId="0" fontId="9" fillId="0" borderId="0" xfId="6" applyFont="1" applyAlignment="1" applyProtection="1">
      <alignment horizontal="center" vertical="center"/>
      <protection locked="0"/>
    </xf>
    <xf numFmtId="0" fontId="9" fillId="0" borderId="0" xfId="6" applyFont="1" applyProtection="1">
      <protection locked="0"/>
    </xf>
    <xf numFmtId="0" fontId="8" fillId="0" borderId="11" xfId="0" applyFont="1" applyBorder="1"/>
    <xf numFmtId="0" fontId="11" fillId="0" borderId="12" xfId="0" applyFont="1" applyBorder="1"/>
    <xf numFmtId="0" fontId="11" fillId="0" borderId="0" xfId="0" applyFont="1" applyAlignment="1">
      <alignment horizontal="center"/>
    </xf>
    <xf numFmtId="0" fontId="8" fillId="0" borderId="12" xfId="0" applyFont="1" applyBorder="1"/>
    <xf numFmtId="0" fontId="8" fillId="0" borderId="13" xfId="0" applyFont="1" applyBorder="1"/>
    <xf numFmtId="0" fontId="8" fillId="0" borderId="14" xfId="0" applyFont="1" applyBorder="1"/>
    <xf numFmtId="0" fontId="11" fillId="0" borderId="14" xfId="0" applyFont="1" applyBorder="1"/>
    <xf numFmtId="0" fontId="11" fillId="0" borderId="15" xfId="0" applyFont="1" applyBorder="1"/>
    <xf numFmtId="0" fontId="33" fillId="0" borderId="0" xfId="0" applyFont="1" applyAlignment="1">
      <alignment horizontal="center" vertical="center" wrapText="1"/>
    </xf>
    <xf numFmtId="0" fontId="7" fillId="0" borderId="0" xfId="0" applyFont="1" applyAlignment="1">
      <alignment vertical="center"/>
    </xf>
    <xf numFmtId="164" fontId="11" fillId="0" borderId="0" xfId="0" applyNumberFormat="1" applyFont="1"/>
    <xf numFmtId="164" fontId="11" fillId="0" borderId="12" xfId="0" applyNumberFormat="1" applyFont="1" applyBorder="1"/>
    <xf numFmtId="164" fontId="9" fillId="0" borderId="0" xfId="0" applyNumberFormat="1" applyFont="1"/>
    <xf numFmtId="0" fontId="11" fillId="0" borderId="0" xfId="6" applyFont="1" applyAlignment="1" applyProtection="1">
      <alignment vertical="center"/>
      <protection locked="0"/>
    </xf>
    <xf numFmtId="0" fontId="11" fillId="0" borderId="0" xfId="6" applyFont="1" applyAlignment="1" applyProtection="1">
      <alignment horizontal="center" vertical="center"/>
      <protection locked="0"/>
    </xf>
    <xf numFmtId="0" fontId="29" fillId="0" borderId="7" xfId="0" applyFont="1" applyBorder="1" applyAlignment="1">
      <alignment horizontal="center" vertical="center" wrapText="1"/>
    </xf>
    <xf numFmtId="9" fontId="8" fillId="0" borderId="0" xfId="3" applyFont="1"/>
    <xf numFmtId="0" fontId="8" fillId="0" borderId="0" xfId="0" quotePrefix="1" applyFont="1" applyAlignment="1">
      <alignment horizontal="right"/>
    </xf>
    <xf numFmtId="0" fontId="7" fillId="0" borderId="0" xfId="0" applyFont="1" applyAlignment="1">
      <alignment horizontal="center" wrapText="1"/>
    </xf>
    <xf numFmtId="0" fontId="7" fillId="0" borderId="0" xfId="0" applyFont="1" applyAlignment="1">
      <alignment horizontal="center"/>
    </xf>
    <xf numFmtId="0" fontId="7" fillId="0" borderId="0" xfId="0" applyFont="1" applyAlignment="1">
      <alignment horizontal="right"/>
    </xf>
    <xf numFmtId="9" fontId="8" fillId="0" borderId="0" xfId="3" applyFont="1" applyFill="1" applyBorder="1" applyAlignment="1">
      <alignment horizontal="center"/>
    </xf>
    <xf numFmtId="0" fontId="7" fillId="0" borderId="16" xfId="0" applyFont="1" applyBorder="1"/>
    <xf numFmtId="0" fontId="23" fillId="0" borderId="0" xfId="0" applyFont="1" applyAlignment="1">
      <alignment wrapText="1"/>
    </xf>
    <xf numFmtId="0" fontId="7" fillId="0" borderId="0" xfId="0" applyFont="1" applyAlignment="1">
      <alignment horizontal="center" vertical="center" wrapText="1"/>
    </xf>
    <xf numFmtId="0" fontId="21" fillId="0" borderId="0" xfId="0" applyFont="1" applyAlignment="1">
      <alignment vertical="center"/>
    </xf>
    <xf numFmtId="0" fontId="21" fillId="0" borderId="0" xfId="0" applyFont="1" applyAlignment="1" applyProtection="1">
      <alignment horizontal="center" vertical="center"/>
      <protection locked="0"/>
    </xf>
    <xf numFmtId="0" fontId="20" fillId="0" borderId="0" xfId="0" applyFont="1" applyAlignment="1">
      <alignment horizontal="center" vertical="center"/>
    </xf>
    <xf numFmtId="0" fontId="24" fillId="27" borderId="25" xfId="0" applyFont="1" applyFill="1" applyBorder="1" applyAlignment="1">
      <alignment horizontal="center" vertical="center" wrapText="1"/>
    </xf>
    <xf numFmtId="0" fontId="24" fillId="27" borderId="26" xfId="0" applyFont="1" applyFill="1" applyBorder="1" applyAlignment="1">
      <alignment horizontal="center" vertical="center" wrapText="1"/>
    </xf>
    <xf numFmtId="0" fontId="24" fillId="27" borderId="27" xfId="0" applyFont="1" applyFill="1" applyBorder="1" applyAlignment="1">
      <alignment horizontal="center" vertical="center" wrapText="1"/>
    </xf>
    <xf numFmtId="0" fontId="21" fillId="4" borderId="21" xfId="0" applyFont="1" applyFill="1" applyBorder="1" applyAlignment="1">
      <alignment horizontal="left" vertical="center" wrapText="1"/>
    </xf>
    <xf numFmtId="0" fontId="21" fillId="4" borderId="20" xfId="0" applyFont="1" applyFill="1" applyBorder="1" applyAlignment="1">
      <alignment horizontal="left" vertical="center" wrapText="1"/>
    </xf>
    <xf numFmtId="0" fontId="21" fillId="4" borderId="20" xfId="0" quotePrefix="1" applyFont="1" applyFill="1" applyBorder="1" applyAlignment="1">
      <alignment horizontal="left" vertical="center" wrapText="1"/>
    </xf>
    <xf numFmtId="0" fontId="21" fillId="4" borderId="20" xfId="0" applyFont="1" applyFill="1" applyBorder="1" applyAlignment="1">
      <alignment horizontal="center" vertical="center" wrapText="1"/>
    </xf>
    <xf numFmtId="49" fontId="21" fillId="4" borderId="20" xfId="0" applyNumberFormat="1" applyFont="1" applyFill="1" applyBorder="1" applyAlignment="1">
      <alignment horizontal="center" vertical="center" wrapText="1"/>
    </xf>
    <xf numFmtId="0" fontId="21" fillId="4" borderId="22" xfId="0" applyFont="1" applyFill="1" applyBorder="1" applyAlignment="1">
      <alignment horizontal="left" vertical="center" wrapText="1"/>
    </xf>
    <xf numFmtId="0" fontId="21" fillId="4" borderId="22" xfId="0" quotePrefix="1" applyFont="1" applyFill="1" applyBorder="1" applyAlignment="1">
      <alignment horizontal="left" vertical="center" wrapText="1"/>
    </xf>
    <xf numFmtId="0" fontId="21" fillId="4" borderId="28" xfId="0" applyFont="1" applyFill="1" applyBorder="1" applyAlignment="1">
      <alignment horizontal="left" vertical="center" wrapText="1"/>
    </xf>
    <xf numFmtId="0" fontId="21" fillId="4" borderId="28" xfId="0" applyFont="1" applyFill="1" applyBorder="1" applyAlignment="1">
      <alignment horizontal="center" vertical="center" wrapText="1"/>
    </xf>
    <xf numFmtId="0" fontId="21" fillId="4" borderId="24" xfId="0" applyFont="1" applyFill="1" applyBorder="1" applyAlignment="1">
      <alignment horizontal="left" vertical="center" wrapText="1"/>
    </xf>
    <xf numFmtId="0" fontId="14" fillId="4" borderId="21" xfId="0" applyFont="1" applyFill="1" applyBorder="1" applyAlignment="1">
      <alignment horizontal="left" vertical="center" wrapText="1"/>
    </xf>
    <xf numFmtId="0" fontId="14" fillId="4" borderId="20" xfId="0" applyFont="1" applyFill="1" applyBorder="1" applyAlignment="1">
      <alignment horizontal="left" vertical="center" wrapText="1"/>
    </xf>
    <xf numFmtId="0" fontId="23" fillId="4" borderId="20" xfId="0" applyFont="1" applyFill="1" applyBorder="1" applyAlignment="1">
      <alignment horizontal="left" vertical="center" wrapText="1"/>
    </xf>
    <xf numFmtId="0" fontId="23" fillId="4" borderId="22" xfId="0" applyFont="1" applyFill="1" applyBorder="1" applyAlignment="1">
      <alignment horizontal="left" vertical="center"/>
    </xf>
    <xf numFmtId="0" fontId="23" fillId="4" borderId="22" xfId="0" applyFont="1" applyFill="1" applyBorder="1" applyAlignment="1">
      <alignment horizontal="left" vertical="center" wrapText="1"/>
    </xf>
    <xf numFmtId="0" fontId="23" fillId="4" borderId="24" xfId="0" applyFont="1" applyFill="1" applyBorder="1" applyAlignment="1">
      <alignment horizontal="left" vertical="center" wrapText="1"/>
    </xf>
    <xf numFmtId="0" fontId="25" fillId="27" borderId="25" xfId="0" applyFont="1" applyFill="1" applyBorder="1" applyAlignment="1">
      <alignment horizontal="center" vertical="center" wrapText="1"/>
    </xf>
    <xf numFmtId="0" fontId="25" fillId="27" borderId="26" xfId="0" applyFont="1" applyFill="1" applyBorder="1" applyAlignment="1">
      <alignment horizontal="center" vertical="center" wrapText="1"/>
    </xf>
    <xf numFmtId="0" fontId="25" fillId="27" borderId="27" xfId="0" applyFont="1" applyFill="1" applyBorder="1" applyAlignment="1">
      <alignment horizontal="center" vertical="center" wrapText="1"/>
    </xf>
    <xf numFmtId="0" fontId="23" fillId="4" borderId="28" xfId="0" applyFont="1" applyFill="1" applyBorder="1" applyAlignment="1">
      <alignment horizontal="left" vertical="center" wrapText="1"/>
    </xf>
    <xf numFmtId="0" fontId="23" fillId="4" borderId="20" xfId="0" applyFont="1" applyFill="1" applyBorder="1" applyAlignment="1">
      <alignment horizontal="center" vertical="center" wrapText="1"/>
    </xf>
    <xf numFmtId="0" fontId="23" fillId="4" borderId="28" xfId="0" applyFont="1" applyFill="1" applyBorder="1" applyAlignment="1">
      <alignment horizontal="center" vertical="center" wrapText="1"/>
    </xf>
    <xf numFmtId="0" fontId="23" fillId="0" borderId="0" xfId="0" applyFont="1" applyAlignment="1">
      <alignment horizontal="left" vertical="center" wrapText="1"/>
    </xf>
    <xf numFmtId="0" fontId="26" fillId="0" borderId="0" xfId="0" applyFont="1" applyAlignment="1">
      <alignment vertical="center" wrapText="1"/>
    </xf>
    <xf numFmtId="0" fontId="23" fillId="4" borderId="26" xfId="0" applyFont="1" applyFill="1" applyBorder="1" applyAlignment="1">
      <alignment horizontal="center" vertical="center" wrapText="1"/>
    </xf>
    <xf numFmtId="0" fontId="23" fillId="4" borderId="21" xfId="0" applyFont="1" applyFill="1" applyBorder="1" applyAlignment="1">
      <alignment horizontal="center" vertical="center" wrapText="1"/>
    </xf>
    <xf numFmtId="0" fontId="23" fillId="4" borderId="22" xfId="0" quotePrefix="1" applyFont="1" applyFill="1" applyBorder="1" applyAlignment="1">
      <alignment horizontal="left" vertical="center"/>
    </xf>
    <xf numFmtId="0" fontId="23" fillId="4" borderId="20" xfId="0" quotePrefix="1" applyFont="1" applyFill="1" applyBorder="1" applyAlignment="1">
      <alignment horizontal="left" vertical="center" wrapText="1"/>
    </xf>
    <xf numFmtId="0" fontId="27" fillId="4" borderId="20" xfId="5" applyFont="1" applyFill="1" applyBorder="1" applyAlignment="1">
      <alignment horizontal="left" vertical="center" wrapText="1"/>
    </xf>
    <xf numFmtId="0" fontId="23" fillId="4" borderId="23" xfId="0" applyFont="1" applyFill="1" applyBorder="1" applyAlignment="1">
      <alignment horizontal="center" vertical="center" wrapText="1"/>
    </xf>
    <xf numFmtId="0" fontId="23" fillId="4" borderId="24" xfId="0" quotePrefix="1" applyFont="1" applyFill="1" applyBorder="1" applyAlignment="1">
      <alignment horizontal="left" vertical="center"/>
    </xf>
    <xf numFmtId="49" fontId="23" fillId="4" borderId="20" xfId="0" applyNumberFormat="1" applyFont="1" applyFill="1" applyBorder="1" applyAlignment="1">
      <alignment horizontal="left" vertical="center" wrapText="1"/>
    </xf>
    <xf numFmtId="0" fontId="28" fillId="4" borderId="20" xfId="5" applyFont="1" applyFill="1" applyBorder="1" applyAlignment="1">
      <alignment horizontal="left" vertical="center" wrapText="1"/>
    </xf>
    <xf numFmtId="0" fontId="14" fillId="4" borderId="22" xfId="0" applyFont="1" applyFill="1" applyBorder="1" applyAlignment="1">
      <alignment horizontal="left" vertical="center" wrapText="1"/>
    </xf>
    <xf numFmtId="49" fontId="23" fillId="4" borderId="28" xfId="0" applyNumberFormat="1" applyFont="1" applyFill="1" applyBorder="1" applyAlignment="1">
      <alignment horizontal="left" vertical="center" wrapText="1"/>
    </xf>
    <xf numFmtId="0" fontId="23" fillId="4" borderId="28" xfId="0" quotePrefix="1" applyFont="1" applyFill="1" applyBorder="1" applyAlignment="1">
      <alignment horizontal="left" vertical="center" wrapText="1"/>
    </xf>
    <xf numFmtId="0" fontId="28" fillId="4" borderId="28" xfId="5" applyFont="1" applyFill="1" applyBorder="1" applyAlignment="1">
      <alignment horizontal="left" vertical="center" wrapText="1"/>
    </xf>
    <xf numFmtId="0" fontId="14" fillId="4" borderId="24" xfId="0" applyFont="1" applyFill="1" applyBorder="1" applyAlignment="1">
      <alignment horizontal="left" vertical="center" wrapText="1"/>
    </xf>
    <xf numFmtId="0" fontId="23" fillId="4" borderId="21" xfId="0" applyFont="1" applyFill="1" applyBorder="1" applyAlignment="1">
      <alignment horizontal="center" vertical="center"/>
    </xf>
    <xf numFmtId="0" fontId="23" fillId="4" borderId="23" xfId="0" applyFont="1" applyFill="1" applyBorder="1" applyAlignment="1">
      <alignment horizontal="center" vertical="center"/>
    </xf>
    <xf numFmtId="0" fontId="25" fillId="27" borderId="20" xfId="0" applyFont="1" applyFill="1" applyBorder="1" applyAlignment="1">
      <alignment horizontal="center" vertical="center" wrapText="1"/>
    </xf>
    <xf numFmtId="0" fontId="25" fillId="0" borderId="0" xfId="0" applyFont="1" applyAlignment="1">
      <alignment vertical="center" wrapText="1"/>
    </xf>
    <xf numFmtId="0" fontId="23" fillId="4" borderId="20" xfId="0" applyFont="1" applyFill="1" applyBorder="1" applyAlignment="1">
      <alignment horizontal="center" vertical="center"/>
    </xf>
    <xf numFmtId="49" fontId="23" fillId="4" borderId="20" xfId="0" applyNumberFormat="1" applyFont="1" applyFill="1" applyBorder="1" applyAlignment="1">
      <alignment horizontal="center" vertical="center"/>
    </xf>
    <xf numFmtId="0" fontId="23" fillId="4" borderId="28" xfId="0" applyFont="1" applyFill="1" applyBorder="1" applyAlignment="1">
      <alignment horizontal="center" vertical="center"/>
    </xf>
    <xf numFmtId="0" fontId="25" fillId="25" borderId="20" xfId="0" applyFont="1" applyFill="1" applyBorder="1" applyAlignment="1">
      <alignment horizontal="center" vertical="center"/>
    </xf>
    <xf numFmtId="0" fontId="23" fillId="4" borderId="20" xfId="0" applyFont="1" applyFill="1" applyBorder="1" applyAlignment="1">
      <alignment horizontal="left" vertical="center"/>
    </xf>
    <xf numFmtId="0" fontId="23" fillId="4" borderId="20" xfId="0" applyFont="1" applyFill="1" applyBorder="1" applyAlignment="1">
      <alignment vertical="center"/>
    </xf>
    <xf numFmtId="0" fontId="23" fillId="4" borderId="22" xfId="0" applyFont="1" applyFill="1" applyBorder="1" applyAlignment="1">
      <alignment vertical="center" wrapText="1"/>
    </xf>
    <xf numFmtId="0" fontId="23" fillId="4" borderId="28" xfId="0" applyFont="1" applyFill="1" applyBorder="1" applyAlignment="1">
      <alignment vertical="center"/>
    </xf>
    <xf numFmtId="0" fontId="23" fillId="4" borderId="28" xfId="0" applyFont="1" applyFill="1" applyBorder="1" applyAlignment="1">
      <alignment horizontal="left" vertical="center"/>
    </xf>
    <xf numFmtId="0" fontId="23" fillId="4" borderId="24" xfId="0" applyFont="1" applyFill="1" applyBorder="1" applyAlignment="1">
      <alignment vertical="center" wrapText="1"/>
    </xf>
    <xf numFmtId="0" fontId="25" fillId="0" borderId="0" xfId="0" applyFont="1" applyAlignment="1">
      <alignment vertical="center"/>
    </xf>
    <xf numFmtId="0" fontId="23" fillId="4" borderId="20" xfId="0" applyFont="1" applyFill="1" applyBorder="1" applyAlignment="1">
      <alignment vertical="center" wrapText="1"/>
    </xf>
    <xf numFmtId="0" fontId="23" fillId="4" borderId="20" xfId="0" quotePrefix="1" applyFont="1" applyFill="1" applyBorder="1" applyAlignment="1">
      <alignment vertical="center" wrapText="1"/>
    </xf>
    <xf numFmtId="0" fontId="23" fillId="4" borderId="20" xfId="0" applyFont="1" applyFill="1" applyBorder="1" applyAlignment="1">
      <alignment horizontal="left" vertical="top" wrapText="1"/>
    </xf>
    <xf numFmtId="0" fontId="19" fillId="4" borderId="22" xfId="0" applyFont="1" applyFill="1" applyBorder="1" applyAlignment="1">
      <alignment horizontal="left" vertical="top" wrapText="1"/>
    </xf>
    <xf numFmtId="0" fontId="23" fillId="4" borderId="28" xfId="0" applyFont="1" applyFill="1" applyBorder="1" applyAlignment="1">
      <alignment vertical="center" wrapText="1"/>
    </xf>
    <xf numFmtId="0" fontId="23" fillId="4" borderId="28" xfId="0" applyFont="1" applyFill="1" applyBorder="1" applyAlignment="1">
      <alignment horizontal="left" vertical="top" wrapText="1"/>
    </xf>
    <xf numFmtId="0" fontId="19" fillId="4" borderId="24" xfId="0" applyFont="1" applyFill="1" applyBorder="1" applyAlignment="1">
      <alignment horizontal="left" vertical="top" wrapText="1"/>
    </xf>
    <xf numFmtId="0" fontId="36" fillId="4" borderId="20" xfId="0" quotePrefix="1" applyFont="1" applyFill="1" applyBorder="1" applyAlignment="1">
      <alignment horizontal="left" vertical="center" wrapText="1"/>
    </xf>
    <xf numFmtId="0" fontId="5" fillId="4" borderId="20" xfId="5" quotePrefix="1" applyFill="1" applyBorder="1" applyAlignment="1">
      <alignment horizontal="left" vertical="center" wrapText="1"/>
    </xf>
    <xf numFmtId="0" fontId="23" fillId="4" borderId="22" xfId="0" applyFont="1" applyFill="1" applyBorder="1" applyAlignment="1">
      <alignment horizontal="center" vertical="center" wrapText="1"/>
    </xf>
    <xf numFmtId="0" fontId="36" fillId="4" borderId="28" xfId="0" quotePrefix="1" applyFont="1" applyFill="1" applyBorder="1" applyAlignment="1">
      <alignment horizontal="left" vertical="center" wrapText="1"/>
    </xf>
    <xf numFmtId="0" fontId="5" fillId="4" borderId="28" xfId="5" quotePrefix="1" applyFill="1" applyBorder="1" applyAlignment="1">
      <alignment horizontal="left" vertical="center" wrapText="1"/>
    </xf>
    <xf numFmtId="0" fontId="23" fillId="4" borderId="24" xfId="0" applyFont="1" applyFill="1" applyBorder="1" applyAlignment="1">
      <alignment horizontal="center" vertical="center" wrapText="1"/>
    </xf>
    <xf numFmtId="0" fontId="26" fillId="0" borderId="0" xfId="0" applyFont="1" applyAlignment="1">
      <alignment horizontal="center" vertical="center"/>
    </xf>
    <xf numFmtId="0" fontId="22" fillId="4" borderId="20" xfId="0" applyFont="1" applyFill="1" applyBorder="1" applyAlignment="1">
      <alignment horizontal="center" vertical="center" wrapText="1"/>
    </xf>
    <xf numFmtId="0" fontId="22" fillId="4" borderId="28" xfId="0" applyFont="1" applyFill="1" applyBorder="1" applyAlignment="1">
      <alignment horizontal="center" vertical="center" wrapText="1"/>
    </xf>
    <xf numFmtId="0" fontId="14" fillId="0" borderId="0" xfId="0" applyFont="1"/>
    <xf numFmtId="0" fontId="14" fillId="0" borderId="0" xfId="0" applyFont="1" applyAlignment="1">
      <alignment horizontal="right" vertical="center"/>
    </xf>
    <xf numFmtId="0" fontId="14" fillId="0" borderId="0" xfId="0" applyFont="1" applyAlignment="1">
      <alignment horizontal="right"/>
    </xf>
    <xf numFmtId="0" fontId="14" fillId="0" borderId="0" xfId="0" applyFont="1" applyAlignment="1">
      <alignment horizontal="left" vertical="center"/>
    </xf>
    <xf numFmtId="0" fontId="42" fillId="4" borderId="21" xfId="0" applyFont="1" applyFill="1" applyBorder="1" applyAlignment="1">
      <alignment horizontal="center" vertical="center" wrapText="1"/>
    </xf>
    <xf numFmtId="0" fontId="42" fillId="4" borderId="21" xfId="0" applyFont="1" applyFill="1" applyBorder="1" applyAlignment="1">
      <alignment horizontal="center" vertical="center"/>
    </xf>
    <xf numFmtId="0" fontId="14" fillId="4" borderId="20" xfId="0" applyFont="1" applyFill="1" applyBorder="1" applyAlignment="1">
      <alignment vertical="center" wrapText="1"/>
    </xf>
    <xf numFmtId="0" fontId="14" fillId="4" borderId="20" xfId="0" applyFont="1" applyFill="1" applyBorder="1" applyAlignment="1">
      <alignment wrapText="1"/>
    </xf>
    <xf numFmtId="0" fontId="14" fillId="0" borderId="20" xfId="0" applyFont="1" applyBorder="1" applyAlignment="1">
      <alignment horizontal="center" vertical="center" wrapText="1"/>
    </xf>
    <xf numFmtId="0" fontId="42" fillId="4" borderId="23" xfId="0" applyFont="1" applyFill="1" applyBorder="1" applyAlignment="1">
      <alignment horizontal="center" vertical="center" wrapText="1"/>
    </xf>
    <xf numFmtId="0" fontId="14" fillId="4" borderId="28" xfId="0" applyFont="1" applyFill="1" applyBorder="1" applyAlignment="1">
      <alignment vertical="center" wrapText="1"/>
    </xf>
    <xf numFmtId="0" fontId="25" fillId="7" borderId="26" xfId="0" applyFont="1" applyFill="1" applyBorder="1" applyAlignment="1">
      <alignment horizontal="center" vertical="center" wrapText="1"/>
    </xf>
    <xf numFmtId="0" fontId="25" fillId="8" borderId="26" xfId="0" applyFont="1" applyFill="1" applyBorder="1" applyAlignment="1">
      <alignment horizontal="center" vertical="center" wrapText="1"/>
    </xf>
    <xf numFmtId="0" fontId="25" fillId="8" borderId="27" xfId="0" applyFont="1" applyFill="1" applyBorder="1" applyAlignment="1">
      <alignment horizontal="center" vertical="center" wrapText="1"/>
    </xf>
    <xf numFmtId="0" fontId="14" fillId="4" borderId="20" xfId="0" applyFont="1" applyFill="1" applyBorder="1" applyAlignment="1">
      <alignment vertical="center"/>
    </xf>
    <xf numFmtId="0" fontId="14" fillId="4" borderId="28" xfId="0" applyFont="1" applyFill="1" applyBorder="1" applyAlignment="1">
      <alignment vertical="center"/>
    </xf>
    <xf numFmtId="0" fontId="14" fillId="4" borderId="20" xfId="0" applyFont="1" applyFill="1" applyBorder="1" applyAlignment="1" applyProtection="1">
      <alignment horizontal="left" vertical="center" wrapText="1"/>
      <protection locked="0"/>
    </xf>
    <xf numFmtId="0" fontId="14" fillId="4" borderId="28" xfId="0" applyFont="1" applyFill="1" applyBorder="1" applyAlignment="1" applyProtection="1">
      <alignment horizontal="left" vertical="center" wrapText="1"/>
      <protection locked="0"/>
    </xf>
    <xf numFmtId="0" fontId="14" fillId="4" borderId="22" xfId="0" applyFont="1" applyFill="1" applyBorder="1" applyAlignment="1" applyProtection="1">
      <alignment horizontal="left" vertical="center" wrapText="1"/>
      <protection locked="0"/>
    </xf>
    <xf numFmtId="0" fontId="14" fillId="4" borderId="24" xfId="0" applyFont="1" applyFill="1" applyBorder="1" applyAlignment="1" applyProtection="1">
      <alignment horizontal="left" vertical="center" wrapText="1"/>
      <protection locked="0"/>
    </xf>
    <xf numFmtId="0" fontId="22" fillId="4" borderId="20" xfId="0" applyFont="1" applyFill="1" applyBorder="1" applyAlignment="1">
      <alignment vertical="center"/>
    </xf>
    <xf numFmtId="0" fontId="26" fillId="0" borderId="1" xfId="0" applyFont="1" applyBorder="1" applyProtection="1">
      <protection hidden="1"/>
    </xf>
    <xf numFmtId="0" fontId="23" fillId="0" borderId="1" xfId="0" applyFont="1" applyBorder="1" applyAlignment="1">
      <alignment vertical="center"/>
    </xf>
    <xf numFmtId="0" fontId="23" fillId="0" borderId="1" xfId="0" applyFont="1" applyBorder="1"/>
    <xf numFmtId="0" fontId="41" fillId="0" borderId="0" xfId="0" applyFont="1"/>
    <xf numFmtId="0" fontId="23" fillId="0" borderId="2" xfId="0" applyFont="1" applyBorder="1" applyAlignment="1">
      <alignment vertical="center"/>
    </xf>
    <xf numFmtId="0" fontId="23" fillId="0" borderId="3" xfId="0" applyFont="1" applyBorder="1"/>
    <xf numFmtId="0" fontId="23" fillId="0" borderId="4" xfId="0" applyFont="1" applyBorder="1"/>
    <xf numFmtId="0" fontId="26" fillId="0" borderId="2" xfId="0" applyFont="1" applyBorder="1" applyProtection="1">
      <protection hidden="1"/>
    </xf>
    <xf numFmtId="0" fontId="42" fillId="0" borderId="0" xfId="0" applyFont="1" applyAlignment="1" applyProtection="1">
      <alignment horizontal="right" vertical="center" wrapText="1"/>
      <protection locked="0"/>
    </xf>
    <xf numFmtId="0" fontId="26" fillId="0" borderId="4" xfId="0" applyFont="1" applyBorder="1" applyProtection="1">
      <protection hidden="1"/>
    </xf>
    <xf numFmtId="0" fontId="42" fillId="0" borderId="0" xfId="0" applyFont="1" applyAlignment="1" applyProtection="1">
      <alignment vertical="center" wrapText="1"/>
      <protection locked="0"/>
    </xf>
    <xf numFmtId="0" fontId="26" fillId="0" borderId="1" xfId="0" applyFont="1" applyBorder="1" applyAlignment="1" applyProtection="1">
      <alignment horizontal="left"/>
      <protection hidden="1"/>
    </xf>
    <xf numFmtId="0" fontId="26" fillId="0" borderId="4" xfId="0" applyFont="1" applyBorder="1"/>
    <xf numFmtId="0" fontId="14" fillId="0" borderId="6" xfId="0" applyFont="1" applyBorder="1" applyAlignment="1" applyProtection="1">
      <alignment vertical="center" wrapText="1"/>
      <protection locked="0"/>
    </xf>
    <xf numFmtId="0" fontId="14" fillId="0" borderId="0" xfId="0" applyFont="1" applyAlignment="1" applyProtection="1">
      <alignment horizontal="right" vertical="center" wrapText="1"/>
      <protection locked="0"/>
    </xf>
    <xf numFmtId="14" fontId="14" fillId="0" borderId="6" xfId="0" applyNumberFormat="1" applyFont="1" applyBorder="1" applyAlignment="1" applyProtection="1">
      <alignment vertical="center" wrapText="1"/>
      <protection locked="0"/>
    </xf>
    <xf numFmtId="14" fontId="14" fillId="0" borderId="0" xfId="0" applyNumberFormat="1" applyFont="1" applyAlignment="1" applyProtection="1">
      <alignment vertical="center" wrapText="1"/>
      <protection locked="0"/>
    </xf>
    <xf numFmtId="0" fontId="26" fillId="0" borderId="2" xfId="0" applyFont="1" applyBorder="1"/>
    <xf numFmtId="0" fontId="43" fillId="0" borderId="0" xfId="0" applyFont="1" applyAlignment="1" applyProtection="1">
      <alignment horizontal="center"/>
      <protection locked="0"/>
    </xf>
    <xf numFmtId="0" fontId="42" fillId="0" borderId="38" xfId="0" applyFont="1" applyBorder="1" applyAlignment="1" applyProtection="1">
      <alignment horizontal="center" wrapText="1"/>
      <protection locked="0"/>
    </xf>
    <xf numFmtId="0" fontId="42" fillId="0" borderId="0" xfId="0" applyFont="1" applyAlignment="1" applyProtection="1">
      <alignment horizontal="center"/>
      <protection locked="0"/>
    </xf>
    <xf numFmtId="0" fontId="42" fillId="0" borderId="33" xfId="0" applyFont="1" applyBorder="1" applyAlignment="1" applyProtection="1">
      <alignment horizontal="center"/>
      <protection locked="0"/>
    </xf>
    <xf numFmtId="0" fontId="20" fillId="29" borderId="0" xfId="0" applyFont="1" applyFill="1" applyAlignment="1">
      <alignment vertical="center"/>
    </xf>
    <xf numFmtId="0" fontId="24" fillId="27" borderId="41" xfId="0" applyFont="1" applyFill="1" applyBorder="1" applyAlignment="1">
      <alignment horizontal="center" vertical="center"/>
    </xf>
    <xf numFmtId="0" fontId="24" fillId="27" borderId="42" xfId="0" applyFont="1" applyFill="1" applyBorder="1" applyAlignment="1">
      <alignment horizontal="center" vertical="center"/>
    </xf>
    <xf numFmtId="0" fontId="24" fillId="27" borderId="43" xfId="0" applyFont="1" applyFill="1" applyBorder="1" applyAlignment="1">
      <alignment horizontal="center" vertical="center"/>
    </xf>
    <xf numFmtId="0" fontId="20" fillId="0" borderId="0" xfId="0" applyFont="1" applyAlignment="1">
      <alignment horizontal="center" vertical="center" wrapText="1"/>
    </xf>
    <xf numFmtId="0" fontId="11" fillId="0" borderId="0" xfId="0" applyFont="1" applyAlignment="1">
      <alignment vertical="center" wrapText="1"/>
    </xf>
    <xf numFmtId="0" fontId="12" fillId="0" borderId="0" xfId="0" applyFont="1" applyAlignment="1">
      <alignment vertical="center" wrapText="1"/>
    </xf>
    <xf numFmtId="0" fontId="24" fillId="27" borderId="20" xfId="0" applyFont="1" applyFill="1" applyBorder="1" applyAlignment="1">
      <alignment horizontal="center" vertical="center" wrapText="1"/>
    </xf>
    <xf numFmtId="0" fontId="40" fillId="4" borderId="20" xfId="0" applyFont="1" applyFill="1" applyBorder="1" applyAlignment="1">
      <alignment horizontal="center" vertical="center" wrapText="1"/>
    </xf>
    <xf numFmtId="0" fontId="20" fillId="4" borderId="20" xfId="0" applyFont="1" applyFill="1" applyBorder="1" applyAlignment="1" applyProtection="1">
      <alignment horizontal="center" vertical="center" wrapText="1"/>
      <protection locked="0"/>
    </xf>
    <xf numFmtId="0" fontId="20" fillId="4" borderId="20" xfId="0" applyFont="1" applyFill="1" applyBorder="1" applyAlignment="1">
      <alignment horizontal="center" vertical="center" wrapText="1"/>
    </xf>
    <xf numFmtId="0" fontId="21" fillId="0" borderId="0" xfId="0" applyFont="1" applyAlignment="1" applyProtection="1">
      <alignment horizontal="center" vertical="center" wrapText="1"/>
      <protection locked="0"/>
    </xf>
    <xf numFmtId="0" fontId="46" fillId="27" borderId="20" xfId="0" applyFont="1" applyFill="1" applyBorder="1" applyAlignment="1">
      <alignment horizontal="center" vertical="center" wrapText="1"/>
    </xf>
    <xf numFmtId="0" fontId="21" fillId="4" borderId="20" xfId="0" applyFont="1" applyFill="1" applyBorder="1" applyAlignment="1" applyProtection="1">
      <alignment horizontal="center" vertical="center" wrapText="1"/>
      <protection locked="0"/>
    </xf>
    <xf numFmtId="0" fontId="46" fillId="0" borderId="0" xfId="0" applyFont="1" applyAlignment="1">
      <alignment vertical="center"/>
    </xf>
    <xf numFmtId="0" fontId="20" fillId="3" borderId="45" xfId="0" applyFont="1" applyFill="1" applyBorder="1" applyAlignment="1">
      <alignment horizontal="left" vertical="center"/>
    </xf>
    <xf numFmtId="0" fontId="20" fillId="3" borderId="46" xfId="0" applyFont="1" applyFill="1" applyBorder="1" applyAlignment="1">
      <alignment horizontal="left" vertical="center"/>
    </xf>
    <xf numFmtId="0" fontId="20" fillId="3" borderId="44" xfId="0" applyFont="1" applyFill="1" applyBorder="1" applyAlignment="1">
      <alignment horizontal="left" vertical="center"/>
    </xf>
    <xf numFmtId="0" fontId="20" fillId="5" borderId="40" xfId="0" applyFont="1" applyFill="1" applyBorder="1" applyAlignment="1">
      <alignment vertical="center"/>
    </xf>
    <xf numFmtId="0" fontId="20" fillId="5" borderId="40" xfId="0" applyFont="1" applyFill="1" applyBorder="1" applyAlignment="1">
      <alignment vertical="center" wrapText="1"/>
    </xf>
    <xf numFmtId="0" fontId="20" fillId="0" borderId="40" xfId="0" applyFont="1" applyBorder="1" applyAlignment="1">
      <alignment vertical="center"/>
    </xf>
    <xf numFmtId="0" fontId="21" fillId="0" borderId="0" xfId="0" applyFont="1" applyAlignment="1">
      <alignment vertical="center" wrapText="1"/>
    </xf>
    <xf numFmtId="0" fontId="21" fillId="4" borderId="44" xfId="0" applyFont="1" applyFill="1" applyBorder="1" applyAlignment="1">
      <alignment horizontal="center" vertical="center" wrapText="1"/>
    </xf>
    <xf numFmtId="0" fontId="21" fillId="4" borderId="40" xfId="0" applyFont="1" applyFill="1" applyBorder="1" applyAlignment="1">
      <alignment vertical="center" wrapText="1"/>
    </xf>
    <xf numFmtId="49" fontId="21" fillId="4" borderId="40" xfId="0" applyNumberFormat="1" applyFont="1" applyFill="1" applyBorder="1" applyAlignment="1">
      <alignment vertical="center" wrapText="1"/>
    </xf>
    <xf numFmtId="0" fontId="21" fillId="4" borderId="45" xfId="0" applyFont="1" applyFill="1" applyBorder="1" applyAlignment="1">
      <alignment vertical="center" wrapText="1"/>
    </xf>
    <xf numFmtId="0" fontId="8" fillId="6" borderId="19" xfId="0" applyFont="1" applyFill="1" applyBorder="1" applyAlignment="1">
      <alignment horizontal="center" vertical="center"/>
    </xf>
    <xf numFmtId="0" fontId="8" fillId="0" borderId="19" xfId="0" applyFont="1" applyBorder="1" applyAlignment="1">
      <alignment horizontal="center" vertical="center"/>
    </xf>
    <xf numFmtId="0" fontId="19" fillId="0" borderId="19" xfId="0" applyFont="1" applyBorder="1" applyAlignment="1">
      <alignment vertical="center" wrapText="1"/>
    </xf>
    <xf numFmtId="0" fontId="8" fillId="13" borderId="19" xfId="0" applyFont="1" applyFill="1" applyBorder="1" applyAlignment="1">
      <alignment horizontal="center" vertical="center"/>
    </xf>
    <xf numFmtId="0" fontId="30" fillId="0" borderId="0" xfId="7" applyFont="1" applyAlignment="1">
      <alignment horizontal="right" indent="2"/>
    </xf>
    <xf numFmtId="0" fontId="8" fillId="2" borderId="19" xfId="0" applyFont="1" applyFill="1" applyBorder="1" applyAlignment="1">
      <alignment horizontal="center"/>
    </xf>
    <xf numFmtId="0" fontId="8" fillId="6" borderId="19" xfId="0" applyFont="1" applyFill="1" applyBorder="1" applyAlignment="1">
      <alignment horizontal="center"/>
    </xf>
    <xf numFmtId="0" fontId="8" fillId="13" borderId="19" xfId="0" applyFont="1" applyFill="1" applyBorder="1" applyAlignment="1">
      <alignment horizontal="center"/>
    </xf>
    <xf numFmtId="0" fontId="8" fillId="0" borderId="19" xfId="0" applyFont="1" applyBorder="1" applyAlignment="1">
      <alignment horizontal="center"/>
    </xf>
    <xf numFmtId="9" fontId="8" fillId="0" borderId="19" xfId="3" applyFont="1" applyBorder="1" applyAlignment="1">
      <alignment horizontal="center"/>
    </xf>
    <xf numFmtId="0" fontId="18" fillId="9" borderId="47" xfId="0" applyFont="1" applyFill="1" applyBorder="1" applyAlignment="1">
      <alignment horizontal="left" vertical="top" textRotation="90" wrapText="1"/>
    </xf>
    <xf numFmtId="0" fontId="18" fillId="9" borderId="48" xfId="0" applyFont="1" applyFill="1" applyBorder="1" applyAlignment="1">
      <alignment horizontal="left" vertical="top" textRotation="90" wrapText="1"/>
    </xf>
    <xf numFmtId="0" fontId="18" fillId="19" borderId="48" xfId="0" applyFont="1" applyFill="1" applyBorder="1" applyAlignment="1">
      <alignment horizontal="center" vertical="top" wrapText="1"/>
    </xf>
    <xf numFmtId="0" fontId="18" fillId="7" borderId="48" xfId="0" applyFont="1" applyFill="1" applyBorder="1" applyAlignment="1">
      <alignment vertical="top" wrapText="1"/>
    </xf>
    <xf numFmtId="0" fontId="18" fillId="7" borderId="39" xfId="0" applyFont="1" applyFill="1" applyBorder="1" applyAlignment="1">
      <alignment vertical="top" wrapText="1"/>
    </xf>
    <xf numFmtId="0" fontId="8" fillId="4" borderId="19" xfId="0" applyFont="1" applyFill="1" applyBorder="1" applyAlignment="1">
      <alignment horizontal="center" vertical="top" wrapText="1"/>
    </xf>
    <xf numFmtId="0" fontId="8" fillId="4" borderId="19" xfId="0" applyFont="1" applyFill="1" applyBorder="1" applyAlignment="1">
      <alignment vertical="top" wrapText="1"/>
    </xf>
    <xf numFmtId="2" fontId="21" fillId="4" borderId="18" xfId="4" applyNumberFormat="1" applyFont="1" applyFill="1" applyBorder="1" applyAlignment="1">
      <alignment vertical="top" wrapText="1"/>
    </xf>
    <xf numFmtId="9" fontId="8" fillId="4" borderId="19" xfId="3" applyFont="1" applyFill="1" applyBorder="1" applyAlignment="1">
      <alignment horizontal="left" vertical="top" wrapText="1"/>
    </xf>
    <xf numFmtId="0" fontId="21" fillId="4" borderId="19" xfId="4" applyFont="1" applyFill="1" applyBorder="1" applyAlignment="1">
      <alignment vertical="top" wrapText="1"/>
    </xf>
    <xf numFmtId="9" fontId="8" fillId="4" borderId="19" xfId="0" applyNumberFormat="1" applyFont="1" applyFill="1" applyBorder="1" applyAlignment="1">
      <alignment vertical="top" wrapText="1"/>
    </xf>
    <xf numFmtId="0" fontId="11" fillId="10" borderId="19" xfId="0" applyFont="1" applyFill="1" applyBorder="1" applyAlignment="1">
      <alignment horizontal="center"/>
    </xf>
    <xf numFmtId="0" fontId="9" fillId="0" borderId="12" xfId="0" applyFont="1" applyBorder="1"/>
    <xf numFmtId="0" fontId="33" fillId="19" borderId="19" xfId="0" applyFont="1" applyFill="1" applyBorder="1" applyAlignment="1">
      <alignment vertical="center" wrapText="1"/>
    </xf>
    <xf numFmtId="0" fontId="33" fillId="19" borderId="19" xfId="0" applyFont="1" applyFill="1" applyBorder="1" applyAlignment="1">
      <alignment horizontal="center" vertical="center" wrapText="1"/>
    </xf>
    <xf numFmtId="0" fontId="34" fillId="0" borderId="19" xfId="0" applyFont="1" applyBorder="1" applyAlignment="1">
      <alignment vertical="top" wrapText="1"/>
    </xf>
    <xf numFmtId="0" fontId="17" fillId="0" borderId="19" xfId="0" applyFont="1" applyBorder="1" applyAlignment="1">
      <alignment horizontal="center" vertical="center" wrapText="1"/>
    </xf>
    <xf numFmtId="0" fontId="8" fillId="0" borderId="19" xfId="0" applyFont="1" applyBorder="1" applyAlignment="1">
      <alignment horizontal="left" vertical="center" wrapText="1"/>
    </xf>
    <xf numFmtId="0" fontId="35" fillId="19" borderId="19" xfId="0" applyFont="1" applyFill="1" applyBorder="1" applyAlignment="1">
      <alignment horizontal="left" vertical="top" wrapText="1" readingOrder="1"/>
    </xf>
    <xf numFmtId="0" fontId="35" fillId="19" borderId="19" xfId="0" applyFont="1" applyFill="1" applyBorder="1" applyAlignment="1">
      <alignment horizontal="center" vertical="center" wrapText="1" readingOrder="1"/>
    </xf>
    <xf numFmtId="0" fontId="8" fillId="0" borderId="19" xfId="0" applyFont="1" applyBorder="1" applyAlignment="1">
      <alignment horizontal="center" vertical="center" wrapText="1"/>
    </xf>
    <xf numFmtId="0" fontId="22" fillId="0" borderId="19" xfId="0" applyFont="1" applyBorder="1" applyAlignment="1">
      <alignment horizontal="justify" vertical="center" wrapText="1"/>
    </xf>
    <xf numFmtId="0" fontId="47" fillId="0" borderId="19" xfId="0" applyFont="1" applyBorder="1" applyAlignment="1">
      <alignment horizontal="justify" vertical="center" wrapText="1"/>
    </xf>
    <xf numFmtId="0" fontId="47" fillId="13" borderId="19" xfId="0" applyFont="1" applyFill="1" applyBorder="1" applyAlignment="1">
      <alignment horizontal="justify" vertical="center" wrapText="1"/>
    </xf>
    <xf numFmtId="0" fontId="47" fillId="6" borderId="19" xfId="0" applyFont="1" applyFill="1" applyBorder="1" applyAlignment="1">
      <alignment horizontal="justify" vertical="center" wrapText="1"/>
    </xf>
    <xf numFmtId="0" fontId="47" fillId="10" borderId="19" xfId="0" applyFont="1" applyFill="1" applyBorder="1" applyAlignment="1">
      <alignment horizontal="justify" vertical="center" wrapText="1"/>
    </xf>
    <xf numFmtId="0" fontId="42" fillId="4" borderId="23" xfId="0" applyFont="1" applyFill="1" applyBorder="1" applyAlignment="1">
      <alignment horizontal="center" vertical="center"/>
    </xf>
    <xf numFmtId="0" fontId="23" fillId="27" borderId="0" xfId="0" applyFont="1" applyFill="1" applyAlignment="1">
      <alignment horizontal="center" vertical="center"/>
    </xf>
    <xf numFmtId="0" fontId="23" fillId="0" borderId="0" xfId="0" applyFont="1" applyAlignment="1">
      <alignment horizontal="center" vertical="center" wrapText="1"/>
    </xf>
    <xf numFmtId="0" fontId="22" fillId="0" borderId="0" xfId="0" applyFont="1" applyAlignment="1">
      <alignment horizontal="left" vertical="center" wrapText="1"/>
    </xf>
    <xf numFmtId="0" fontId="14" fillId="0" borderId="0" xfId="0" applyFont="1" applyAlignment="1">
      <alignment vertical="center" wrapText="1"/>
    </xf>
    <xf numFmtId="0" fontId="8" fillId="0" borderId="0" xfId="0" applyFont="1" applyAlignment="1">
      <alignment vertical="center" wrapText="1"/>
    </xf>
    <xf numFmtId="0" fontId="28" fillId="0" borderId="0" xfId="5" applyFont="1" applyAlignment="1">
      <alignment horizontal="center" vertical="center" wrapText="1"/>
    </xf>
    <xf numFmtId="0" fontId="14" fillId="0" borderId="0" xfId="0" quotePrefix="1" applyFont="1" applyAlignment="1">
      <alignment vertical="center" wrapText="1"/>
    </xf>
    <xf numFmtId="0" fontId="14" fillId="0" borderId="0" xfId="0" applyFont="1" applyAlignment="1">
      <alignment horizontal="left" vertical="center" wrapText="1"/>
    </xf>
    <xf numFmtId="0" fontId="48" fillId="0" borderId="0" xfId="5" applyFont="1" applyAlignment="1">
      <alignment horizontal="center" vertical="center" wrapText="1"/>
    </xf>
    <xf numFmtId="0" fontId="23" fillId="0" borderId="0" xfId="0" quotePrefix="1" applyFont="1" applyAlignment="1">
      <alignment vertical="center" wrapText="1"/>
    </xf>
    <xf numFmtId="0" fontId="27" fillId="0" borderId="0" xfId="5" applyFont="1" applyAlignment="1">
      <alignment horizontal="center" vertical="center" wrapText="1"/>
    </xf>
    <xf numFmtId="0" fontId="19" fillId="0" borderId="0" xfId="0" quotePrefix="1" applyFont="1" applyAlignment="1">
      <alignment vertical="center" wrapText="1"/>
    </xf>
    <xf numFmtId="0" fontId="22" fillId="0" borderId="3" xfId="0" applyFont="1" applyBorder="1" applyAlignment="1">
      <alignment horizontal="left" vertical="center" wrapText="1"/>
    </xf>
    <xf numFmtId="0" fontId="23" fillId="0" borderId="3" xfId="0" applyFont="1" applyBorder="1" applyAlignment="1">
      <alignment horizontal="center" vertical="center" wrapText="1"/>
    </xf>
    <xf numFmtId="0" fontId="23" fillId="0" borderId="4" xfId="0" applyFont="1" applyBorder="1" applyAlignment="1">
      <alignment horizontal="left" vertical="center" wrapText="1"/>
    </xf>
    <xf numFmtId="0" fontId="22" fillId="30" borderId="20" xfId="0" applyFont="1" applyFill="1" applyBorder="1" applyAlignment="1">
      <alignment horizontal="center" vertical="center" wrapText="1"/>
    </xf>
    <xf numFmtId="0" fontId="51" fillId="19" borderId="20" xfId="0" applyFont="1" applyFill="1" applyBorder="1" applyAlignment="1">
      <alignment horizontal="center" vertical="center" wrapText="1" readingOrder="1"/>
    </xf>
    <xf numFmtId="0" fontId="51" fillId="19" borderId="28" xfId="0" applyFont="1" applyFill="1" applyBorder="1" applyAlignment="1">
      <alignment horizontal="center" vertical="center" wrapText="1" readingOrder="1"/>
    </xf>
    <xf numFmtId="0" fontId="51" fillId="19" borderId="25" xfId="0" applyFont="1" applyFill="1" applyBorder="1" applyAlignment="1">
      <alignment horizontal="center" vertical="center" wrapText="1" readingOrder="1"/>
    </xf>
    <xf numFmtId="0" fontId="51" fillId="19" borderId="26" xfId="0" applyFont="1" applyFill="1" applyBorder="1" applyAlignment="1">
      <alignment horizontal="center" vertical="center" wrapText="1" readingOrder="1"/>
    </xf>
    <xf numFmtId="0" fontId="51" fillId="19" borderId="27" xfId="0" applyFont="1" applyFill="1" applyBorder="1" applyAlignment="1">
      <alignment horizontal="center" vertical="center" wrapText="1" readingOrder="1"/>
    </xf>
    <xf numFmtId="0" fontId="23" fillId="0" borderId="20" xfId="0" applyFont="1" applyBorder="1" applyAlignment="1">
      <alignment vertical="top" wrapText="1"/>
    </xf>
    <xf numFmtId="0" fontId="23" fillId="0" borderId="20" xfId="0" applyFont="1" applyBorder="1" applyAlignment="1">
      <alignment vertical="top" wrapText="1" readingOrder="1"/>
    </xf>
    <xf numFmtId="0" fontId="25" fillId="26" borderId="20" xfId="0" applyFont="1" applyFill="1" applyBorder="1" applyAlignment="1">
      <alignment horizontal="center" vertical="center" wrapText="1"/>
    </xf>
    <xf numFmtId="0" fontId="22" fillId="0" borderId="20" xfId="0" applyFont="1" applyBorder="1" applyAlignment="1">
      <alignment horizontal="center" vertical="center"/>
    </xf>
    <xf numFmtId="0" fontId="52" fillId="0" borderId="20" xfId="0" applyFont="1" applyBorder="1" applyAlignment="1">
      <alignment horizontal="justify" vertical="center" wrapText="1" readingOrder="1"/>
    </xf>
    <xf numFmtId="0" fontId="22" fillId="0" borderId="26" xfId="0" applyFont="1" applyBorder="1" applyAlignment="1">
      <alignment horizontal="left" vertical="center" wrapText="1" indent="1"/>
    </xf>
    <xf numFmtId="0" fontId="23" fillId="0" borderId="20" xfId="0" applyFont="1" applyBorder="1" applyAlignment="1">
      <alignment vertical="center"/>
    </xf>
    <xf numFmtId="0" fontId="25" fillId="10" borderId="20" xfId="0" applyFont="1" applyFill="1" applyBorder="1" applyAlignment="1">
      <alignment horizontal="center" vertical="center" wrapText="1"/>
    </xf>
    <xf numFmtId="0" fontId="23" fillId="0" borderId="26" xfId="0" applyFont="1" applyBorder="1" applyAlignment="1">
      <alignment horizontal="left" vertical="center" wrapText="1" indent="1"/>
    </xf>
    <xf numFmtId="0" fontId="22" fillId="2" borderId="20" xfId="0" applyFont="1" applyFill="1" applyBorder="1" applyAlignment="1">
      <alignment horizontal="center" vertical="center" wrapText="1"/>
    </xf>
    <xf numFmtId="0" fontId="22" fillId="0" borderId="20" xfId="0" applyFont="1" applyBorder="1" applyAlignment="1">
      <alignment horizontal="left" vertical="center" wrapText="1" indent="1"/>
    </xf>
    <xf numFmtId="0" fontId="23" fillId="0" borderId="20" xfId="0" applyFont="1" applyBorder="1" applyAlignment="1">
      <alignment horizontal="left" vertical="center" wrapText="1" indent="1"/>
    </xf>
    <xf numFmtId="0" fontId="22" fillId="6" borderId="20" xfId="0" applyFont="1" applyFill="1" applyBorder="1" applyAlignment="1">
      <alignment horizontal="center" vertical="center" wrapText="1"/>
    </xf>
    <xf numFmtId="0" fontId="22" fillId="13" borderId="20" xfId="0" applyFont="1" applyFill="1" applyBorder="1" applyAlignment="1">
      <alignment horizontal="center" vertical="center" wrapText="1"/>
    </xf>
    <xf numFmtId="0" fontId="53" fillId="35" borderId="20" xfId="0" applyFont="1" applyFill="1" applyBorder="1" applyAlignment="1" applyProtection="1">
      <alignment horizontal="left" vertical="center" wrapText="1"/>
      <protection locked="0"/>
    </xf>
    <xf numFmtId="0" fontId="53" fillId="35" borderId="26" xfId="0" applyFont="1" applyFill="1" applyBorder="1" applyAlignment="1" applyProtection="1">
      <alignment horizontal="left" vertical="center" wrapText="1"/>
      <protection locked="0"/>
    </xf>
    <xf numFmtId="0" fontId="53" fillId="35" borderId="28" xfId="0" applyFont="1" applyFill="1" applyBorder="1" applyAlignment="1" applyProtection="1">
      <alignment horizontal="left" vertical="center" wrapText="1"/>
      <protection locked="0"/>
    </xf>
    <xf numFmtId="0" fontId="24" fillId="27" borderId="49" xfId="0" applyFont="1" applyFill="1" applyBorder="1" applyAlignment="1">
      <alignment horizontal="left" vertical="center" wrapText="1"/>
    </xf>
    <xf numFmtId="0" fontId="18" fillId="27" borderId="48" xfId="0" applyFont="1" applyFill="1" applyBorder="1" applyAlignment="1">
      <alignment vertical="top" wrapText="1"/>
    </xf>
    <xf numFmtId="0" fontId="18" fillId="27" borderId="52" xfId="0" applyFont="1" applyFill="1" applyBorder="1" applyAlignment="1">
      <alignment horizontal="center" vertical="center" wrapText="1"/>
    </xf>
    <xf numFmtId="0" fontId="18" fillId="27" borderId="7" xfId="0" applyFont="1" applyFill="1" applyBorder="1" applyAlignment="1">
      <alignment horizontal="center" vertical="center"/>
    </xf>
    <xf numFmtId="0" fontId="18" fillId="27" borderId="7" xfId="0" applyFont="1" applyFill="1" applyBorder="1" applyAlignment="1">
      <alignment horizontal="center" vertical="center" wrapText="1"/>
    </xf>
    <xf numFmtId="0" fontId="18" fillId="20" borderId="7" xfId="0" applyFont="1" applyFill="1" applyBorder="1" applyAlignment="1">
      <alignment horizontal="center" vertical="center" wrapText="1"/>
    </xf>
    <xf numFmtId="0" fontId="18" fillId="21" borderId="7" xfId="0" applyFont="1" applyFill="1" applyBorder="1" applyAlignment="1">
      <alignment horizontal="center" vertical="center" wrapText="1"/>
    </xf>
    <xf numFmtId="0" fontId="18" fillId="21" borderId="53" xfId="0" applyFont="1" applyFill="1" applyBorder="1" applyAlignment="1">
      <alignment horizontal="center" vertical="center" wrapText="1"/>
    </xf>
    <xf numFmtId="0" fontId="8" fillId="4" borderId="51" xfId="0" applyFont="1" applyFill="1" applyBorder="1" applyAlignment="1">
      <alignment horizontal="center" vertical="center" wrapText="1"/>
    </xf>
    <xf numFmtId="0" fontId="22" fillId="4" borderId="28" xfId="0" applyFont="1" applyFill="1" applyBorder="1" applyAlignment="1">
      <alignment vertical="center"/>
    </xf>
    <xf numFmtId="0" fontId="18" fillId="27" borderId="41" xfId="0" applyFont="1" applyFill="1" applyBorder="1" applyAlignment="1">
      <alignment horizontal="center" vertical="center" wrapText="1"/>
    </xf>
    <xf numFmtId="0" fontId="18" fillId="27" borderId="42" xfId="0" applyFont="1" applyFill="1" applyBorder="1" applyAlignment="1">
      <alignment horizontal="center" vertical="center" wrapText="1"/>
    </xf>
    <xf numFmtId="0" fontId="18" fillId="27" borderId="43" xfId="0" applyFont="1" applyFill="1" applyBorder="1" applyAlignment="1">
      <alignment horizontal="center" vertical="center" wrapText="1"/>
    </xf>
    <xf numFmtId="0" fontId="7" fillId="0" borderId="40" xfId="0" applyFont="1" applyBorder="1" applyAlignment="1">
      <alignment horizontal="center" vertical="center" wrapText="1"/>
    </xf>
    <xf numFmtId="0" fontId="8" fillId="0" borderId="40" xfId="0" applyFont="1" applyBorder="1" applyAlignment="1">
      <alignment vertical="center" wrapText="1"/>
    </xf>
    <xf numFmtId="0" fontId="8" fillId="0" borderId="40" xfId="0" applyFont="1" applyBorder="1" applyAlignment="1">
      <alignment vertical="top"/>
    </xf>
    <xf numFmtId="0" fontId="8" fillId="0" borderId="45" xfId="0" applyFont="1" applyBorder="1" applyAlignment="1">
      <alignment vertical="center" wrapText="1"/>
    </xf>
    <xf numFmtId="0" fontId="21" fillId="4" borderId="54" xfId="0" applyFont="1" applyFill="1" applyBorder="1" applyAlignment="1">
      <alignment horizontal="center" vertical="center" wrapText="1"/>
    </xf>
    <xf numFmtId="0" fontId="7" fillId="0" borderId="55" xfId="0" applyFont="1" applyBorder="1" applyAlignment="1">
      <alignment horizontal="center" vertical="center" wrapText="1"/>
    </xf>
    <xf numFmtId="0" fontId="8" fillId="0" borderId="55" xfId="0" applyFont="1" applyBorder="1" applyAlignment="1">
      <alignment vertical="center" wrapText="1"/>
    </xf>
    <xf numFmtId="0" fontId="8" fillId="0" borderId="56" xfId="0" applyFont="1" applyBorder="1" applyAlignment="1">
      <alignment vertical="center" wrapText="1"/>
    </xf>
    <xf numFmtId="0" fontId="26" fillId="4" borderId="0" xfId="0" applyFont="1" applyFill="1"/>
    <xf numFmtId="0" fontId="34" fillId="13" borderId="19" xfId="0" applyFont="1" applyFill="1" applyBorder="1" applyAlignment="1">
      <alignment horizontal="center" vertical="center" wrapText="1"/>
    </xf>
    <xf numFmtId="0" fontId="34" fillId="6" borderId="19" xfId="0" applyFont="1" applyFill="1" applyBorder="1" applyAlignment="1">
      <alignment horizontal="center" vertical="center" wrapText="1"/>
    </xf>
    <xf numFmtId="0" fontId="33" fillId="10" borderId="19" xfId="0" applyFont="1" applyFill="1" applyBorder="1" applyAlignment="1">
      <alignment horizontal="center" vertical="center" wrapText="1"/>
    </xf>
    <xf numFmtId="0" fontId="33" fillId="24" borderId="19" xfId="0" applyFont="1" applyFill="1" applyBorder="1" applyAlignment="1">
      <alignment horizontal="center" vertical="center" wrapText="1"/>
    </xf>
    <xf numFmtId="0" fontId="34" fillId="0" borderId="19" xfId="0" applyFont="1" applyBorder="1" applyAlignment="1">
      <alignment vertical="center" wrapText="1"/>
    </xf>
    <xf numFmtId="0" fontId="34" fillId="0" borderId="19" xfId="0" applyFont="1" applyBorder="1"/>
    <xf numFmtId="0" fontId="35" fillId="27" borderId="19" xfId="0" applyFont="1" applyFill="1" applyBorder="1" applyAlignment="1">
      <alignment horizontal="center" vertical="center" wrapText="1" readingOrder="1"/>
    </xf>
    <xf numFmtId="0" fontId="18" fillId="26" borderId="19" xfId="0" applyFont="1" applyFill="1" applyBorder="1" applyAlignment="1">
      <alignment horizontal="center" vertical="center"/>
    </xf>
    <xf numFmtId="0" fontId="18" fillId="10" borderId="19" xfId="0" applyFont="1" applyFill="1" applyBorder="1" applyAlignment="1">
      <alignment horizontal="center" vertical="center"/>
    </xf>
    <xf numFmtId="0" fontId="8" fillId="2" borderId="19" xfId="0" applyFont="1" applyFill="1" applyBorder="1" applyAlignment="1">
      <alignment horizontal="center" vertical="center"/>
    </xf>
    <xf numFmtId="9" fontId="8" fillId="0" borderId="19" xfId="3" applyFont="1" applyBorder="1" applyAlignment="1">
      <alignment horizontal="center" vertical="center"/>
    </xf>
    <xf numFmtId="0" fontId="8" fillId="0" borderId="19" xfId="0" applyFont="1" applyBorder="1" applyAlignment="1">
      <alignment horizontal="center" wrapText="1"/>
    </xf>
    <xf numFmtId="0" fontId="8" fillId="0" borderId="19" xfId="0" applyFont="1" applyBorder="1"/>
    <xf numFmtId="0" fontId="11" fillId="26" borderId="19" xfId="0" applyFont="1" applyFill="1" applyBorder="1" applyAlignment="1">
      <alignment horizontal="center"/>
    </xf>
    <xf numFmtId="0" fontId="11" fillId="2" borderId="19" xfId="0" applyFont="1" applyFill="1" applyBorder="1" applyAlignment="1">
      <alignment horizontal="center"/>
    </xf>
    <xf numFmtId="0" fontId="8" fillId="13" borderId="18" xfId="0" applyFont="1" applyFill="1" applyBorder="1" applyAlignment="1">
      <alignment horizontal="center"/>
    </xf>
    <xf numFmtId="0" fontId="20" fillId="29" borderId="0" xfId="0" applyFont="1" applyFill="1" applyAlignment="1">
      <alignment horizontal="center" vertical="center"/>
    </xf>
    <xf numFmtId="2" fontId="21" fillId="4" borderId="19" xfId="4" applyNumberFormat="1" applyFont="1" applyFill="1" applyBorder="1" applyAlignment="1">
      <alignment vertical="top" wrapText="1"/>
    </xf>
    <xf numFmtId="9" fontId="8" fillId="4" borderId="19" xfId="3" applyFont="1" applyFill="1" applyBorder="1" applyAlignment="1">
      <alignment vertical="top" wrapText="1"/>
    </xf>
    <xf numFmtId="0" fontId="18" fillId="38" borderId="19" xfId="0" applyFont="1" applyFill="1" applyBorder="1" applyAlignment="1">
      <alignment vertical="top" wrapText="1"/>
    </xf>
    <xf numFmtId="0" fontId="40" fillId="0" borderId="0" xfId="0" applyFont="1" applyAlignment="1">
      <alignment horizontal="center" vertical="center"/>
    </xf>
    <xf numFmtId="0" fontId="10" fillId="0" borderId="0" xfId="0" applyFont="1" applyAlignment="1">
      <alignment horizontal="center" vertical="top" wrapText="1"/>
    </xf>
    <xf numFmtId="0" fontId="10" fillId="0" borderId="0" xfId="0" applyFont="1" applyAlignment="1">
      <alignment vertical="top" wrapText="1"/>
    </xf>
    <xf numFmtId="2" fontId="54" fillId="0" borderId="0" xfId="4" applyNumberFormat="1" applyFont="1" applyAlignment="1">
      <alignment vertical="top" wrapText="1"/>
    </xf>
    <xf numFmtId="0" fontId="8" fillId="4" borderId="19" xfId="0" applyFont="1" applyFill="1" applyBorder="1" applyAlignment="1">
      <alignment horizontal="center" vertical="center" wrapText="1"/>
    </xf>
    <xf numFmtId="0" fontId="9" fillId="4" borderId="0" xfId="0" applyFont="1" applyFill="1" applyAlignment="1">
      <alignment vertical="top" wrapText="1"/>
    </xf>
    <xf numFmtId="0" fontId="18" fillId="24" borderId="7" xfId="0" applyFont="1" applyFill="1" applyBorder="1" applyAlignment="1">
      <alignment horizontal="center" textRotation="90"/>
    </xf>
    <xf numFmtId="0" fontId="18" fillId="24" borderId="47" xfId="0" applyFont="1" applyFill="1" applyBorder="1" applyAlignment="1">
      <alignment horizontal="center" textRotation="90"/>
    </xf>
    <xf numFmtId="0" fontId="18" fillId="24" borderId="47" xfId="0" applyFont="1" applyFill="1" applyBorder="1" applyAlignment="1">
      <alignment horizontal="center" textRotation="90" wrapText="1"/>
    </xf>
    <xf numFmtId="0" fontId="8" fillId="4" borderId="19" xfId="0" applyFont="1" applyFill="1" applyBorder="1" applyAlignment="1">
      <alignment horizontal="left" vertical="center" wrapText="1"/>
    </xf>
    <xf numFmtId="0" fontId="18" fillId="27" borderId="47" xfId="0" applyFont="1" applyFill="1" applyBorder="1" applyAlignment="1">
      <alignment horizontal="center" vertical="center" wrapText="1"/>
    </xf>
    <xf numFmtId="0" fontId="8" fillId="4" borderId="19" xfId="0" applyFont="1" applyFill="1" applyBorder="1" applyAlignment="1">
      <alignment horizontal="center" vertical="center"/>
    </xf>
    <xf numFmtId="0" fontId="7" fillId="4" borderId="19" xfId="0" applyFont="1" applyFill="1" applyBorder="1" applyAlignment="1">
      <alignment horizontal="center" vertical="center"/>
    </xf>
    <xf numFmtId="0" fontId="7" fillId="4" borderId="19" xfId="0" applyFont="1" applyFill="1" applyBorder="1" applyAlignment="1">
      <alignment horizontal="left" vertical="center" wrapText="1"/>
    </xf>
    <xf numFmtId="0" fontId="20" fillId="29" borderId="0" xfId="0" applyFont="1" applyFill="1" applyAlignment="1">
      <alignment vertical="center" wrapText="1"/>
    </xf>
    <xf numFmtId="0" fontId="7" fillId="4" borderId="19" xfId="0" applyFont="1" applyFill="1" applyBorder="1" applyAlignment="1">
      <alignment horizontal="center" vertical="center" wrapText="1"/>
    </xf>
    <xf numFmtId="0" fontId="30" fillId="0" borderId="0" xfId="7" applyFont="1" applyAlignment="1">
      <alignment horizontal="right" vertical="center"/>
    </xf>
    <xf numFmtId="0" fontId="31" fillId="0" borderId="0" xfId="7" applyFont="1" applyAlignment="1">
      <alignment horizontal="center" vertical="center"/>
    </xf>
    <xf numFmtId="0" fontId="8" fillId="36" borderId="19" xfId="0" applyFont="1" applyFill="1" applyBorder="1" applyAlignment="1">
      <alignment horizontal="center" vertical="center"/>
    </xf>
    <xf numFmtId="0" fontId="7" fillId="0" borderId="0" xfId="0" applyFont="1" applyAlignment="1">
      <alignment horizontal="center" vertical="center"/>
    </xf>
    <xf numFmtId="0" fontId="8" fillId="4" borderId="19" xfId="0" quotePrefix="1" applyFont="1" applyFill="1" applyBorder="1" applyAlignment="1">
      <alignment horizontal="left" vertical="center" wrapText="1"/>
    </xf>
    <xf numFmtId="0" fontId="8" fillId="4" borderId="19" xfId="0" quotePrefix="1" applyFont="1" applyFill="1" applyBorder="1" applyAlignment="1">
      <alignment vertical="top" wrapText="1"/>
    </xf>
    <xf numFmtId="0" fontId="9" fillId="4" borderId="19" xfId="0" quotePrefix="1" applyFont="1" applyFill="1" applyBorder="1" applyAlignment="1">
      <alignment vertical="top" wrapText="1"/>
    </xf>
    <xf numFmtId="0" fontId="7" fillId="0" borderId="19" xfId="0" applyFont="1" applyBorder="1" applyAlignment="1">
      <alignment horizontal="left" vertical="center" wrapText="1"/>
    </xf>
    <xf numFmtId="0" fontId="11" fillId="4" borderId="0" xfId="0" applyFont="1" applyFill="1" applyAlignment="1">
      <alignment vertical="top" wrapText="1"/>
    </xf>
    <xf numFmtId="2" fontId="54" fillId="4" borderId="0" xfId="4" applyNumberFormat="1" applyFont="1" applyFill="1" applyAlignment="1">
      <alignment vertical="top" wrapText="1"/>
    </xf>
    <xf numFmtId="0" fontId="8" fillId="4" borderId="0" xfId="0" applyFont="1" applyFill="1" applyAlignment="1">
      <alignment vertical="top" wrapText="1"/>
    </xf>
    <xf numFmtId="0" fontId="11" fillId="0" borderId="0" xfId="0" applyFont="1" applyAlignment="1">
      <alignment horizontal="center" vertical="center" wrapText="1"/>
    </xf>
    <xf numFmtId="0" fontId="18" fillId="27" borderId="39" xfId="0" applyFont="1" applyFill="1" applyBorder="1" applyAlignment="1">
      <alignment horizontal="center" vertical="center" wrapText="1"/>
    </xf>
    <xf numFmtId="0" fontId="18" fillId="27" borderId="48" xfId="0" applyFont="1" applyFill="1" applyBorder="1" applyAlignment="1">
      <alignment horizontal="center" vertical="center" wrapText="1"/>
    </xf>
    <xf numFmtId="0" fontId="23" fillId="4" borderId="0" xfId="0" applyFont="1" applyFill="1"/>
    <xf numFmtId="0" fontId="22" fillId="4" borderId="0" xfId="0" applyFont="1" applyFill="1" applyAlignment="1">
      <alignment horizontal="center" vertical="center" wrapText="1"/>
    </xf>
    <xf numFmtId="0" fontId="23" fillId="4" borderId="0" xfId="0" applyFont="1" applyFill="1" applyAlignment="1">
      <alignment horizontal="left" vertical="center" wrapText="1"/>
    </xf>
    <xf numFmtId="0" fontId="22" fillId="0" borderId="0" xfId="0" applyFont="1" applyAlignment="1">
      <alignment horizontal="center" vertical="center"/>
    </xf>
    <xf numFmtId="0" fontId="22" fillId="0" borderId="0" xfId="0" applyFont="1" applyAlignment="1">
      <alignment horizontal="center" vertical="center" wrapText="1"/>
    </xf>
    <xf numFmtId="0" fontId="23" fillId="0" borderId="0" xfId="0" applyFont="1" applyAlignment="1" applyProtection="1">
      <alignment horizontal="left" vertical="center" wrapText="1"/>
      <protection locked="0"/>
    </xf>
    <xf numFmtId="1" fontId="8" fillId="4" borderId="19" xfId="3" applyNumberFormat="1" applyFont="1" applyFill="1" applyBorder="1" applyAlignment="1">
      <alignment horizontal="center" vertical="center"/>
    </xf>
    <xf numFmtId="2" fontId="8" fillId="4" borderId="19" xfId="3" applyNumberFormat="1" applyFont="1" applyFill="1" applyBorder="1" applyAlignment="1">
      <alignment horizontal="center" vertical="center"/>
    </xf>
    <xf numFmtId="9" fontId="8" fillId="4" borderId="19" xfId="3" applyFont="1" applyFill="1" applyBorder="1" applyAlignment="1">
      <alignment horizontal="center" vertical="center"/>
    </xf>
    <xf numFmtId="0" fontId="55" fillId="0" borderId="0" xfId="6" applyFont="1" applyAlignment="1" applyProtection="1">
      <alignment horizontal="center" vertical="center"/>
      <protection locked="0"/>
    </xf>
    <xf numFmtId="0" fontId="55" fillId="0" borderId="0" xfId="6" applyFont="1" applyAlignment="1" applyProtection="1">
      <alignment horizontal="center" vertical="center" wrapText="1"/>
      <protection locked="0"/>
    </xf>
    <xf numFmtId="0" fontId="56" fillId="0" borderId="0" xfId="7" applyFont="1" applyAlignment="1">
      <alignment horizontal="center" vertical="center"/>
    </xf>
    <xf numFmtId="0" fontId="56" fillId="0" borderId="0" xfId="7" applyFont="1" applyAlignment="1">
      <alignment horizontal="center" vertical="center" wrapText="1"/>
    </xf>
    <xf numFmtId="0" fontId="55" fillId="4" borderId="19" xfId="0" applyFont="1" applyFill="1" applyBorder="1" applyAlignment="1">
      <alignment horizontal="center" vertical="center" wrapText="1"/>
    </xf>
    <xf numFmtId="0" fontId="7" fillId="4" borderId="18" xfId="0" applyFont="1" applyFill="1" applyBorder="1" applyAlignment="1">
      <alignment horizontal="center" vertical="center"/>
    </xf>
    <xf numFmtId="0" fontId="7" fillId="29" borderId="0" xfId="0" applyFont="1" applyFill="1" applyAlignment="1">
      <alignment horizontal="center" vertical="center"/>
    </xf>
    <xf numFmtId="0" fontId="8" fillId="29" borderId="0" xfId="0" applyFont="1" applyFill="1" applyAlignment="1">
      <alignment horizontal="center" vertical="center"/>
    </xf>
    <xf numFmtId="0" fontId="11" fillId="20" borderId="7" xfId="0" applyFont="1" applyFill="1" applyBorder="1" applyAlignment="1">
      <alignment horizontal="center" vertical="center"/>
    </xf>
    <xf numFmtId="0" fontId="11" fillId="21" borderId="7" xfId="0" applyFont="1" applyFill="1" applyBorder="1" applyAlignment="1">
      <alignment horizontal="center" vertical="center" wrapText="1"/>
    </xf>
    <xf numFmtId="0" fontId="0" fillId="4" borderId="19" xfId="0" applyFill="1" applyBorder="1" applyAlignment="1">
      <alignment horizontal="center" vertical="center"/>
    </xf>
    <xf numFmtId="0" fontId="8" fillId="0" borderId="0" xfId="6" applyFont="1" applyAlignment="1" applyProtection="1">
      <alignment horizontal="center" vertical="center"/>
      <protection locked="0"/>
    </xf>
    <xf numFmtId="0" fontId="11" fillId="4" borderId="0" xfId="0" applyFont="1" applyFill="1" applyAlignment="1">
      <alignment horizontal="left" vertical="center" wrapText="1"/>
    </xf>
    <xf numFmtId="164" fontId="11" fillId="4" borderId="0" xfId="0" applyNumberFormat="1" applyFont="1" applyFill="1" applyAlignment="1">
      <alignment horizontal="left" vertical="center" wrapText="1"/>
    </xf>
    <xf numFmtId="0" fontId="11" fillId="4" borderId="0" xfId="0" applyFont="1" applyFill="1" applyAlignment="1">
      <alignment vertical="center"/>
    </xf>
    <xf numFmtId="4" fontId="11" fillId="0" borderId="0" xfId="0" applyNumberFormat="1" applyFont="1"/>
    <xf numFmtId="165" fontId="11" fillId="0" borderId="0" xfId="0" applyNumberFormat="1" applyFont="1"/>
    <xf numFmtId="9" fontId="14" fillId="0" borderId="0" xfId="3" applyFont="1" applyFill="1" applyAlignment="1">
      <alignment vertical="center" wrapText="1"/>
    </xf>
    <xf numFmtId="0" fontId="23" fillId="4" borderId="28" xfId="0" applyFont="1" applyFill="1" applyBorder="1" applyAlignment="1">
      <alignment wrapText="1"/>
    </xf>
    <xf numFmtId="0" fontId="11" fillId="0" borderId="0" xfId="0" applyFont="1" applyAlignment="1">
      <alignment horizontal="center" vertical="top" wrapText="1"/>
    </xf>
    <xf numFmtId="0" fontId="18" fillId="4" borderId="0" xfId="0" applyFont="1" applyFill="1" applyAlignment="1">
      <alignment vertical="top" wrapText="1"/>
    </xf>
    <xf numFmtId="0" fontId="18" fillId="4" borderId="0" xfId="0" applyFont="1" applyFill="1" applyAlignment="1">
      <alignment vertical="center" wrapText="1"/>
    </xf>
    <xf numFmtId="0" fontId="18" fillId="0" borderId="0" xfId="0" applyFont="1" applyAlignment="1">
      <alignment vertical="top" wrapText="1"/>
    </xf>
    <xf numFmtId="0" fontId="18" fillId="4" borderId="0" xfId="0" applyFont="1" applyFill="1" applyAlignment="1">
      <alignment horizontal="center" textRotation="90"/>
    </xf>
    <xf numFmtId="0" fontId="18" fillId="4" borderId="0" xfId="0" applyFont="1" applyFill="1" applyAlignment="1">
      <alignment horizontal="center" textRotation="90" wrapText="1"/>
    </xf>
    <xf numFmtId="0" fontId="8" fillId="0" borderId="7" xfId="0" applyFont="1" applyBorder="1" applyAlignment="1">
      <alignment vertical="top" wrapText="1"/>
    </xf>
    <xf numFmtId="0" fontId="7" fillId="0" borderId="19" xfId="8" applyFont="1" applyBorder="1" applyAlignment="1">
      <alignment vertical="top" wrapText="1"/>
    </xf>
    <xf numFmtId="0" fontId="8" fillId="0" borderId="19" xfId="8" applyFont="1" applyBorder="1" applyAlignment="1">
      <alignment vertical="top" wrapText="1"/>
    </xf>
    <xf numFmtId="0" fontId="9" fillId="0" borderId="19" xfId="0" applyFont="1" applyBorder="1" applyAlignment="1">
      <alignment horizontal="center" vertical="center"/>
    </xf>
    <xf numFmtId="0" fontId="21" fillId="0" borderId="19" xfId="4" applyFont="1" applyBorder="1" applyAlignment="1">
      <alignment horizontal="center" vertical="center"/>
    </xf>
    <xf numFmtId="0" fontId="8" fillId="0" borderId="19" xfId="0" applyFont="1" applyBorder="1" applyAlignment="1">
      <alignment vertical="top" wrapText="1"/>
    </xf>
    <xf numFmtId="0" fontId="9" fillId="0" borderId="19" xfId="0" applyFont="1" applyBorder="1" applyAlignment="1">
      <alignment horizontal="center" vertical="center" wrapText="1"/>
    </xf>
    <xf numFmtId="0" fontId="8" fillId="0" borderId="19" xfId="0" applyFont="1" applyBorder="1" applyAlignment="1">
      <alignment vertical="center" wrapText="1"/>
    </xf>
    <xf numFmtId="0" fontId="23" fillId="4" borderId="20" xfId="0" applyFont="1" applyFill="1" applyBorder="1" applyAlignment="1">
      <alignment wrapText="1"/>
    </xf>
    <xf numFmtId="0" fontId="29" fillId="4" borderId="22" xfId="0" applyFont="1" applyFill="1" applyBorder="1" applyAlignment="1">
      <alignment vertical="center" wrapText="1"/>
    </xf>
    <xf numFmtId="0" fontId="29" fillId="4" borderId="24" xfId="0" applyFont="1" applyFill="1" applyBorder="1" applyAlignment="1">
      <alignment vertical="center" wrapText="1"/>
    </xf>
    <xf numFmtId="0" fontId="9" fillId="0" borderId="0" xfId="6" applyFont="1" applyAlignment="1" applyProtection="1">
      <alignment vertical="center"/>
      <protection locked="0"/>
    </xf>
    <xf numFmtId="1" fontId="9" fillId="0" borderId="0" xfId="0" applyNumberFormat="1" applyFont="1"/>
    <xf numFmtId="0" fontId="11" fillId="0" borderId="0" xfId="0" applyFont="1" applyAlignment="1">
      <alignment horizontal="left" vertical="center" wrapText="1"/>
    </xf>
    <xf numFmtId="0" fontId="5" fillId="4" borderId="20" xfId="5" applyFill="1" applyBorder="1" applyAlignment="1">
      <alignment vertical="center" wrapText="1"/>
    </xf>
    <xf numFmtId="0" fontId="25" fillId="28" borderId="0" xfId="0" applyFont="1" applyFill="1" applyAlignment="1">
      <alignment horizontal="center" vertical="center" textRotation="90" wrapText="1"/>
    </xf>
    <xf numFmtId="0" fontId="22" fillId="33" borderId="0" xfId="0" applyFont="1" applyFill="1" applyAlignment="1">
      <alignment horizontal="left" vertical="center" wrapText="1"/>
    </xf>
    <xf numFmtId="0" fontId="22" fillId="31" borderId="0" xfId="0" applyFont="1" applyFill="1" applyAlignment="1">
      <alignment horizontal="left" vertical="center" wrapText="1"/>
    </xf>
    <xf numFmtId="0" fontId="22" fillId="32" borderId="0" xfId="0" applyFont="1" applyFill="1" applyAlignment="1">
      <alignment horizontal="left" vertical="center" wrapText="1"/>
    </xf>
    <xf numFmtId="0" fontId="25" fillId="25" borderId="0" xfId="0" applyFont="1" applyFill="1" applyAlignment="1">
      <alignment horizontal="center" vertical="center" textRotation="90"/>
    </xf>
    <xf numFmtId="0" fontId="42" fillId="0" borderId="0" xfId="0" applyFont="1" applyAlignment="1" applyProtection="1">
      <alignment vertical="center" wrapText="1"/>
      <protection locked="0"/>
    </xf>
    <xf numFmtId="0" fontId="42" fillId="3" borderId="31" xfId="0" applyFont="1" applyFill="1" applyBorder="1" applyAlignment="1" applyProtection="1">
      <alignment horizontal="center"/>
      <protection locked="0"/>
    </xf>
    <xf numFmtId="0" fontId="42" fillId="3" borderId="32" xfId="0" applyFont="1" applyFill="1" applyBorder="1" applyAlignment="1" applyProtection="1">
      <alignment horizontal="center"/>
      <protection locked="0"/>
    </xf>
    <xf numFmtId="0" fontId="42" fillId="3" borderId="30" xfId="0" applyFont="1" applyFill="1" applyBorder="1" applyAlignment="1" applyProtection="1">
      <alignment horizontal="center"/>
      <protection locked="0"/>
    </xf>
    <xf numFmtId="0" fontId="14" fillId="0" borderId="0" xfId="0" applyFont="1" applyAlignment="1" applyProtection="1">
      <alignment vertical="center" wrapText="1"/>
      <protection locked="0"/>
    </xf>
    <xf numFmtId="0" fontId="14" fillId="0" borderId="35" xfId="0" applyFont="1" applyBorder="1" applyAlignment="1" applyProtection="1">
      <alignment wrapText="1"/>
      <protection locked="0"/>
    </xf>
    <xf numFmtId="0" fontId="14" fillId="0" borderId="36" xfId="0" applyFont="1" applyBorder="1" applyAlignment="1" applyProtection="1">
      <alignment wrapText="1"/>
      <protection locked="0"/>
    </xf>
    <xf numFmtId="0" fontId="14" fillId="0" borderId="37" xfId="0" applyFont="1" applyBorder="1" applyAlignment="1" applyProtection="1">
      <alignment wrapText="1"/>
      <protection locked="0"/>
    </xf>
    <xf numFmtId="0" fontId="25" fillId="24" borderId="0" xfId="0" applyFont="1" applyFill="1" applyAlignment="1">
      <alignment horizontal="center" vertical="center" textRotation="90" wrapText="1"/>
    </xf>
    <xf numFmtId="0" fontId="22" fillId="34" borderId="0" xfId="0" applyFont="1" applyFill="1" applyAlignment="1">
      <alignment horizontal="left" vertical="center" wrapText="1"/>
    </xf>
    <xf numFmtId="0" fontId="42" fillId="31" borderId="0" xfId="0" applyFont="1" applyFill="1" applyAlignment="1">
      <alignment horizontal="left" vertical="center" wrapText="1"/>
    </xf>
    <xf numFmtId="0" fontId="42" fillId="33" borderId="0" xfId="0" applyFont="1" applyFill="1" applyAlignment="1">
      <alignment horizontal="left" vertical="center" wrapText="1"/>
    </xf>
    <xf numFmtId="0" fontId="42" fillId="3" borderId="31" xfId="0" applyFont="1" applyFill="1" applyBorder="1" applyAlignment="1" applyProtection="1">
      <alignment horizontal="center" wrapText="1"/>
      <protection locked="0"/>
    </xf>
    <xf numFmtId="0" fontId="44" fillId="0" borderId="34" xfId="0" applyFont="1" applyBorder="1" applyAlignment="1" applyProtection="1">
      <alignment horizontal="center"/>
      <protection locked="0"/>
    </xf>
    <xf numFmtId="0" fontId="45" fillId="0" borderId="5" xfId="0" applyFont="1" applyBorder="1" applyAlignment="1" applyProtection="1">
      <alignment horizontal="center" vertical="center"/>
      <protection locked="0"/>
    </xf>
    <xf numFmtId="0" fontId="50" fillId="27" borderId="0" xfId="0" applyFont="1" applyFill="1" applyAlignment="1">
      <alignment horizontal="center" vertical="center"/>
    </xf>
    <xf numFmtId="0" fontId="15" fillId="29" borderId="0" xfId="0" applyFont="1" applyFill="1" applyAlignment="1">
      <alignment horizontal="left" vertical="center" wrapText="1"/>
    </xf>
    <xf numFmtId="0" fontId="20" fillId="27" borderId="40" xfId="0" applyFont="1" applyFill="1" applyBorder="1" applyAlignment="1">
      <alignment horizontal="center" vertical="center"/>
    </xf>
    <xf numFmtId="0" fontId="20" fillId="5" borderId="40" xfId="0" applyFont="1" applyFill="1" applyBorder="1" applyAlignment="1">
      <alignment horizontal="center" vertical="center"/>
    </xf>
    <xf numFmtId="0" fontId="20" fillId="5" borderId="40" xfId="0" applyFont="1" applyFill="1" applyBorder="1" applyAlignment="1">
      <alignment horizontal="left" vertical="center"/>
    </xf>
    <xf numFmtId="0" fontId="21" fillId="0" borderId="40" xfId="0" applyFont="1" applyBorder="1" applyAlignment="1">
      <alignment horizontal="left" vertical="center"/>
    </xf>
    <xf numFmtId="0" fontId="21" fillId="0" borderId="40" xfId="0" applyFont="1" applyBorder="1" applyAlignment="1">
      <alignment horizontal="left" vertical="center" wrapText="1"/>
    </xf>
    <xf numFmtId="0" fontId="20" fillId="5" borderId="40" xfId="0" applyFont="1" applyFill="1" applyBorder="1" applyAlignment="1">
      <alignment horizontal="center" vertical="center" wrapText="1"/>
    </xf>
    <xf numFmtId="0" fontId="20" fillId="0" borderId="40" xfId="0" applyFont="1" applyBorder="1" applyAlignment="1">
      <alignment horizontal="left" vertical="center"/>
    </xf>
    <xf numFmtId="49" fontId="21" fillId="0" borderId="40" xfId="0" applyNumberFormat="1" applyFont="1" applyBorder="1" applyAlignment="1">
      <alignment horizontal="left" vertical="center"/>
    </xf>
    <xf numFmtId="0" fontId="20" fillId="0" borderId="45" xfId="0" applyFont="1" applyBorder="1" applyAlignment="1">
      <alignment horizontal="left" vertical="center"/>
    </xf>
    <xf numFmtId="0" fontId="20" fillId="0" borderId="46" xfId="0" applyFont="1" applyBorder="1" applyAlignment="1">
      <alignment horizontal="left" vertical="center"/>
    </xf>
    <xf numFmtId="0" fontId="20" fillId="0" borderId="44" xfId="0" applyFont="1" applyBorder="1" applyAlignment="1">
      <alignment horizontal="left" vertical="center"/>
    </xf>
    <xf numFmtId="0" fontId="21" fillId="0" borderId="45" xfId="0" applyFont="1" applyBorder="1" applyAlignment="1">
      <alignment horizontal="left" vertical="top" wrapText="1"/>
    </xf>
    <xf numFmtId="0" fontId="21" fillId="0" borderId="46" xfId="0" applyFont="1" applyBorder="1" applyAlignment="1">
      <alignment horizontal="left" vertical="top" wrapText="1"/>
    </xf>
    <xf numFmtId="0" fontId="21" fillId="0" borderId="44" xfId="0" applyFont="1" applyBorder="1" applyAlignment="1">
      <alignment horizontal="left" vertical="top" wrapText="1"/>
    </xf>
    <xf numFmtId="0" fontId="20" fillId="27" borderId="45" xfId="0" applyFont="1" applyFill="1" applyBorder="1" applyAlignment="1">
      <alignment horizontal="center" vertical="center"/>
    </xf>
    <xf numFmtId="0" fontId="20" fillId="27" borderId="46" xfId="0" applyFont="1" applyFill="1" applyBorder="1" applyAlignment="1">
      <alignment horizontal="center" vertical="center"/>
    </xf>
    <xf numFmtId="0" fontId="20" fillId="27" borderId="44" xfId="0" applyFont="1" applyFill="1" applyBorder="1" applyAlignment="1">
      <alignment horizontal="center" vertical="center"/>
    </xf>
    <xf numFmtId="0" fontId="21" fillId="0" borderId="40" xfId="0" quotePrefix="1" applyFont="1" applyBorder="1" applyAlignment="1">
      <alignment horizontal="left" vertical="center"/>
    </xf>
    <xf numFmtId="0" fontId="21" fillId="0" borderId="40" xfId="0" applyFont="1" applyBorder="1" applyAlignment="1">
      <alignment horizontal="center" vertical="center"/>
    </xf>
    <xf numFmtId="0" fontId="20" fillId="29" borderId="0" xfId="0" applyFont="1" applyFill="1" applyAlignment="1">
      <alignment horizontal="center" vertical="center"/>
    </xf>
    <xf numFmtId="0" fontId="25" fillId="25" borderId="20" xfId="0" applyFont="1" applyFill="1" applyBorder="1" applyAlignment="1">
      <alignment horizontal="center" vertical="center" wrapText="1"/>
    </xf>
    <xf numFmtId="0" fontId="25" fillId="25" borderId="0" xfId="0" applyFont="1" applyFill="1" applyAlignment="1">
      <alignment horizontal="center" vertical="center"/>
    </xf>
    <xf numFmtId="0" fontId="25" fillId="25" borderId="20" xfId="0" applyFont="1" applyFill="1" applyBorder="1" applyAlignment="1">
      <alignment horizontal="center" vertical="center"/>
    </xf>
    <xf numFmtId="0" fontId="20" fillId="29" borderId="0" xfId="0" applyFont="1" applyFill="1" applyAlignment="1">
      <alignment horizontal="center"/>
    </xf>
    <xf numFmtId="0" fontId="25" fillId="25" borderId="22" xfId="0" applyFont="1" applyFill="1" applyBorder="1" applyAlignment="1">
      <alignment horizontal="center" vertical="center"/>
    </xf>
    <xf numFmtId="0" fontId="25" fillId="25" borderId="57" xfId="0" applyFont="1" applyFill="1" applyBorder="1" applyAlignment="1">
      <alignment horizontal="center" vertical="center"/>
    </xf>
    <xf numFmtId="0" fontId="25" fillId="25" borderId="21" xfId="0" applyFont="1" applyFill="1" applyBorder="1" applyAlignment="1">
      <alignment horizontal="center" vertical="center"/>
    </xf>
    <xf numFmtId="0" fontId="25" fillId="14" borderId="20" xfId="0" applyFont="1" applyFill="1" applyBorder="1" applyAlignment="1">
      <alignment horizontal="center" vertical="center"/>
    </xf>
    <xf numFmtId="0" fontId="25" fillId="14" borderId="22" xfId="0" applyFont="1" applyFill="1" applyBorder="1" applyAlignment="1">
      <alignment horizontal="center" vertical="center"/>
    </xf>
    <xf numFmtId="0" fontId="25" fillId="12" borderId="20" xfId="0" applyFont="1" applyFill="1" applyBorder="1" applyAlignment="1">
      <alignment horizontal="center" vertical="center"/>
    </xf>
    <xf numFmtId="0" fontId="23" fillId="0" borderId="0" xfId="0" applyFont="1" applyAlignment="1">
      <alignment horizontal="center" vertical="center"/>
    </xf>
    <xf numFmtId="0" fontId="50" fillId="28" borderId="0" xfId="0" applyFont="1" applyFill="1" applyAlignment="1">
      <alignment horizontal="center" vertical="center"/>
    </xf>
    <xf numFmtId="0" fontId="18" fillId="37" borderId="0" xfId="0" applyFont="1" applyFill="1" applyAlignment="1">
      <alignment horizontal="center" vertical="top" wrapText="1"/>
    </xf>
    <xf numFmtId="0" fontId="18" fillId="23" borderId="6" xfId="0" applyFont="1" applyFill="1" applyBorder="1" applyAlignment="1">
      <alignment horizontal="center" vertical="top" wrapText="1"/>
    </xf>
    <xf numFmtId="0" fontId="18" fillId="22" borderId="6" xfId="0" applyFont="1" applyFill="1" applyBorder="1" applyAlignment="1">
      <alignment horizontal="center" vertical="center" wrapText="1"/>
    </xf>
    <xf numFmtId="0" fontId="18" fillId="22" borderId="0" xfId="0" applyFont="1" applyFill="1" applyAlignment="1">
      <alignment horizontal="center" vertical="top" wrapText="1"/>
    </xf>
    <xf numFmtId="0" fontId="18" fillId="12" borderId="6" xfId="0" applyFont="1" applyFill="1" applyBorder="1" applyAlignment="1">
      <alignment horizontal="center" vertical="top" wrapText="1"/>
    </xf>
    <xf numFmtId="0" fontId="18" fillId="11" borderId="6" xfId="0" applyFont="1" applyFill="1" applyBorder="1" applyAlignment="1">
      <alignment horizontal="center" vertical="top" wrapText="1"/>
    </xf>
    <xf numFmtId="0" fontId="30" fillId="0" borderId="0" xfId="7" applyFont="1" applyAlignment="1">
      <alignment horizontal="left" vertical="top"/>
    </xf>
    <xf numFmtId="0" fontId="18" fillId="17" borderId="19" xfId="0" applyFont="1" applyFill="1" applyBorder="1" applyAlignment="1">
      <alignment horizontal="center" vertical="center"/>
    </xf>
    <xf numFmtId="0" fontId="18" fillId="18" borderId="19" xfId="0" applyFont="1" applyFill="1" applyBorder="1" applyAlignment="1">
      <alignment horizontal="center" vertical="center"/>
    </xf>
    <xf numFmtId="0" fontId="18" fillId="16" borderId="6" xfId="0" applyFont="1" applyFill="1" applyBorder="1" applyAlignment="1">
      <alignment horizontal="center"/>
    </xf>
    <xf numFmtId="0" fontId="18" fillId="16" borderId="50" xfId="0" applyFont="1" applyFill="1" applyBorder="1" applyAlignment="1">
      <alignment horizontal="center"/>
    </xf>
    <xf numFmtId="0" fontId="8" fillId="0" borderId="0" xfId="0" applyFont="1" applyAlignment="1">
      <alignment horizontal="left" vertical="center"/>
    </xf>
    <xf numFmtId="0" fontId="32" fillId="19" borderId="8" xfId="0" applyFont="1" applyFill="1" applyBorder="1" applyAlignment="1">
      <alignment horizontal="center"/>
    </xf>
    <xf numFmtId="0" fontId="32" fillId="19" borderId="9" xfId="0" applyFont="1" applyFill="1" applyBorder="1" applyAlignment="1">
      <alignment horizontal="center"/>
    </xf>
    <xf numFmtId="0" fontId="32" fillId="19" borderId="10" xfId="0" applyFont="1" applyFill="1" applyBorder="1" applyAlignment="1">
      <alignment horizontal="center"/>
    </xf>
    <xf numFmtId="0" fontId="20" fillId="29" borderId="0" xfId="0" applyFont="1" applyFill="1" applyAlignment="1">
      <alignment horizontal="left" vertical="center"/>
    </xf>
    <xf numFmtId="0" fontId="37" fillId="28" borderId="0" xfId="0" applyFont="1" applyFill="1" applyAlignment="1">
      <alignment horizontal="center" vertical="center"/>
    </xf>
    <xf numFmtId="0" fontId="22" fillId="30" borderId="0" xfId="0" applyFont="1" applyFill="1" applyAlignment="1">
      <alignment horizontal="center"/>
    </xf>
    <xf numFmtId="0" fontId="22" fillId="30" borderId="0" xfId="0" applyFont="1" applyFill="1" applyAlignment="1">
      <alignment horizontal="center" vertical="center"/>
    </xf>
    <xf numFmtId="0" fontId="22" fillId="3" borderId="0" xfId="0" applyFont="1" applyFill="1" applyAlignment="1">
      <alignment horizontal="left" vertical="center"/>
    </xf>
    <xf numFmtId="0" fontId="7" fillId="0" borderId="19" xfId="0" applyFont="1" applyBorder="1" applyAlignment="1">
      <alignment horizontal="left" vertical="center" wrapText="1"/>
    </xf>
    <xf numFmtId="0" fontId="8" fillId="0" borderId="19" xfId="0" applyFont="1" applyBorder="1" applyAlignment="1">
      <alignment horizontal="left" vertical="center" wrapText="1"/>
    </xf>
    <xf numFmtId="0" fontId="42" fillId="30" borderId="29" xfId="0" applyFont="1" applyFill="1" applyBorder="1" applyAlignment="1">
      <alignment horizontal="center" vertical="center"/>
    </xf>
    <xf numFmtId="0" fontId="22" fillId="29" borderId="6" xfId="0" applyFont="1" applyFill="1" applyBorder="1" applyAlignment="1">
      <alignment horizontal="center" vertical="center"/>
    </xf>
    <xf numFmtId="0" fontId="22" fillId="29" borderId="6" xfId="0" applyFont="1" applyFill="1" applyBorder="1" applyAlignment="1">
      <alignment horizontal="center" vertical="center" wrapText="1"/>
    </xf>
    <xf numFmtId="0" fontId="35" fillId="27" borderId="18" xfId="0" applyFont="1" applyFill="1" applyBorder="1" applyAlignment="1">
      <alignment horizontal="center" vertical="center" wrapText="1" readingOrder="1"/>
    </xf>
    <xf numFmtId="0" fontId="35" fillId="27" borderId="17" xfId="0" applyFont="1" applyFill="1" applyBorder="1" applyAlignment="1">
      <alignment horizontal="center" vertical="center" wrapText="1" readingOrder="1"/>
    </xf>
    <xf numFmtId="0" fontId="7" fillId="29" borderId="0" xfId="0" applyFont="1" applyFill="1" applyAlignment="1">
      <alignment horizontal="center" vertical="center" wrapText="1"/>
    </xf>
    <xf numFmtId="0" fontId="7" fillId="0" borderId="16" xfId="0" applyFont="1" applyBorder="1" applyAlignment="1">
      <alignment horizontal="center"/>
    </xf>
  </cellXfs>
  <cellStyles count="9">
    <cellStyle name="Collegamento ipertestuale" xfId="5" builtinId="8"/>
    <cellStyle name="Normal 2" xfId="1" xr:uid="{00000000-0005-0000-0000-000001000000}"/>
    <cellStyle name="Normal 2 3" xfId="7" xr:uid="{C0C88189-5DC6-4131-B35D-CCEF6D7A6451}"/>
    <cellStyle name="Normal 3" xfId="6" xr:uid="{1979D66F-ABAE-486E-8DBC-9A87BB0448AC}"/>
    <cellStyle name="Normale" xfId="0" builtinId="0"/>
    <cellStyle name="Normale 2" xfId="2" xr:uid="{00000000-0005-0000-0000-000003000000}"/>
    <cellStyle name="Normale 2 2" xfId="4" xr:uid="{250ABFA8-61FF-465D-B06A-AC624D8D9124}"/>
    <cellStyle name="Normale 3" xfId="8" xr:uid="{F5CA6463-439C-41E6-90D3-E273FC97E753}"/>
    <cellStyle name="Percentuale" xfId="3" builtinId="5"/>
  </cellStyles>
  <dxfs count="493">
    <dxf>
      <font>
        <color theme="1"/>
      </font>
      <fill>
        <patternFill>
          <bgColor rgb="FF92D050"/>
        </patternFill>
      </fill>
    </dxf>
    <dxf>
      <fill>
        <patternFill>
          <bgColor rgb="FFFFC000"/>
        </patternFill>
      </fill>
    </dxf>
    <dxf>
      <font>
        <color theme="0"/>
      </font>
      <fill>
        <patternFill>
          <bgColor rgb="FFFF0000"/>
        </patternFill>
      </fill>
    </dxf>
    <dxf>
      <font>
        <strike val="0"/>
        <outline val="0"/>
        <shadow val="0"/>
        <u val="none"/>
        <vertAlign val="baseline"/>
        <name val="CocoEng"/>
        <family val="3"/>
        <scheme val="none"/>
      </font>
      <fill>
        <patternFill>
          <fgColor indexed="64"/>
          <bgColor theme="0"/>
        </patternFill>
      </fill>
      <alignment vertical="center" textRotation="0" wrapText="1" indent="0" justifyLastLine="0" shrinkToFit="0"/>
      <border diagonalUp="0" diagonalDown="0" outline="0">
        <left style="thin">
          <color theme="0" tint="-0.499984740745262"/>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i val="0"/>
        <strike val="0"/>
        <condense val="0"/>
        <extend val="0"/>
        <outline val="0"/>
        <shadow val="0"/>
        <u val="none"/>
        <vertAlign val="baseline"/>
        <sz val="9"/>
        <color auto="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right style="thin">
          <color theme="0" tint="-0.499984740745262"/>
        </right>
        <top style="thin">
          <color theme="0" tint="-0.499984740745262"/>
        </top>
        <bottom style="thin">
          <color theme="0" tint="-0.499984740745262"/>
        </bottom>
      </border>
    </dxf>
    <dxf>
      <border>
        <top style="thin">
          <color theme="0" tint="-0.499984740745262"/>
        </top>
      </border>
    </dxf>
    <dxf>
      <border diagonalUp="0" diagonalDown="0">
        <left style="thin">
          <color theme="0" tint="-0.499984740745262"/>
        </left>
        <right style="thin">
          <color theme="0" tint="-0.499984740745262"/>
        </right>
        <top style="thin">
          <color theme="0" tint="-0.499984740745262"/>
        </top>
        <bottom style="thin">
          <color theme="0" tint="-0.499984740745262"/>
        </bottom>
      </border>
    </dxf>
    <dxf>
      <font>
        <strike val="0"/>
        <outline val="0"/>
        <shadow val="0"/>
        <u val="none"/>
        <vertAlign val="baseline"/>
        <name val="CocoEng"/>
        <family val="3"/>
        <scheme val="none"/>
      </font>
      <fill>
        <patternFill>
          <fgColor indexed="64"/>
          <bgColor theme="0"/>
        </patternFill>
      </fill>
    </dxf>
    <dxf>
      <border>
        <bottom style="thin">
          <color theme="0" tint="-0.499984740745262"/>
        </bottom>
      </border>
    </dxf>
    <dxf>
      <font>
        <b/>
        <i val="0"/>
        <strike val="0"/>
        <condense val="0"/>
        <extend val="0"/>
        <outline val="0"/>
        <shadow val="0"/>
        <u val="none"/>
        <vertAlign val="baseline"/>
        <sz val="9"/>
        <color rgb="FFFFFFFF"/>
        <name val="CocoEng"/>
        <family val="3"/>
        <scheme val="none"/>
      </font>
      <fill>
        <patternFill patternType="solid">
          <fgColor indexed="64"/>
          <bgColor rgb="FF993366"/>
        </patternFill>
      </fill>
      <alignment horizontal="center" vertical="center" textRotation="0" wrapText="1" indent="0" justifyLastLine="0" shrinkToFit="0" readingOrder="1"/>
      <border diagonalUp="0" diagonalDown="0" outline="0">
        <left style="thin">
          <color theme="0" tint="-0.499984740745262"/>
        </left>
        <right style="thin">
          <color theme="0" tint="-0.499984740745262"/>
        </right>
        <top/>
        <bottom/>
      </border>
    </dxf>
    <dxf>
      <font>
        <color theme="0"/>
      </font>
      <fill>
        <patternFill>
          <bgColor rgb="FFFF0000"/>
        </patternFill>
      </fill>
    </dxf>
    <dxf>
      <fill>
        <patternFill>
          <bgColor rgb="FFFFFF00"/>
        </patternFill>
      </fill>
    </dxf>
    <dxf>
      <fill>
        <patternFill>
          <bgColor rgb="FF92D050"/>
        </patternFill>
      </fill>
    </dxf>
    <dxf>
      <font>
        <b/>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i val="0"/>
        <strike val="0"/>
        <condense val="0"/>
        <extend val="0"/>
        <outline val="0"/>
        <shadow val="0"/>
        <u val="none"/>
        <vertAlign val="baseline"/>
        <sz val="11"/>
        <color rgb="FF000000"/>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numFmt numFmtId="2" formatCode="0.00"/>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i val="0"/>
        <strike val="0"/>
        <condense val="0"/>
        <extend val="0"/>
        <outline val="0"/>
        <shadow val="0"/>
        <u val="none"/>
        <vertAlign val="baseline"/>
        <sz val="11"/>
        <color rgb="FF000000"/>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numFmt numFmtId="2" formatCode="0.00"/>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numFmt numFmtId="1" formatCode="0"/>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numFmt numFmtId="1" formatCode="0"/>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numFmt numFmtId="1" formatCode="0"/>
      <fill>
        <patternFill>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numFmt numFmtId="1" formatCode="0"/>
      <fill>
        <patternFill>
          <fgColor indexed="64"/>
          <bgColor theme="0"/>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style="thin">
          <color auto="1"/>
        </left>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darkDown">
          <fgColor indexed="64"/>
          <bgColor theme="0"/>
        </patternFill>
      </fill>
      <alignment horizontal="center" vertical="center" textRotation="0" wrapText="0" indent="0" justifyLastLine="0" shrinkToFit="0" readingOrder="0"/>
      <border diagonalUp="0" diagonalDown="0" outline="0">
        <left style="thin">
          <color auto="1"/>
        </left>
        <right style="thin">
          <color auto="1"/>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darkDown">
          <fgColor indexed="64"/>
          <bgColor theme="0"/>
        </patternFill>
      </fill>
      <alignment horizontal="center" vertical="center" textRotation="0" wrapText="0" indent="0" justifyLastLine="0" shrinkToFit="0" readingOrder="0"/>
      <border diagonalUp="0" diagonalDown="0" outline="0">
        <left/>
        <right style="thin">
          <color auto="1"/>
        </right>
        <top style="thin">
          <color indexed="64"/>
        </top>
        <bottom style="thin">
          <color indexed="64"/>
        </bottom>
      </border>
    </dxf>
    <dxf>
      <font>
        <b/>
        <i val="0"/>
        <strike val="0"/>
        <condense val="0"/>
        <extend val="0"/>
        <outline val="0"/>
        <shadow val="0"/>
        <u val="none"/>
        <vertAlign val="baseline"/>
        <sz val="11"/>
        <color theme="1"/>
        <name val="CocoEng"/>
        <family val="3"/>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fgColor indexed="64"/>
          <bgColor theme="0"/>
        </patternFill>
      </fill>
      <alignment horizontal="left" vertical="top" textRotation="0" wrapText="1" indent="0" justifyLastLine="0" shrinkToFit="0" readingOrder="0"/>
      <border diagonalUp="0" diagonalDown="0" outline="0">
        <left/>
        <right/>
        <top style="thin">
          <color indexed="64"/>
        </top>
        <bottom style="thin">
          <color indexed="64"/>
        </bottom>
      </border>
    </dxf>
    <dxf>
      <font>
        <b/>
        <i val="0"/>
        <strike val="0"/>
        <condense val="0"/>
        <extend val="0"/>
        <outline val="0"/>
        <shadow val="0"/>
        <u val="none"/>
        <vertAlign val="baseline"/>
        <sz val="11"/>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auto="1"/>
        </left>
        <right/>
        <top style="thin">
          <color indexed="64"/>
        </top>
        <bottom style="thin">
          <color indexed="64"/>
        </bottom>
      </border>
    </dxf>
    <dxf>
      <font>
        <b val="0"/>
        <i val="0"/>
        <strike val="0"/>
        <condense val="0"/>
        <extend val="0"/>
        <outline val="0"/>
        <shadow val="0"/>
        <u val="none"/>
        <vertAlign val="baseline"/>
        <sz val="9"/>
        <color auto="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9"/>
        <color auto="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9"/>
        <color auto="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outline="0">
        <left/>
        <right style="thin">
          <color auto="1"/>
        </right>
        <top style="thin">
          <color indexed="64"/>
        </top>
        <bottom style="thin">
          <color indexed="64"/>
        </bottom>
      </border>
    </dxf>
    <dxf>
      <font>
        <b/>
        <i val="0"/>
        <strike val="0"/>
        <condense val="0"/>
        <extend val="0"/>
        <outline val="0"/>
        <shadow val="0"/>
        <u val="none"/>
        <vertAlign val="baseline"/>
        <sz val="11"/>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right style="thin">
          <color auto="1"/>
        </right>
        <top style="thin">
          <color auto="1"/>
        </top>
        <bottom style="thin">
          <color auto="1"/>
        </bottom>
      </border>
    </dxf>
    <dxf>
      <font>
        <b/>
        <i val="0"/>
        <strike val="0"/>
        <condense val="0"/>
        <extend val="0"/>
        <outline val="0"/>
        <shadow val="0"/>
        <u val="none"/>
        <vertAlign val="baseline"/>
        <sz val="11"/>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1"/>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right/>
        <top style="thin">
          <color theme="4" tint="0.39997558519241921"/>
        </top>
        <bottom style="thin">
          <color indexed="64"/>
        </bottom>
      </border>
    </dxf>
    <dxf>
      <border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11"/>
        <color theme="1"/>
        <name val="CocoEng"/>
        <family val="3"/>
        <scheme val="none"/>
      </font>
      <fill>
        <patternFill>
          <fgColor indexed="64"/>
          <bgColor theme="0"/>
        </patternFill>
      </fill>
      <alignment horizontal="left" vertical="top" textRotation="0" wrapText="0" indent="0" justifyLastLine="0" shrinkToFit="0" readingOrder="0"/>
    </dxf>
    <dxf>
      <font>
        <b/>
        <i val="0"/>
        <strike val="0"/>
        <condense val="0"/>
        <extend val="0"/>
        <outline val="0"/>
        <shadow val="0"/>
        <u val="none"/>
        <vertAlign val="baseline"/>
        <sz val="11"/>
        <color theme="0"/>
        <name val="CocoEng"/>
        <family val="3"/>
        <scheme val="none"/>
      </font>
      <fill>
        <patternFill patternType="solid">
          <fgColor indexed="64"/>
          <bgColor theme="9"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0"/>
      </font>
      <fill>
        <patternFill>
          <bgColor rgb="FFFF0000"/>
        </patternFill>
      </fill>
    </dxf>
    <dxf>
      <fill>
        <patternFill>
          <bgColor rgb="FFFFC000"/>
        </patternFill>
      </fill>
    </dxf>
    <dxf>
      <fill>
        <patternFill>
          <bgColor rgb="FFFFFF00"/>
        </patternFill>
      </fill>
    </dxf>
    <dxf>
      <fill>
        <patternFill>
          <bgColor rgb="FF92D050"/>
        </patternFill>
      </fill>
    </dxf>
    <dxf>
      <font>
        <color theme="0"/>
      </font>
      <fill>
        <patternFill>
          <bgColor rgb="FFC00000"/>
        </patternFill>
      </fill>
    </dxf>
    <dxf>
      <font>
        <color theme="0"/>
      </font>
      <fill>
        <patternFill>
          <bgColor rgb="FFFF0000"/>
        </patternFill>
      </fill>
    </dxf>
    <dxf>
      <fill>
        <patternFill>
          <bgColor rgb="FFFFC000"/>
        </patternFill>
      </fill>
    </dxf>
    <dxf>
      <fill>
        <patternFill>
          <bgColor rgb="FFFFFF00"/>
        </patternFill>
      </fill>
    </dxf>
    <dxf>
      <fill>
        <patternFill>
          <bgColor rgb="FF92D050"/>
        </patternFill>
      </fill>
    </dxf>
    <dxf>
      <font>
        <color theme="0"/>
      </font>
      <fill>
        <patternFill>
          <bgColor rgb="FFC00000"/>
        </patternFill>
      </fill>
    </dxf>
    <dxf>
      <font>
        <color theme="0"/>
      </font>
      <fill>
        <patternFill>
          <bgColor rgb="FFFF0000"/>
        </patternFill>
      </fill>
    </dxf>
    <dxf>
      <fill>
        <patternFill>
          <bgColor rgb="FFFFC000"/>
        </patternFill>
      </fill>
    </dxf>
    <dxf>
      <fill>
        <patternFill>
          <bgColor rgb="FFFFFF00"/>
        </patternFill>
      </fill>
    </dxf>
    <dxf>
      <fill>
        <patternFill>
          <bgColor rgb="FF92D050"/>
        </patternFill>
      </fill>
    </dxf>
    <dxf>
      <font>
        <color theme="0"/>
      </font>
      <fill>
        <patternFill>
          <bgColor rgb="FFC00000"/>
        </patternFill>
      </fill>
    </dxf>
    <dxf>
      <font>
        <color theme="1"/>
      </font>
      <fill>
        <patternFill>
          <bgColor rgb="FF92D050"/>
        </patternFill>
      </fill>
    </dxf>
    <dxf>
      <fill>
        <patternFill>
          <bgColor rgb="FFFFFF00"/>
        </patternFill>
      </fill>
    </dxf>
    <dxf>
      <font>
        <color theme="0"/>
      </font>
      <fill>
        <patternFill>
          <bgColor rgb="FFFF0000"/>
        </patternFill>
      </fill>
    </dxf>
    <dxf>
      <font>
        <color theme="0"/>
      </font>
      <fill>
        <patternFill>
          <bgColor rgb="FFFF0000"/>
        </patternFill>
      </fill>
    </dxf>
    <dxf>
      <fill>
        <patternFill>
          <bgColor rgb="FFFFFF00"/>
        </patternFill>
      </fill>
    </dxf>
    <dxf>
      <fill>
        <patternFill>
          <bgColor rgb="FF92D050"/>
        </patternFill>
      </fill>
    </dxf>
    <dxf>
      <font>
        <strike val="0"/>
        <outline val="0"/>
        <shadow val="0"/>
        <u val="none"/>
        <vertAlign val="baseline"/>
        <sz val="10"/>
        <name val="CocoEng"/>
        <family val="3"/>
        <scheme val="none"/>
      </font>
      <numFmt numFmtId="2" formatCode="0.00"/>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0"/>
        <name val="CocoEng"/>
        <family val="3"/>
        <scheme val="none"/>
      </font>
      <numFmt numFmtId="2" formatCode="0.00"/>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0"/>
        <name val="CocoEng"/>
        <family val="3"/>
        <scheme val="none"/>
      </font>
      <numFmt numFmtId="2" formatCode="0.00"/>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CocoEng"/>
        <family val="3"/>
        <scheme val="none"/>
      </font>
      <numFmt numFmtId="2" formatCode="0.00"/>
      <fill>
        <patternFill>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ocoEng"/>
        <family val="3"/>
        <scheme val="none"/>
      </font>
      <fill>
        <patternFill>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ocoEng"/>
        <family val="3"/>
        <scheme val="none"/>
      </font>
      <fill>
        <patternFill>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fgColor indexed="64"/>
          <bgColor theme="0"/>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coEng"/>
        <family val="3"/>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FF"/>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FF"/>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00"/>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00"/>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00"/>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FF"/>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FF"/>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FF"/>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FF"/>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FF"/>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FF"/>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FF"/>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FF"/>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ocoEng"/>
        <scheme val="none"/>
      </font>
      <fill>
        <patternFill patternType="none">
          <fgColor rgb="FFFFFFFF"/>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ocoEng"/>
        <family val="3"/>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ocoEng"/>
        <family val="3"/>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ocoEng"/>
        <family val="3"/>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auto="1"/>
        </left>
        <right style="thin">
          <color indexed="64"/>
        </right>
        <top style="thin">
          <color auto="1"/>
        </top>
      </border>
    </dxf>
    <dxf>
      <font>
        <strike val="0"/>
        <outline val="0"/>
        <shadow val="0"/>
        <u val="none"/>
        <vertAlign val="baseline"/>
        <name val="CocoEng"/>
        <family val="3"/>
        <scheme val="none"/>
      </font>
      <fill>
        <patternFill>
          <fgColor indexed="64"/>
          <bgColor theme="0"/>
        </patternFill>
      </fill>
    </dxf>
    <dxf>
      <font>
        <b/>
        <i val="0"/>
        <strike val="0"/>
        <condense val="0"/>
        <extend val="0"/>
        <outline val="0"/>
        <shadow val="0"/>
        <u val="none"/>
        <vertAlign val="baseline"/>
        <sz val="11"/>
        <color theme="0"/>
        <name val="CocoEng"/>
        <family val="3"/>
        <scheme val="none"/>
      </font>
      <fill>
        <patternFill patternType="solid">
          <fgColor indexed="64"/>
          <bgColor theme="7" tint="-0.249977111117893"/>
        </patternFill>
      </fill>
      <alignment horizontal="general" vertical="top" textRotation="0" wrapText="1" indent="0" justifyLastLine="0" shrinkToFit="0" readingOrder="0"/>
      <border diagonalUp="0" diagonalDown="0" outline="0">
        <left style="thin">
          <color indexed="64"/>
        </left>
        <right style="thin">
          <color indexed="64"/>
        </right>
        <top/>
        <bottom/>
      </border>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9" tint="0.79998168889431442"/>
        </patternFill>
      </fill>
    </dxf>
    <dxf>
      <fill>
        <patternFill>
          <bgColor theme="5" tint="0.59996337778862885"/>
        </patternFill>
      </fill>
    </dxf>
    <dxf>
      <fill>
        <patternFill>
          <bgColor theme="9" tint="0.79998168889431442"/>
        </patternFill>
      </fill>
    </dxf>
    <dxf>
      <fill>
        <patternFill>
          <bgColor theme="5" tint="0.59996337778862885"/>
        </patternFill>
      </fill>
    </dxf>
    <dxf>
      <fill>
        <patternFill>
          <bgColor theme="9" tint="0.79998168889431442"/>
        </patternFill>
      </fill>
    </dxf>
    <dxf>
      <fill>
        <patternFill>
          <bgColor theme="5" tint="0.59996337778862885"/>
        </patternFill>
      </fill>
    </dxf>
    <dxf>
      <fill>
        <patternFill>
          <bgColor theme="9" tint="0.79998168889431442"/>
        </patternFill>
      </fill>
    </dxf>
    <dxf>
      <fill>
        <patternFill>
          <bgColor theme="5" tint="0.59996337778862885"/>
        </patternFill>
      </fill>
    </dxf>
    <dxf>
      <fill>
        <patternFill>
          <bgColor theme="9" tint="0.79998168889431442"/>
        </patternFill>
      </fill>
    </dxf>
    <dxf>
      <fill>
        <patternFill>
          <bgColor theme="5" tint="0.59996337778862885"/>
        </patternFill>
      </fill>
    </dxf>
    <dxf>
      <fill>
        <patternFill>
          <bgColor theme="9" tint="0.79998168889431442"/>
        </patternFill>
      </fill>
    </dxf>
    <dxf>
      <fill>
        <patternFill>
          <bgColor theme="5" tint="0.59996337778862885"/>
        </patternFill>
      </fill>
    </dxf>
    <dxf>
      <fill>
        <patternFill>
          <bgColor theme="9" tint="0.79998168889431442"/>
        </patternFill>
      </fill>
    </dxf>
    <dxf>
      <fill>
        <patternFill>
          <bgColor theme="5" tint="0.59996337778862885"/>
        </patternFill>
      </fill>
    </dxf>
    <dxf>
      <fill>
        <patternFill>
          <bgColor theme="9" tint="0.79998168889431442"/>
        </patternFill>
      </fill>
    </dxf>
    <dxf>
      <fill>
        <patternFill>
          <bgColor theme="5" tint="0.59996337778862885"/>
        </patternFill>
      </fill>
    </dxf>
    <dxf>
      <fill>
        <patternFill>
          <bgColor theme="9" tint="0.79998168889431442"/>
        </patternFill>
      </fill>
    </dxf>
    <dxf>
      <fill>
        <patternFill>
          <bgColor theme="5" tint="0.59996337778862885"/>
        </patternFill>
      </fill>
    </dxf>
    <dxf>
      <fill>
        <patternFill>
          <bgColor theme="9" tint="0.79998168889431442"/>
        </patternFill>
      </fill>
    </dxf>
    <dxf>
      <fill>
        <patternFill>
          <bgColor theme="5" tint="0.59996337778862885"/>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9"/>
        <color auto="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theme="0" tint="-0.499984740745262"/>
        </left>
        <right/>
        <top style="thin">
          <color theme="0" tint="-0.499984740745262"/>
        </top>
        <bottom style="thin">
          <color theme="0" tint="-0.499984740745262"/>
        </bottom>
      </border>
      <protection locked="0" hidden="0"/>
    </dxf>
    <dxf>
      <font>
        <b/>
        <i val="0"/>
        <strike val="0"/>
        <condense val="0"/>
        <extend val="0"/>
        <outline val="0"/>
        <shadow val="0"/>
        <u val="none"/>
        <vertAlign val="baseline"/>
        <sz val="9"/>
        <color theme="1"/>
        <name val="CocoEng"/>
        <family val="3"/>
        <scheme val="none"/>
      </font>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i val="0"/>
        <strike val="0"/>
        <condense val="0"/>
        <extend val="0"/>
        <outline val="0"/>
        <shadow val="0"/>
        <u val="none"/>
        <vertAlign val="baseline"/>
        <sz val="9"/>
        <color theme="1"/>
        <name val="CocoEng"/>
        <family val="3"/>
        <scheme val="none"/>
      </font>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i val="0"/>
        <strike val="0"/>
        <condense val="0"/>
        <extend val="0"/>
        <outline val="0"/>
        <shadow val="0"/>
        <u val="none"/>
        <vertAlign val="baseline"/>
        <sz val="9"/>
        <color theme="1"/>
        <name val="CocoEng"/>
        <family val="3"/>
        <scheme val="none"/>
      </font>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i val="0"/>
        <strike val="0"/>
        <condense val="0"/>
        <extend val="0"/>
        <outline val="0"/>
        <shadow val="0"/>
        <u val="none"/>
        <vertAlign val="baseline"/>
        <sz val="9"/>
        <color theme="1"/>
        <name val="CocoEng"/>
        <family val="3"/>
        <scheme val="none"/>
      </font>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auto="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i val="0"/>
        <strike val="0"/>
        <condense val="0"/>
        <extend val="0"/>
        <outline val="0"/>
        <shadow val="0"/>
        <u val="none"/>
        <vertAlign val="baseline"/>
        <sz val="9"/>
        <color theme="1"/>
        <name val="CocoEng"/>
        <family val="3"/>
        <scheme val="none"/>
      </font>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i val="0"/>
        <strike val="0"/>
        <condense val="0"/>
        <extend val="0"/>
        <outline val="0"/>
        <shadow val="0"/>
        <u val="none"/>
        <vertAlign val="baseline"/>
        <sz val="9"/>
        <color theme="1"/>
        <name val="CocoEng"/>
        <family val="3"/>
        <scheme val="none"/>
      </font>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i val="0"/>
        <strike val="0"/>
        <condense val="0"/>
        <extend val="0"/>
        <outline val="0"/>
        <shadow val="0"/>
        <u val="none"/>
        <vertAlign val="baseline"/>
        <sz val="9"/>
        <color theme="1"/>
        <name val="CocoEng"/>
        <family val="3"/>
        <scheme val="none"/>
      </font>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i val="0"/>
        <strike val="0"/>
        <condense val="0"/>
        <extend val="0"/>
        <outline val="0"/>
        <shadow val="0"/>
        <u val="none"/>
        <vertAlign val="baseline"/>
        <sz val="9"/>
        <color theme="1"/>
        <name val="CocoEng"/>
        <family val="3"/>
        <scheme val="none"/>
      </font>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auto="1"/>
        <name val="CocoEng"/>
        <family val="3"/>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right style="thin">
          <color theme="0" tint="-0.499984740745262"/>
        </right>
        <top style="thin">
          <color theme="0" tint="-0.499984740745262"/>
        </top>
        <bottom style="thin">
          <color theme="0" tint="-0.499984740745262"/>
        </bottom>
      </border>
    </dxf>
    <dxf>
      <border>
        <top style="thin">
          <color theme="0" tint="-0.499984740745262"/>
        </top>
      </border>
    </dxf>
    <dxf>
      <border diagonalUp="0" diagonalDown="0">
        <left style="thin">
          <color theme="0" tint="-0.499984740745262"/>
        </left>
        <right style="thin">
          <color theme="0" tint="-0.499984740745262"/>
        </right>
        <top style="thin">
          <color theme="0" tint="-0.499984740745262"/>
        </top>
        <bottom style="thin">
          <color theme="0" tint="-0.499984740745262"/>
        </bottom>
      </border>
    </dxf>
    <dxf>
      <font>
        <b/>
        <i val="0"/>
        <strike val="0"/>
        <condense val="0"/>
        <extend val="0"/>
        <outline val="0"/>
        <shadow val="0"/>
        <u val="none"/>
        <vertAlign val="baseline"/>
        <sz val="9"/>
        <color theme="1"/>
        <name val="CocoEng"/>
        <family val="3"/>
        <scheme val="none"/>
      </font>
      <alignment horizontal="general" vertical="center" textRotation="0" wrapText="0" indent="0" justifyLastLine="0" shrinkToFit="0" readingOrder="0"/>
    </dxf>
    <dxf>
      <border>
        <bottom style="thin">
          <color theme="0" tint="-0.499984740745262"/>
        </bottom>
      </border>
    </dxf>
    <dxf>
      <font>
        <b/>
        <i val="0"/>
        <strike val="0"/>
        <condense val="0"/>
        <extend val="0"/>
        <outline val="0"/>
        <shadow val="0"/>
        <u val="none"/>
        <vertAlign val="baseline"/>
        <sz val="9"/>
        <color theme="0"/>
        <name val="CocoEng"/>
        <family val="3"/>
        <scheme val="none"/>
      </font>
      <fill>
        <patternFill patternType="solid">
          <fgColor indexed="64"/>
          <bgColor theme="5" tint="-0.249977111117893"/>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bottom/>
      </border>
    </dxf>
    <dxf>
      <font>
        <color theme="0"/>
      </font>
      <fill>
        <patternFill>
          <bgColor rgb="FFFF0000"/>
        </patternFill>
      </fill>
    </dxf>
    <dxf>
      <fill>
        <patternFill>
          <bgColor rgb="FFFFC000"/>
        </patternFill>
      </fill>
    </dxf>
    <dxf>
      <fill>
        <patternFill>
          <bgColor rgb="FFFFFF00"/>
        </patternFill>
      </fill>
    </dxf>
    <dxf>
      <fill>
        <patternFill>
          <bgColor rgb="FF92D050"/>
        </patternFill>
      </fill>
    </dxf>
    <dxf>
      <font>
        <color theme="0"/>
      </font>
      <fill>
        <patternFill>
          <bgColor rgb="FFC00000"/>
        </patternFill>
      </fill>
    </dxf>
    <dxf>
      <font>
        <color theme="0"/>
      </font>
      <fill>
        <patternFill>
          <bgColor rgb="FFFF0000"/>
        </patternFill>
      </fill>
    </dxf>
    <dxf>
      <fill>
        <patternFill>
          <bgColor rgb="FFFFC000"/>
        </patternFill>
      </fill>
    </dxf>
    <dxf>
      <fill>
        <patternFill>
          <bgColor rgb="FFFFFF00"/>
        </patternFill>
      </fill>
    </dxf>
    <dxf>
      <fill>
        <patternFill>
          <bgColor rgb="FF92D050"/>
        </patternFill>
      </fill>
    </dxf>
    <dxf>
      <font>
        <color theme="0"/>
      </font>
      <fill>
        <patternFill>
          <bgColor rgb="FFC00000"/>
        </patternFill>
      </fill>
    </dxf>
    <dxf>
      <font>
        <color theme="0"/>
      </font>
      <fill>
        <patternFill>
          <bgColor rgb="FFFF0000"/>
        </patternFill>
      </fill>
    </dxf>
    <dxf>
      <fill>
        <patternFill>
          <bgColor rgb="FFFFC000"/>
        </patternFill>
      </fill>
    </dxf>
    <dxf>
      <fill>
        <patternFill>
          <bgColor rgb="FFFFFF00"/>
        </patternFill>
      </fill>
    </dxf>
    <dxf>
      <fill>
        <patternFill>
          <bgColor rgb="FF92D050"/>
        </patternFill>
      </fill>
    </dxf>
    <dxf>
      <font>
        <color theme="0"/>
      </font>
      <fill>
        <patternFill>
          <bgColor rgb="FFC00000"/>
        </patternFill>
      </fill>
    </dxf>
    <dxf>
      <font>
        <color theme="0"/>
      </font>
      <fill>
        <patternFill>
          <bgColor rgb="FFFF0000"/>
        </patternFill>
      </fill>
    </dxf>
    <dxf>
      <fill>
        <patternFill>
          <bgColor rgb="FFFFC000"/>
        </patternFill>
      </fill>
    </dxf>
    <dxf>
      <fill>
        <patternFill>
          <bgColor rgb="FFFFFF00"/>
        </patternFill>
      </fill>
    </dxf>
    <dxf>
      <fill>
        <patternFill>
          <bgColor rgb="FF92D050"/>
        </patternFill>
      </fill>
    </dxf>
    <dxf>
      <font>
        <color theme="0"/>
      </font>
      <fill>
        <patternFill>
          <bgColor rgb="FFC00000"/>
        </patternFill>
      </fill>
    </dxf>
    <dxf>
      <font>
        <color theme="0"/>
      </font>
      <fill>
        <patternFill>
          <bgColor rgb="FFFF0000"/>
        </patternFill>
      </fill>
    </dxf>
    <dxf>
      <fill>
        <patternFill>
          <bgColor rgb="FFFFC000"/>
        </patternFill>
      </fill>
    </dxf>
    <dxf>
      <fill>
        <patternFill>
          <bgColor rgb="FFFFFF00"/>
        </patternFill>
      </fill>
    </dxf>
    <dxf>
      <fill>
        <patternFill>
          <bgColor rgb="FF92D050"/>
        </patternFill>
      </fill>
    </dxf>
    <dxf>
      <font>
        <color theme="0"/>
      </font>
      <fill>
        <patternFill>
          <bgColor rgb="FFC00000"/>
        </patternFill>
      </fill>
    </dxf>
    <dxf>
      <font>
        <color theme="0"/>
      </font>
      <fill>
        <patternFill>
          <bgColor rgb="FFFF0000"/>
        </patternFill>
      </fill>
    </dxf>
    <dxf>
      <fill>
        <patternFill>
          <bgColor rgb="FFFFC000"/>
        </patternFill>
      </fill>
    </dxf>
    <dxf>
      <fill>
        <patternFill>
          <bgColor rgb="FFFFFF00"/>
        </patternFill>
      </fill>
    </dxf>
    <dxf>
      <fill>
        <patternFill>
          <bgColor rgb="FF92D050"/>
        </patternFill>
      </fill>
    </dxf>
    <dxf>
      <font>
        <color theme="0"/>
      </font>
      <fill>
        <patternFill>
          <bgColor rgb="FFC00000"/>
        </patternFill>
      </fill>
    </dxf>
    <dxf>
      <font>
        <color theme="0"/>
      </font>
      <fill>
        <patternFill>
          <bgColor rgb="FFFF0000"/>
        </patternFill>
      </fill>
    </dxf>
    <dxf>
      <fill>
        <patternFill>
          <bgColor rgb="FFFFC000"/>
        </patternFill>
      </fill>
    </dxf>
    <dxf>
      <fill>
        <patternFill>
          <bgColor rgb="FFFFFF00"/>
        </patternFill>
      </fill>
    </dxf>
    <dxf>
      <fill>
        <patternFill>
          <bgColor rgb="FF92D050"/>
        </patternFill>
      </fill>
    </dxf>
    <dxf>
      <font>
        <color theme="0"/>
      </font>
      <fill>
        <patternFill>
          <bgColor rgb="FFC00000"/>
        </patternFill>
      </fill>
    </dxf>
    <dxf>
      <font>
        <color theme="0"/>
      </font>
      <fill>
        <patternFill>
          <bgColor rgb="FFFF0000"/>
        </patternFill>
      </fill>
    </dxf>
    <dxf>
      <fill>
        <patternFill>
          <bgColor rgb="FFFFC000"/>
        </patternFill>
      </fill>
    </dxf>
    <dxf>
      <fill>
        <patternFill>
          <bgColor rgb="FFFFFF00"/>
        </patternFill>
      </fill>
    </dxf>
    <dxf>
      <fill>
        <patternFill>
          <bgColor rgb="FF92D050"/>
        </patternFill>
      </fill>
    </dxf>
    <dxf>
      <font>
        <color theme="0"/>
      </font>
      <fill>
        <patternFill>
          <bgColor rgb="FFC00000"/>
        </patternFill>
      </fill>
    </dxf>
    <dxf>
      <font>
        <color theme="0"/>
      </font>
      <fill>
        <patternFill>
          <bgColor rgb="FFFF0000"/>
        </patternFill>
      </fill>
    </dxf>
    <dxf>
      <fill>
        <patternFill>
          <bgColor rgb="FFFFC000"/>
        </patternFill>
      </fill>
    </dxf>
    <dxf>
      <fill>
        <patternFill>
          <bgColor rgb="FFFFFF99"/>
        </patternFill>
      </fill>
    </dxf>
    <dxf>
      <fill>
        <patternFill>
          <bgColor theme="9" tint="0.59996337778862885"/>
        </patternFill>
      </fill>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i val="0"/>
        <strike val="0"/>
        <condense val="0"/>
        <extend val="0"/>
        <outline val="0"/>
        <shadow val="0"/>
        <u val="none"/>
        <vertAlign val="baseline"/>
        <sz val="9"/>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0"/>
        <name val="CocoEng"/>
        <family val="3"/>
        <scheme val="none"/>
      </font>
      <fill>
        <patternFill>
          <fgColor indexed="64"/>
          <bgColor theme="0"/>
        </patternFill>
      </fill>
      <alignment horizontal="center" vertical="center" textRotation="0" indent="0" justifyLastLine="0" shrinkToFit="0" readingOrder="0"/>
      <border diagonalUp="0" diagonalDown="0" outline="0">
        <left/>
        <right style="thin">
          <color theme="0" tint="-0.499984740745262"/>
        </right>
        <top style="thin">
          <color theme="0" tint="-0.499984740745262"/>
        </top>
        <bottom style="thin">
          <color theme="0" tint="-0.499984740745262"/>
        </bottom>
      </border>
    </dxf>
    <dxf>
      <border>
        <top style="thin">
          <color theme="0" tint="-0.499984740745262"/>
        </top>
      </border>
    </dxf>
    <dxf>
      <border diagonalUp="0" diagonalDown="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dxf>
    <dxf>
      <border>
        <bottom style="thin">
          <color theme="0" tint="-0.499984740745262"/>
        </bottom>
      </border>
    </dxf>
    <dxf>
      <font>
        <b/>
        <i val="0"/>
        <strike val="0"/>
        <condense val="0"/>
        <extend val="0"/>
        <outline val="0"/>
        <shadow val="0"/>
        <u val="none"/>
        <vertAlign val="baseline"/>
        <sz val="9"/>
        <color theme="0"/>
        <name val="CocoEng"/>
        <family val="3"/>
        <scheme val="none"/>
      </font>
      <fill>
        <patternFill patternType="solid">
          <fgColor indexed="64"/>
          <bgColor rgb="FFC34986"/>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left style="thin">
          <color theme="0" tint="-0.499984740745262"/>
        </left>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ill>
        <patternFill patternType="none">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8"/>
        <color theme="1"/>
        <name val="Segoe UI"/>
        <family val="2"/>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ill>
        <patternFill>
          <fgColor indexed="64"/>
          <bgColor theme="0"/>
        </patternFill>
      </fill>
      <border diagonalUp="0" diagonalDown="0">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border>
        <top style="thin">
          <color theme="0" tint="-0.499984740745262"/>
        </top>
      </border>
    </dxf>
    <dxf>
      <border diagonalUp="0" diagonalDown="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dxf>
    <dxf>
      <border>
        <bottom style="thin">
          <color theme="0" tint="-0.499984740745262"/>
        </bottom>
      </border>
    </dxf>
    <dxf>
      <font>
        <b/>
        <i val="0"/>
        <strike val="0"/>
        <condense val="0"/>
        <extend val="0"/>
        <outline val="0"/>
        <shadow val="0"/>
        <u val="none"/>
        <vertAlign val="baseline"/>
        <sz val="9"/>
        <color theme="0"/>
        <name val="CocoEng"/>
        <family val="3"/>
        <scheme val="none"/>
      </font>
      <fill>
        <patternFill patternType="solid">
          <fgColor indexed="64"/>
          <bgColor rgb="FFC34986"/>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numFmt numFmtId="0" formatCode="General"/>
      <fill>
        <patternFill>
          <fgColor indexed="64"/>
          <bgColor theme="0"/>
        </patternFill>
      </fill>
      <alignment horizontal="center" vertical="center" textRotation="0" indent="0" justifyLastLine="0" shrinkToFit="0" readingOrder="0"/>
      <border diagonalUp="0" diagonalDown="0" outline="0">
        <left/>
        <right style="thin">
          <color theme="0" tint="-0.499984740745262"/>
        </right>
        <top style="thin">
          <color theme="0" tint="-0.499984740745262"/>
        </top>
        <bottom style="thin">
          <color theme="0" tint="-0.499984740745262"/>
        </bottom>
      </border>
    </dxf>
    <dxf>
      <border>
        <top style="thin">
          <color theme="0" tint="-0.499984740745262"/>
        </top>
      </border>
    </dxf>
    <dxf>
      <border diagonalUp="0" diagonalDown="0">
        <left style="thin">
          <color theme="0" tint="-0.499984740745262"/>
        </left>
        <right style="thin">
          <color theme="0" tint="-0.499984740745262"/>
        </right>
        <top style="thin">
          <color theme="0" tint="-0.499984740745262"/>
        </top>
        <bottom style="thin">
          <color theme="0" tint="-0.499984740745262"/>
        </bottom>
      </border>
    </dxf>
    <dxf>
      <fill>
        <patternFill>
          <fgColor indexed="64"/>
          <bgColor theme="0"/>
        </patternFill>
      </fill>
    </dxf>
    <dxf>
      <border>
        <bottom style="thin">
          <color theme="0" tint="-0.499984740745262"/>
        </bottom>
      </border>
    </dxf>
    <dxf>
      <font>
        <b/>
        <i val="0"/>
        <strike val="0"/>
        <condense val="0"/>
        <extend val="0"/>
        <outline val="0"/>
        <shadow val="0"/>
        <u val="none"/>
        <vertAlign val="baseline"/>
        <sz val="9"/>
        <color theme="0"/>
        <name val="CocoEng"/>
        <family val="3"/>
        <scheme val="none"/>
      </font>
      <fill>
        <patternFill patternType="solid">
          <fgColor indexed="64"/>
          <bgColor rgb="FFC34986"/>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bottom/>
        <vertical style="thin">
          <color theme="0" tint="-0.499984740745262"/>
        </vertical>
        <horizontal style="thin">
          <color theme="0" tint="-0.499984740745262"/>
        </horizontal>
      </border>
    </dxf>
    <dxf>
      <font>
        <b val="0"/>
        <i val="0"/>
        <strike val="0"/>
        <condense val="0"/>
        <extend val="0"/>
        <outline val="0"/>
        <shadow val="0"/>
        <u val="none"/>
        <vertAlign val="baseline"/>
        <sz val="8"/>
        <color theme="1"/>
        <name val="CocoEng"/>
        <family val="3"/>
        <scheme val="none"/>
      </font>
      <fill>
        <patternFill>
          <fgColor indexed="64"/>
          <bgColor theme="0"/>
        </patternFill>
      </fill>
      <alignment horizontal="left" vertical="top" textRotation="0" wrapText="1" indent="0" justifyLastLine="0" shrinkToFit="0" readingOrder="0"/>
      <border diagonalUp="0" diagonalDown="0">
        <left style="thin">
          <color theme="0" tint="-0.499984740745262"/>
        </left>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border diagonalUp="0" diagonalDown="0">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border>
        <top style="thin">
          <color theme="0" tint="-0.499984740745262"/>
        </top>
      </border>
    </dxf>
    <dxf>
      <border diagonalUp="0" diagonalDown="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top" textRotation="0" wrapText="1" indent="0" justifyLastLine="0" shrinkToFit="0" readingOrder="0"/>
    </dxf>
    <dxf>
      <border>
        <bottom style="thin">
          <color theme="0" tint="-0.499984740745262"/>
        </bottom>
      </border>
    </dxf>
    <dxf>
      <font>
        <b/>
        <i val="0"/>
        <strike val="0"/>
        <condense val="0"/>
        <extend val="0"/>
        <outline val="0"/>
        <shadow val="0"/>
        <u val="none"/>
        <vertAlign val="baseline"/>
        <sz val="9"/>
        <color theme="0"/>
        <name val="CocoEng"/>
        <family val="3"/>
        <scheme val="none"/>
      </font>
      <fill>
        <patternFill patternType="solid">
          <fgColor indexed="64"/>
          <bgColor rgb="FFC34986"/>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1" indent="0" justifyLastLine="0" shrinkToFit="0" readingOrder="0"/>
      <border diagonalUp="0" diagonalDown="0">
        <left style="thin">
          <color theme="0" tint="-0.499984740745262"/>
        </left>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numFmt numFmtId="0" formatCode="General"/>
      <fill>
        <patternFill>
          <fgColor indexed="64"/>
          <bgColor theme="0"/>
        </patternFill>
      </fill>
      <alignment horizontal="center" vertical="center" textRotation="0" indent="0" justifyLastLine="0" shrinkToFit="0" readingOrder="0"/>
      <border diagonalUp="0" diagonalDown="0">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border>
        <top style="thin">
          <color theme="0" tint="-0.499984740745262"/>
        </top>
      </border>
    </dxf>
    <dxf>
      <border diagonalUp="0" diagonalDown="0">
        <left style="thin">
          <color theme="0" tint="-0.499984740745262"/>
        </left>
        <right style="thin">
          <color theme="0" tint="-0.499984740745262"/>
        </right>
        <top style="thin">
          <color theme="0" tint="-0.499984740745262"/>
        </top>
        <bottom style="thin">
          <color theme="0" tint="-0.499984740745262"/>
        </bottom>
      </border>
    </dxf>
    <dxf>
      <fill>
        <patternFill>
          <fgColor indexed="64"/>
          <bgColor theme="0"/>
        </patternFill>
      </fill>
    </dxf>
    <dxf>
      <border>
        <bottom style="thin">
          <color theme="0" tint="-0.499984740745262"/>
        </bottom>
      </border>
    </dxf>
    <dxf>
      <font>
        <b/>
        <i val="0"/>
        <strike val="0"/>
        <condense val="0"/>
        <extend val="0"/>
        <outline val="0"/>
        <shadow val="0"/>
        <u val="none"/>
        <vertAlign val="baseline"/>
        <sz val="9"/>
        <color theme="0"/>
        <name val="CocoEng"/>
        <family val="3"/>
        <scheme val="none"/>
      </font>
      <fill>
        <patternFill patternType="solid">
          <fgColor indexed="64"/>
          <bgColor rgb="FFC34986"/>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0" indent="0" justifyLastLine="0" shrinkToFit="0" readingOrder="0"/>
      <border diagonalUp="0" diagonalDown="0" outline="0">
        <left style="hair">
          <color indexed="64"/>
        </left>
        <right style="hair">
          <color indexed="64"/>
        </right>
        <top style="hair">
          <color indexed="64"/>
        </top>
        <bottom style="hair">
          <color indexed="64"/>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0" indent="0" justifyLastLine="0" shrinkToFit="0" readingOrder="0"/>
      <border diagonalUp="0" diagonalDown="0" outline="0">
        <left style="hair">
          <color indexed="64"/>
        </left>
        <right style="hair">
          <color indexed="64"/>
        </right>
        <top style="hair">
          <color indexed="64"/>
        </top>
        <bottom style="hair">
          <color indexed="64"/>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0" indent="0" justifyLastLine="0" shrinkToFit="0" readingOrder="0"/>
      <border diagonalUp="0" diagonalDown="0" outline="0">
        <left style="hair">
          <color indexed="64"/>
        </left>
        <right style="hair">
          <color indexed="64"/>
        </right>
        <top style="hair">
          <color indexed="64"/>
        </top>
        <bottom style="hair">
          <color indexed="64"/>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dxf>
    <dxf>
      <border outline="0">
        <top style="thin">
          <color indexed="64"/>
        </top>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0" indent="0" justifyLastLine="0" shrinkToFit="0" readingOrder="0"/>
    </dxf>
    <dxf>
      <border>
        <bottom style="thin">
          <color theme="0" tint="-0.499984740745262"/>
        </bottom>
      </border>
    </dxf>
    <dxf>
      <font>
        <b/>
        <i val="0"/>
        <strike val="0"/>
        <condense val="0"/>
        <extend val="0"/>
        <outline val="0"/>
        <shadow val="0"/>
        <u val="none"/>
        <vertAlign val="baseline"/>
        <sz val="9"/>
        <color theme="0"/>
        <name val="CocoEng"/>
        <family val="3"/>
        <scheme val="none"/>
      </font>
      <fill>
        <patternFill patternType="solid">
          <fgColor indexed="64"/>
          <bgColor rgb="FFC34986"/>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right style="thin">
          <color theme="0" tint="-0.499984740745262"/>
        </right>
        <top style="thin">
          <color theme="0" tint="-0.499984740745262"/>
        </top>
        <bottom style="thin">
          <color theme="0" tint="-0.499984740745262"/>
        </bottom>
      </border>
    </dxf>
    <dxf>
      <border>
        <top style="thin">
          <color theme="0" tint="-0.499984740745262"/>
        </top>
      </border>
    </dxf>
    <dxf>
      <border diagonalUp="0" diagonalDown="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dxf>
    <dxf>
      <border>
        <bottom style="thin">
          <color theme="0" tint="-0.499984740745262"/>
        </bottom>
      </border>
    </dxf>
    <dxf>
      <font>
        <b/>
        <i val="0"/>
        <strike val="0"/>
        <condense val="0"/>
        <extend val="0"/>
        <outline val="0"/>
        <shadow val="0"/>
        <u val="none"/>
        <vertAlign val="baseline"/>
        <sz val="9"/>
        <color theme="0"/>
        <name val="CocoEng"/>
        <family val="3"/>
        <scheme val="none"/>
      </font>
      <fill>
        <patternFill patternType="solid">
          <fgColor indexed="64"/>
          <bgColor rgb="FFC34986"/>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bottom/>
      </border>
    </dxf>
    <dxf>
      <font>
        <b val="0"/>
        <i val="0"/>
        <strike val="0"/>
        <condense val="0"/>
        <extend val="0"/>
        <outline val="0"/>
        <shadow val="0"/>
        <u val="none"/>
        <vertAlign val="baseline"/>
        <sz val="9"/>
        <color auto="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ont>
        <b val="0"/>
        <i val="0"/>
        <strike val="0"/>
        <condense val="0"/>
        <extend val="0"/>
        <outline val="0"/>
        <shadow val="0"/>
        <u/>
        <vertAlign val="baseline"/>
        <sz val="9"/>
        <color theme="10"/>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numFmt numFmtId="30" formatCode="@"/>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numFmt numFmtId="0" formatCode="General"/>
      <fill>
        <patternFill>
          <fgColor indexed="64"/>
          <bgColor theme="0"/>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numFmt numFmtId="0" formatCode="General"/>
      <fill>
        <patternFill>
          <fgColor indexed="64"/>
          <bgColor theme="0"/>
        </patternFill>
      </fill>
      <alignment horizontal="center" vertical="center" textRotation="0" indent="0" justifyLastLine="0" shrinkToFit="0" readingOrder="0"/>
      <border diagonalUp="0" diagonalDown="0" outline="0">
        <left/>
        <right style="thin">
          <color theme="0" tint="-0.499984740745262"/>
        </right>
        <top style="thin">
          <color theme="0" tint="-0.499984740745262"/>
        </top>
        <bottom style="thin">
          <color theme="0" tint="-0.499984740745262"/>
        </bottom>
      </border>
    </dxf>
    <dxf>
      <border>
        <top style="thin">
          <color theme="0" tint="-0.499984740745262"/>
        </top>
      </border>
    </dxf>
    <dxf>
      <border diagonalUp="0" diagonalDown="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dxf>
    <dxf>
      <border>
        <bottom style="thin">
          <color theme="0" tint="-0.499984740745262"/>
        </bottom>
      </border>
    </dxf>
    <dxf>
      <font>
        <b/>
        <i val="0"/>
        <strike val="0"/>
        <condense val="0"/>
        <extend val="0"/>
        <outline val="0"/>
        <shadow val="0"/>
        <u val="none"/>
        <vertAlign val="baseline"/>
        <sz val="9"/>
        <color theme="0"/>
        <name val="CocoEng"/>
        <family val="3"/>
        <scheme val="none"/>
      </font>
      <fill>
        <patternFill patternType="solid">
          <fgColor indexed="64"/>
          <bgColor rgb="FFC34986"/>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border>
        <top style="thin">
          <color theme="0" tint="-0.499984740745262"/>
        </top>
      </border>
    </dxf>
    <dxf>
      <border diagonalUp="0" diagonalDown="0">
        <left style="thin">
          <color theme="0" tint="-0.499984740745262"/>
        </left>
        <right style="thin">
          <color theme="0" tint="-0.499984740745262"/>
        </right>
        <top style="thin">
          <color theme="0" tint="-0.499984740745262"/>
        </top>
        <bottom style="thin">
          <color theme="0" tint="-0.499984740745262"/>
        </bottom>
      </border>
    </dxf>
    <dxf>
      <fill>
        <patternFill>
          <fgColor indexed="64"/>
          <bgColor theme="0"/>
        </patternFill>
      </fill>
    </dxf>
    <dxf>
      <border>
        <bottom style="thin">
          <color theme="0" tint="-0.499984740745262"/>
        </bottom>
      </border>
    </dxf>
    <dxf>
      <font>
        <b/>
        <i val="0"/>
        <strike val="0"/>
        <condense val="0"/>
        <extend val="0"/>
        <outline val="0"/>
        <shadow val="0"/>
        <u val="none"/>
        <vertAlign val="baseline"/>
        <sz val="9"/>
        <color theme="0"/>
        <name val="CocoEng"/>
        <family val="3"/>
        <scheme val="none"/>
      </font>
      <fill>
        <patternFill patternType="solid">
          <fgColor indexed="64"/>
          <bgColor rgb="FFC34986"/>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bottom/>
        <vertical style="thin">
          <color theme="0" tint="-0.499984740745262"/>
        </vertical>
        <horizontal style="thin">
          <color theme="0" tint="-0.499984740745262"/>
        </horizontal>
      </border>
    </dxf>
    <dxf>
      <font>
        <color rgb="FF9C0006"/>
      </font>
      <fill>
        <patternFill>
          <bgColor rgb="FFFFC7CE"/>
        </patternFill>
      </fill>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vertical/>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vertical/>
        <horizontal/>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numFmt numFmtId="0" formatCode="General"/>
      <fill>
        <patternFill>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border>
        <top style="thin">
          <color theme="0" tint="-0.499984740745262"/>
        </top>
      </border>
    </dxf>
    <dxf>
      <border diagonalUp="0" diagonalDown="0">
        <left style="thin">
          <color theme="0" tint="-0.499984740745262"/>
        </left>
        <right style="thin">
          <color theme="0" tint="-0.499984740745262"/>
        </right>
        <top style="thin">
          <color theme="0" tint="-0.499984740745262"/>
        </top>
        <bottom style="thin">
          <color theme="0" tint="-0.499984740745262"/>
        </bottom>
      </border>
    </dxf>
    <dxf>
      <font>
        <strike val="0"/>
        <outline val="0"/>
        <shadow val="0"/>
        <u val="none"/>
        <vertAlign val="baseline"/>
        <name val="CocoEng"/>
        <family val="3"/>
        <scheme val="none"/>
      </font>
      <fill>
        <patternFill>
          <fgColor indexed="64"/>
          <bgColor theme="0"/>
        </patternFill>
      </fill>
      <alignment vertical="center" textRotation="0" wrapText="1" indent="0" justifyLastLine="0" shrinkToFit="0" readingOrder="0"/>
    </dxf>
    <dxf>
      <border>
        <bottom style="thin">
          <color theme="0" tint="-0.499984740745262"/>
        </bottom>
      </border>
    </dxf>
    <dxf>
      <font>
        <b/>
        <i val="0"/>
        <strike val="0"/>
        <condense val="0"/>
        <extend val="0"/>
        <outline val="0"/>
        <shadow val="0"/>
        <u val="none"/>
        <vertAlign val="baseline"/>
        <sz val="9"/>
        <color theme="0"/>
        <name val="CocoEng"/>
        <family val="3"/>
        <scheme val="none"/>
      </font>
      <fill>
        <patternFill patternType="solid">
          <fgColor indexed="64"/>
          <bgColor rgb="FFC34986"/>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auto="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auto="1"/>
        <name val="CocoEng"/>
        <family val="3"/>
        <scheme val="none"/>
      </font>
      <fill>
        <patternFill>
          <fgColor indexed="64"/>
          <bgColor theme="0"/>
        </patternFill>
      </fill>
      <alignment horizontal="left" vertical="center" textRotation="0" wrapText="1" indent="0" justifyLastLine="0" shrinkToFit="0" readingOrder="0"/>
      <border diagonalUp="0" diagonalDown="0" outline="0">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numFmt numFmtId="0" formatCode="General"/>
      <fill>
        <patternFill>
          <fgColor indexed="64"/>
          <bgColor theme="0"/>
        </patternFill>
      </fill>
      <alignment horizontal="left" vertical="center" textRotation="0" wrapText="1" indent="0" justifyLastLine="0" shrinkToFit="0" readingOrder="0"/>
    </dxf>
    <dxf>
      <border>
        <top style="thin">
          <color theme="0" tint="-0.499984740745262"/>
        </top>
      </border>
    </dxf>
    <dxf>
      <border diagonalUp="0" diagonalDown="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CocoEng"/>
        <family val="3"/>
        <scheme val="none"/>
      </font>
      <fill>
        <patternFill>
          <fgColor indexed="64"/>
          <bgColor theme="0"/>
        </patternFill>
      </fill>
      <alignment horizontal="left" vertical="center" textRotation="0" wrapText="1" indent="0" justifyLastLine="0" shrinkToFit="0" readingOrder="0"/>
    </dxf>
    <dxf>
      <border>
        <bottom style="thin">
          <color theme="0" tint="-0.499984740745262"/>
        </bottom>
      </border>
    </dxf>
    <dxf>
      <font>
        <b/>
        <i val="0"/>
        <strike val="0"/>
        <condense val="0"/>
        <extend val="0"/>
        <outline val="0"/>
        <shadow val="0"/>
        <u val="none"/>
        <vertAlign val="baseline"/>
        <sz val="9"/>
        <color theme="0"/>
        <name val="CocoEng"/>
        <family val="3"/>
        <scheme val="none"/>
      </font>
      <fill>
        <patternFill patternType="solid">
          <fgColor indexed="64"/>
          <bgColor rgb="FFC34986"/>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bottom/>
      </border>
    </dxf>
    <dxf>
      <font>
        <b val="0"/>
        <i val="0"/>
        <strike val="0"/>
        <condense val="0"/>
        <extend val="0"/>
        <outline val="0"/>
        <shadow val="0"/>
        <u val="none"/>
        <vertAlign val="baseline"/>
        <sz val="10"/>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10"/>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10"/>
        <color theme="1"/>
        <name val="CocoEng"/>
        <family val="3"/>
        <scheme val="none"/>
      </font>
      <numFmt numFmtId="30" formatCode="@"/>
      <fill>
        <patternFill>
          <fgColor indexed="64"/>
          <bgColor theme="0"/>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10"/>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10"/>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10"/>
        <color theme="1"/>
        <name val="CocoEng"/>
        <family val="3"/>
        <scheme val="none"/>
      </font>
      <fill>
        <patternFill>
          <fgColor indexed="64"/>
          <bgColor theme="0"/>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10"/>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10"/>
        <color theme="1"/>
        <name val="CocoEng"/>
        <family val="3"/>
        <scheme val="none"/>
      </font>
      <fill>
        <patternFill>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10"/>
        <color theme="1"/>
        <name val="CocoEng"/>
        <family val="3"/>
        <scheme val="none"/>
      </font>
      <numFmt numFmtId="0" formatCode="General"/>
      <fill>
        <patternFill>
          <fgColor indexed="64"/>
          <bgColor theme="0"/>
        </patternFill>
      </fill>
      <alignment horizontal="left" vertical="center" textRotation="0" wrapText="1" indent="0" justifyLastLine="0" shrinkToFit="0" readingOrder="0"/>
      <border diagonalUp="0" diagonalDown="0">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val="0"/>
        <i val="0"/>
        <strike val="0"/>
        <condense val="0"/>
        <extend val="0"/>
        <outline val="0"/>
        <shadow val="0"/>
        <u val="none"/>
        <vertAlign val="baseline"/>
        <sz val="10"/>
        <color theme="1"/>
        <name val="CocoEng"/>
        <family val="3"/>
        <scheme val="none"/>
      </font>
      <numFmt numFmtId="0" formatCode="General"/>
      <fill>
        <patternFill>
          <fgColor indexed="64"/>
          <bgColor theme="0"/>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border>
        <top style="thin">
          <color theme="0" tint="-0.499984740745262"/>
        </top>
      </border>
    </dxf>
    <dxf>
      <border diagonalUp="0" diagonalDown="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10"/>
        <color theme="1"/>
        <name val="CocoEng"/>
        <family val="3"/>
        <scheme val="none"/>
      </font>
      <fill>
        <patternFill>
          <fgColor indexed="64"/>
          <bgColor theme="0"/>
        </patternFill>
      </fill>
      <alignment horizontal="left" vertical="center" textRotation="0" wrapText="1" indent="0" justifyLastLine="0" shrinkToFit="0" readingOrder="0"/>
    </dxf>
    <dxf>
      <border>
        <bottom style="thin">
          <color theme="0" tint="-0.499984740745262"/>
        </bottom>
      </border>
    </dxf>
    <dxf>
      <font>
        <b/>
        <i val="0"/>
        <strike val="0"/>
        <condense val="0"/>
        <extend val="0"/>
        <outline val="0"/>
        <shadow val="0"/>
        <u val="none"/>
        <vertAlign val="baseline"/>
        <sz val="10"/>
        <color theme="0"/>
        <name val="CocoEng"/>
        <family val="3"/>
        <scheme val="none"/>
      </font>
      <fill>
        <patternFill patternType="solid">
          <fgColor indexed="64"/>
          <bgColor rgb="FFC34986"/>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bottom/>
        <vertical style="thin">
          <color theme="0" tint="-0.499984740745262"/>
        </vertical>
        <horizontal style="thin">
          <color theme="0" tint="-0.499984740745262"/>
        </horizontal>
      </border>
    </dxf>
    <dxf>
      <font>
        <color theme="0"/>
      </font>
      <fill>
        <patternFill>
          <bgColor rgb="FFFF0000"/>
        </patternFill>
      </fill>
    </dxf>
    <dxf>
      <fill>
        <patternFill>
          <bgColor rgb="FFFFC000"/>
        </patternFill>
      </fill>
    </dxf>
    <dxf>
      <fill>
        <patternFill>
          <bgColor rgb="FFFFFF00"/>
        </patternFill>
      </fill>
    </dxf>
    <dxf>
      <fill>
        <patternFill>
          <bgColor rgb="FF92D050"/>
        </patternFill>
      </fill>
    </dxf>
    <dxf>
      <font>
        <color theme="0"/>
      </font>
      <fill>
        <patternFill>
          <bgColor rgb="FFC00000"/>
        </patternFill>
      </fill>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theme="0" tint="-0.499984740745262"/>
        </left>
        <right/>
        <top style="thin">
          <color theme="0" tint="-0.499984740745262"/>
        </top>
        <bottom style="thin">
          <color theme="0" tint="-0.499984740745262"/>
        </bottom>
      </border>
      <protection locked="0" hidden="0"/>
    </dxf>
    <dxf>
      <font>
        <b/>
        <i val="0"/>
        <strike val="0"/>
        <condense val="0"/>
        <extend val="0"/>
        <outline val="0"/>
        <shadow val="0"/>
        <u val="none"/>
        <vertAlign val="baseline"/>
        <sz val="10"/>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499984740745262"/>
        </left>
        <right/>
        <top style="thin">
          <color theme="0" tint="-0.499984740745262"/>
        </top>
        <bottom style="thin">
          <color theme="0" tint="-0.499984740745262"/>
        </bottom>
      </border>
      <protection locked="0" hidden="0"/>
    </dxf>
    <dxf>
      <font>
        <b/>
        <i val="0"/>
        <strike val="0"/>
        <condense val="0"/>
        <extend val="0"/>
        <outline val="0"/>
        <shadow val="0"/>
        <u val="none"/>
        <vertAlign val="baseline"/>
        <sz val="10"/>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i val="0"/>
        <strike val="0"/>
        <condense val="0"/>
        <extend val="0"/>
        <outline val="0"/>
        <shadow val="0"/>
        <u val="none"/>
        <vertAlign val="baseline"/>
        <sz val="10"/>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i val="0"/>
        <strike val="0"/>
        <condense val="0"/>
        <extend val="0"/>
        <outline val="0"/>
        <shadow val="0"/>
        <u val="none"/>
        <vertAlign val="baseline"/>
        <sz val="10"/>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i val="0"/>
        <strike val="0"/>
        <condense val="0"/>
        <extend val="0"/>
        <outline val="0"/>
        <shadow val="0"/>
        <u val="none"/>
        <vertAlign val="baseline"/>
        <sz val="10"/>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i val="0"/>
        <strike val="0"/>
        <condense val="0"/>
        <extend val="0"/>
        <outline val="0"/>
        <shadow val="0"/>
        <u val="none"/>
        <vertAlign val="baseline"/>
        <sz val="10"/>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i val="0"/>
        <strike val="0"/>
        <condense val="0"/>
        <extend val="0"/>
        <outline val="0"/>
        <shadow val="0"/>
        <u val="none"/>
        <vertAlign val="baseline"/>
        <sz val="10"/>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i val="0"/>
        <strike val="0"/>
        <condense val="0"/>
        <extend val="0"/>
        <outline val="0"/>
        <shadow val="0"/>
        <u val="none"/>
        <vertAlign val="baseline"/>
        <sz val="10"/>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i val="0"/>
        <strike val="0"/>
        <condense val="0"/>
        <extend val="0"/>
        <outline val="0"/>
        <shadow val="0"/>
        <u val="none"/>
        <vertAlign val="baseline"/>
        <sz val="10"/>
        <color theme="1"/>
        <name val="CocoEng"/>
        <family val="3"/>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i val="0"/>
        <strike val="0"/>
        <condense val="0"/>
        <extend val="0"/>
        <outline val="0"/>
        <shadow val="0"/>
        <u val="none"/>
        <vertAlign val="baseline"/>
        <sz val="10"/>
        <color theme="1"/>
        <name val="CocoEng"/>
        <family val="3"/>
        <scheme val="none"/>
      </font>
      <fill>
        <patternFill patternType="solid">
          <fgColor indexed="64"/>
          <bgColor theme="0"/>
        </patternFill>
      </fill>
      <alignment horizontal="center" vertical="center" textRotation="0" wrapText="1" indent="0" justifyLastLine="0" shrinkToFit="0" readingOrder="0"/>
      <border diagonalUp="0" diagonalDown="0" outline="0">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10"/>
        <color rgb="FF000000"/>
        <name val="CocoEng"/>
        <family val="3"/>
        <scheme val="none"/>
      </font>
      <fill>
        <patternFill patternType="solid">
          <fgColor rgb="FF000000"/>
          <bgColor rgb="FFFFFFFF"/>
        </patternFill>
      </fill>
      <alignment horizontal="left"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0"/>
        <color rgb="FF000000"/>
        <name val="CocoEng"/>
        <family val="3"/>
        <scheme val="none"/>
      </font>
      <fill>
        <patternFill patternType="solid">
          <fgColor rgb="FF000000"/>
          <bgColor rgb="FFFFFFFF"/>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0"/>
        <color theme="0"/>
        <name val="CocoEng"/>
        <family val="3"/>
        <scheme val="none"/>
      </font>
      <fill>
        <patternFill patternType="solid">
          <fgColor indexed="64"/>
          <bgColor rgb="FFC34986"/>
        </patternFill>
      </fill>
      <alignment horizontal="left" vertical="center" textRotation="0" wrapText="1" indent="0" justifyLastLine="0" shrinkToFit="0" readingOrder="0"/>
      <border diagonalUp="0" diagonalDown="0" outline="0">
        <left style="thin">
          <color theme="0" tint="-0.499984740745262"/>
        </left>
        <right style="thin">
          <color theme="0" tint="-0.499984740745262"/>
        </right>
        <top/>
        <bottom/>
      </border>
    </dxf>
    <dxf>
      <font>
        <color theme="0"/>
      </font>
      <fill>
        <patternFill>
          <bgColor rgb="FFFF0000"/>
        </patternFill>
      </fill>
    </dxf>
    <dxf>
      <fill>
        <patternFill>
          <bgColor rgb="FFFFC000"/>
        </patternFill>
      </fill>
    </dxf>
    <dxf>
      <fill>
        <patternFill>
          <bgColor rgb="FFFFFF00"/>
        </patternFill>
      </fill>
    </dxf>
    <dxf>
      <fill>
        <patternFill>
          <bgColor rgb="FF92D050"/>
        </patternFill>
      </fill>
    </dxf>
    <dxf>
      <font>
        <color theme="0"/>
      </font>
      <fill>
        <patternFill>
          <bgColor rgb="FFC00000"/>
        </patternFill>
      </fill>
    </dxf>
    <dxf>
      <font>
        <b val="0"/>
        <i val="0"/>
        <strike val="0"/>
        <condense val="0"/>
        <extend val="0"/>
        <outline val="0"/>
        <shadow val="0"/>
        <u val="none"/>
        <vertAlign val="baseline"/>
        <sz val="11"/>
        <color theme="1"/>
        <name val="CocoEng"/>
        <family val="3"/>
        <scheme val="none"/>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ocoEng"/>
        <family val="3"/>
        <scheme val="none"/>
      </font>
      <alignment horizontal="general" vertical="top"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ocoEng"/>
        <family val="3"/>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i val="0"/>
        <strike val="0"/>
        <condense val="0"/>
        <extend val="0"/>
        <outline val="0"/>
        <shadow val="0"/>
        <u val="none"/>
        <vertAlign val="baseline"/>
        <sz val="11"/>
        <color theme="1"/>
        <name val="CocoEng"/>
        <family val="3"/>
        <scheme val="none"/>
      </font>
      <alignment horizontal="center"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center" vertical="center" textRotation="0"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alignment horizontal="general" vertical="center" textRotation="0" indent="0" justifyLastLine="0" shrinkToFit="0" readingOrder="0"/>
    </dxf>
    <dxf>
      <border>
        <bottom style="thin">
          <color theme="0" tint="-0.34998626667073579"/>
        </bottom>
      </border>
    </dxf>
    <dxf>
      <font>
        <b/>
        <i val="0"/>
        <strike val="0"/>
        <condense val="0"/>
        <extend val="0"/>
        <outline val="0"/>
        <shadow val="0"/>
        <u val="none"/>
        <vertAlign val="baseline"/>
        <sz val="11"/>
        <color theme="0"/>
        <name val="CocoEng"/>
        <family val="3"/>
        <scheme val="none"/>
      </font>
      <fill>
        <patternFill patternType="solid">
          <fgColor indexed="64"/>
          <bgColor rgb="FFC34986"/>
        </patternFill>
      </fill>
      <alignment horizontal="center" vertical="center" textRotation="0" wrapText="1" indent="0" justifyLastLine="0" shrinkToFit="0" readingOrder="0"/>
      <border diagonalUp="0" diagonalDown="0">
        <left style="thin">
          <color theme="0" tint="-0.34998626667073579"/>
        </left>
        <right style="thin">
          <color theme="0" tint="-0.34998626667073579"/>
        </right>
        <top/>
        <bottom/>
        <vertical style="thin">
          <color theme="0" tint="-0.34998626667073579"/>
        </vertical>
        <horizontal style="thin">
          <color theme="0" tint="-0.34998626667073579"/>
        </horizontal>
      </border>
    </dxf>
    <dxf>
      <fill>
        <patternFill patternType="lightDown"/>
      </fill>
    </dxf>
    <dxf>
      <font>
        <strike val="0"/>
        <outline val="0"/>
        <shadow val="0"/>
        <u val="none"/>
        <vertAlign val="baseline"/>
        <sz val="9"/>
        <name val="CocoEng"/>
        <family val="3"/>
        <scheme val="none"/>
      </font>
      <alignment horizontal="center" vertical="center" textRotation="0" wrapText="1" indent="0" justifyLastLine="0" shrinkToFit="0" readingOrder="0"/>
    </dxf>
    <dxf>
      <font>
        <strike val="0"/>
        <outline val="0"/>
        <shadow val="0"/>
        <u val="none"/>
        <vertAlign val="baseline"/>
        <sz val="9"/>
        <name val="CocoEng"/>
        <family val="3"/>
        <scheme val="none"/>
      </font>
      <alignment vertical="center" textRotation="0" wrapText="1" indent="0" justifyLastLine="0" shrinkToFit="0" readingOrder="0"/>
    </dxf>
    <dxf>
      <font>
        <strike val="0"/>
        <outline val="0"/>
        <shadow val="0"/>
        <u val="none"/>
        <vertAlign val="baseline"/>
        <sz val="9"/>
        <name val="CocoEng"/>
        <family val="3"/>
        <scheme val="none"/>
      </font>
      <alignment vertical="center" textRotation="0" wrapText="1" indent="0" justifyLastLine="0" shrinkToFit="0" readingOrder="0"/>
    </dxf>
    <dxf>
      <font>
        <strike val="0"/>
        <outline val="0"/>
        <shadow val="0"/>
        <u val="none"/>
        <vertAlign val="baseline"/>
        <sz val="9"/>
        <name val="CocoEng"/>
        <family val="3"/>
        <scheme val="none"/>
      </font>
      <alignment horizontal="center" vertical="center" textRotation="0" wrapText="1" indent="0" justifyLastLine="0" shrinkToFit="0" readingOrder="0"/>
    </dxf>
    <dxf>
      <font>
        <b/>
        <strike val="0"/>
        <outline val="0"/>
        <shadow val="0"/>
        <u val="none"/>
        <vertAlign val="baseline"/>
        <sz val="9"/>
        <name val="CocoEng"/>
        <family val="3"/>
        <scheme val="none"/>
      </font>
      <alignment horizontal="left" vertical="center" textRotation="0" wrapText="1" indent="0" justifyLastLine="0" shrinkToFit="0" readingOrder="0"/>
    </dxf>
    <dxf>
      <font>
        <strike val="0"/>
        <outline val="0"/>
        <shadow val="0"/>
        <u val="none"/>
        <vertAlign val="baseline"/>
        <sz val="9"/>
        <name val="CocoEng"/>
        <family val="3"/>
        <scheme val="none"/>
      </font>
      <alignment horizontal="center" vertical="center" textRotation="0" wrapText="1" indent="0" justifyLastLine="0" shrinkToFit="0" readingOrder="0"/>
    </dxf>
    <dxf>
      <font>
        <strike val="0"/>
        <outline val="0"/>
        <shadow val="0"/>
        <u val="none"/>
        <vertAlign val="baseline"/>
        <sz val="9"/>
        <name val="CocoEng"/>
        <family val="3"/>
        <scheme val="none"/>
      </font>
      <alignment vertical="center" textRotation="0" wrapText="1" indent="0" justifyLastLine="0" shrinkToFit="0" readingOrder="0"/>
    </dxf>
    <dxf>
      <font>
        <strike val="0"/>
        <outline val="0"/>
        <shadow val="0"/>
        <u val="none"/>
        <vertAlign val="baseline"/>
        <sz val="9"/>
        <name val="CocoEng"/>
        <family val="3"/>
        <scheme val="none"/>
      </font>
      <fill>
        <patternFill patternType="solid">
          <fgColor indexed="64"/>
          <bgColor rgb="FFC34986"/>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right style="thin">
          <color theme="0" tint="-0.34998626667073579"/>
        </right>
        <top style="thin">
          <color theme="0" tint="-0.34998626667073579"/>
        </top>
        <bottom style="thin">
          <color theme="0" tint="-0.34998626667073579"/>
        </bottom>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0"/>
        <color theme="1"/>
        <name val="CocoEng"/>
        <family val="3"/>
        <scheme val="none"/>
      </font>
      <fill>
        <patternFill patternType="solid">
          <fgColor indexed="64"/>
          <bgColor theme="0"/>
        </patternFill>
      </fill>
      <alignment horizontal="general" vertical="center" textRotation="0" wrapText="1" indent="0" justifyLastLine="0" shrinkToFit="0" readingOrder="0"/>
    </dxf>
    <dxf>
      <border>
        <bottom style="thin">
          <color theme="0" tint="-0.34998626667073579"/>
        </bottom>
      </border>
    </dxf>
    <dxf>
      <font>
        <b/>
        <i val="0"/>
        <strike val="0"/>
        <condense val="0"/>
        <extend val="0"/>
        <outline val="0"/>
        <shadow val="0"/>
        <u val="none"/>
        <vertAlign val="baseline"/>
        <sz val="10"/>
        <color theme="0"/>
        <name val="CocoEng"/>
        <family val="3"/>
        <scheme val="none"/>
      </font>
      <fill>
        <patternFill patternType="solid">
          <fgColor indexed="64"/>
          <bgColor rgb="FFC34986"/>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s>
  <tableStyles count="0" defaultTableStyle="TableStyleMedium2" defaultPivotStyle="PivotStyleLight16"/>
  <colors>
    <mruColors>
      <color rgb="FFC34986"/>
      <color rgb="FF74264D"/>
      <color rgb="FF993366"/>
      <color rgb="FFC39BE1"/>
      <color rgb="FF920000"/>
      <color rgb="FFDAA100"/>
      <color rgb="FFB88800"/>
      <color rgb="FFFF5353"/>
      <color rgb="FFFADDC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0" i="0" u="none" strike="noStrike" kern="1200" spc="0" baseline="0">
                <a:solidFill>
                  <a:schemeClr val="tx1">
                    <a:lumMod val="65000"/>
                    <a:lumOff val="35000"/>
                  </a:schemeClr>
                </a:solidFill>
                <a:latin typeface="CocoEng" pitchFamily="50" charset="0"/>
                <a:ea typeface="+mn-ea"/>
                <a:cs typeface="Segoe UI" panose="020B0502040204020203" pitchFamily="34" charset="0"/>
              </a:defRPr>
            </a:pPr>
            <a:r>
              <a:rPr lang="it-IT"/>
              <a:t>% Maturità dei Contrrolli di Sicurezza per Categoria</a:t>
            </a:r>
          </a:p>
        </c:rich>
      </c:tx>
      <c:overlay val="0"/>
      <c:spPr>
        <a:noFill/>
        <a:ln>
          <a:noFill/>
        </a:ln>
        <a:effectLst/>
      </c:spPr>
      <c:txPr>
        <a:bodyPr rot="0" spcFirstLastPara="1" vertOverflow="ellipsis" vert="horz" wrap="square" anchor="ctr" anchorCtr="1"/>
        <a:lstStyle/>
        <a:p>
          <a:pPr>
            <a:defRPr sz="1260" b="0" i="0" u="none" strike="noStrike" kern="1200" spc="0" baseline="0">
              <a:solidFill>
                <a:schemeClr val="tx1">
                  <a:lumMod val="65000"/>
                  <a:lumOff val="35000"/>
                </a:schemeClr>
              </a:solidFill>
              <a:latin typeface="CocoEng" pitchFamily="50" charset="0"/>
              <a:ea typeface="+mn-ea"/>
              <a:cs typeface="Segoe UI" panose="020B0502040204020203" pitchFamily="34" charset="0"/>
            </a:defRPr>
          </a:pPr>
          <a:endParaRPr lang="it-IT"/>
        </a:p>
      </c:txPr>
    </c:title>
    <c:autoTitleDeleted val="0"/>
    <c:plotArea>
      <c:layout/>
      <c:barChart>
        <c:barDir val="bar"/>
        <c:grouping val="percentStacked"/>
        <c:varyColors val="0"/>
        <c:ser>
          <c:idx val="0"/>
          <c:order val="0"/>
          <c:tx>
            <c:strRef>
              <c:f>Dashboard!$D$66</c:f>
              <c:strCache>
                <c:ptCount val="1"/>
                <c:pt idx="0">
                  <c:v>Implementato</c:v>
                </c:pt>
              </c:strCache>
            </c:strRef>
          </c:tx>
          <c:spPr>
            <a:solidFill>
              <a:srgbClr val="00B050"/>
            </a:solidFill>
            <a:ln>
              <a:noFill/>
            </a:ln>
            <a:effectLst/>
          </c:spPr>
          <c:invertIfNegative val="0"/>
          <c:cat>
            <c:strRef>
              <c:f>Dashboard!$C$67:$C$81</c:f>
              <c:strCache>
                <c:ptCount val="15"/>
                <c:pt idx="0">
                  <c:v>01 Domain Controller</c:v>
                </c:pt>
                <c:pt idx="1">
                  <c:v>02 Identity and Access Management</c:v>
                </c:pt>
                <c:pt idx="2">
                  <c:v>03 Network Management</c:v>
                </c:pt>
                <c:pt idx="3">
                  <c:v>04 Segregazione</c:v>
                </c:pt>
                <c:pt idx="4">
                  <c:v>05 Server</c:v>
                </c:pt>
                <c:pt idx="5">
                  <c:v>06 Applicazioni</c:v>
                </c:pt>
                <c:pt idx="6">
                  <c:v>07 Servizi Esposti</c:v>
                </c:pt>
                <c:pt idx="7">
                  <c:v>08 Postazioni di Lavoro</c:v>
                </c:pt>
                <c:pt idx="8">
                  <c:v>09 Backup</c:v>
                </c:pt>
                <c:pt idx="9">
                  <c:v>10 Formazione</c:v>
                </c:pt>
                <c:pt idx="10">
                  <c:v>11 Continuità Operativa</c:v>
                </c:pt>
                <c:pt idx="11">
                  <c:v>12 Controllo Accessi Fisici</c:v>
                </c:pt>
                <c:pt idx="12">
                  <c:v>13 Protezione degli Asset Fisici Critici</c:v>
                </c:pt>
                <c:pt idx="13">
                  <c:v>14 Sicurezza Antincendio</c:v>
                </c:pt>
                <c:pt idx="14">
                  <c:v>15 Infrastrutture Critiche</c:v>
                </c:pt>
              </c:strCache>
            </c:strRef>
          </c:cat>
          <c:val>
            <c:numRef>
              <c:f>Dashboard!$D$67:$D$81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024E-49EB-B5F5-89B94AA07614}"/>
            </c:ext>
          </c:extLst>
        </c:ser>
        <c:ser>
          <c:idx val="1"/>
          <c:order val="1"/>
          <c:tx>
            <c:strRef>
              <c:f>Dashboard!$E$66</c:f>
              <c:strCache>
                <c:ptCount val="1"/>
                <c:pt idx="0">
                  <c:v>Parzialmente Implementato</c:v>
                </c:pt>
              </c:strCache>
            </c:strRef>
          </c:tx>
          <c:spPr>
            <a:solidFill>
              <a:srgbClr val="FFFF00"/>
            </a:solidFill>
            <a:ln>
              <a:noFill/>
            </a:ln>
            <a:effectLst/>
          </c:spPr>
          <c:invertIfNegative val="0"/>
          <c:cat>
            <c:strRef>
              <c:f>Dashboard!$C$67:$C$81</c:f>
              <c:strCache>
                <c:ptCount val="15"/>
                <c:pt idx="0">
                  <c:v>01 Domain Controller</c:v>
                </c:pt>
                <c:pt idx="1">
                  <c:v>02 Identity and Access Management</c:v>
                </c:pt>
                <c:pt idx="2">
                  <c:v>03 Network Management</c:v>
                </c:pt>
                <c:pt idx="3">
                  <c:v>04 Segregazione</c:v>
                </c:pt>
                <c:pt idx="4">
                  <c:v>05 Server</c:v>
                </c:pt>
                <c:pt idx="5">
                  <c:v>06 Applicazioni</c:v>
                </c:pt>
                <c:pt idx="6">
                  <c:v>07 Servizi Esposti</c:v>
                </c:pt>
                <c:pt idx="7">
                  <c:v>08 Postazioni di Lavoro</c:v>
                </c:pt>
                <c:pt idx="8">
                  <c:v>09 Backup</c:v>
                </c:pt>
                <c:pt idx="9">
                  <c:v>10 Formazione</c:v>
                </c:pt>
                <c:pt idx="10">
                  <c:v>11 Continuità Operativa</c:v>
                </c:pt>
                <c:pt idx="11">
                  <c:v>12 Controllo Accessi Fisici</c:v>
                </c:pt>
                <c:pt idx="12">
                  <c:v>13 Protezione degli Asset Fisici Critici</c:v>
                </c:pt>
                <c:pt idx="13">
                  <c:v>14 Sicurezza Antincendio</c:v>
                </c:pt>
                <c:pt idx="14">
                  <c:v>15 Infrastrutture Critiche</c:v>
                </c:pt>
              </c:strCache>
            </c:strRef>
          </c:cat>
          <c:val>
            <c:numRef>
              <c:f>Dashboard!$E$67:$E$81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24E-49EB-B5F5-89B94AA07614}"/>
            </c:ext>
          </c:extLst>
        </c:ser>
        <c:ser>
          <c:idx val="2"/>
          <c:order val="2"/>
          <c:tx>
            <c:strRef>
              <c:f>Dashboard!$F$66</c:f>
              <c:strCache>
                <c:ptCount val="1"/>
                <c:pt idx="0">
                  <c:v>Non Implementato</c:v>
                </c:pt>
              </c:strCache>
            </c:strRef>
          </c:tx>
          <c:spPr>
            <a:solidFill>
              <a:srgbClr val="FF0000"/>
            </a:solidFill>
            <a:ln>
              <a:noFill/>
            </a:ln>
            <a:effectLst/>
          </c:spPr>
          <c:invertIfNegative val="0"/>
          <c:cat>
            <c:strRef>
              <c:f>Dashboard!$C$67:$C$81</c:f>
              <c:strCache>
                <c:ptCount val="15"/>
                <c:pt idx="0">
                  <c:v>01 Domain Controller</c:v>
                </c:pt>
                <c:pt idx="1">
                  <c:v>02 Identity and Access Management</c:v>
                </c:pt>
                <c:pt idx="2">
                  <c:v>03 Network Management</c:v>
                </c:pt>
                <c:pt idx="3">
                  <c:v>04 Segregazione</c:v>
                </c:pt>
                <c:pt idx="4">
                  <c:v>05 Server</c:v>
                </c:pt>
                <c:pt idx="5">
                  <c:v>06 Applicazioni</c:v>
                </c:pt>
                <c:pt idx="6">
                  <c:v>07 Servizi Esposti</c:v>
                </c:pt>
                <c:pt idx="7">
                  <c:v>08 Postazioni di Lavoro</c:v>
                </c:pt>
                <c:pt idx="8">
                  <c:v>09 Backup</c:v>
                </c:pt>
                <c:pt idx="9">
                  <c:v>10 Formazione</c:v>
                </c:pt>
                <c:pt idx="10">
                  <c:v>11 Continuità Operativa</c:v>
                </c:pt>
                <c:pt idx="11">
                  <c:v>12 Controllo Accessi Fisici</c:v>
                </c:pt>
                <c:pt idx="12">
                  <c:v>13 Protezione degli Asset Fisici Critici</c:v>
                </c:pt>
                <c:pt idx="13">
                  <c:v>14 Sicurezza Antincendio</c:v>
                </c:pt>
                <c:pt idx="14">
                  <c:v>15 Infrastrutture Critiche</c:v>
                </c:pt>
              </c:strCache>
            </c:strRef>
          </c:cat>
          <c:val>
            <c:numRef>
              <c:f>Dashboard!$F$67:$F$81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024E-49EB-B5F5-89B94AA07614}"/>
            </c:ext>
          </c:extLst>
        </c:ser>
        <c:ser>
          <c:idx val="3"/>
          <c:order val="3"/>
          <c:tx>
            <c:strRef>
              <c:f>Dashboard!$G$66</c:f>
              <c:strCache>
                <c:ptCount val="1"/>
                <c:pt idx="0">
                  <c:v>Da valutare</c:v>
                </c:pt>
              </c:strCache>
            </c:strRef>
          </c:tx>
          <c:spPr>
            <a:solidFill>
              <a:schemeClr val="bg2">
                <a:lumMod val="75000"/>
              </a:schemeClr>
            </a:solidFill>
            <a:ln>
              <a:noFill/>
            </a:ln>
            <a:effectLst/>
          </c:spPr>
          <c:invertIfNegative val="0"/>
          <c:cat>
            <c:strRef>
              <c:f>Dashboard!$C$67:$C$81</c:f>
              <c:strCache>
                <c:ptCount val="15"/>
                <c:pt idx="0">
                  <c:v>01 Domain Controller</c:v>
                </c:pt>
                <c:pt idx="1">
                  <c:v>02 Identity and Access Management</c:v>
                </c:pt>
                <c:pt idx="2">
                  <c:v>03 Network Management</c:v>
                </c:pt>
                <c:pt idx="3">
                  <c:v>04 Segregazione</c:v>
                </c:pt>
                <c:pt idx="4">
                  <c:v>05 Server</c:v>
                </c:pt>
                <c:pt idx="5">
                  <c:v>06 Applicazioni</c:v>
                </c:pt>
                <c:pt idx="6">
                  <c:v>07 Servizi Esposti</c:v>
                </c:pt>
                <c:pt idx="7">
                  <c:v>08 Postazioni di Lavoro</c:v>
                </c:pt>
                <c:pt idx="8">
                  <c:v>09 Backup</c:v>
                </c:pt>
                <c:pt idx="9">
                  <c:v>10 Formazione</c:v>
                </c:pt>
                <c:pt idx="10">
                  <c:v>11 Continuità Operativa</c:v>
                </c:pt>
                <c:pt idx="11">
                  <c:v>12 Controllo Accessi Fisici</c:v>
                </c:pt>
                <c:pt idx="12">
                  <c:v>13 Protezione degli Asset Fisici Critici</c:v>
                </c:pt>
                <c:pt idx="13">
                  <c:v>14 Sicurezza Antincendio</c:v>
                </c:pt>
                <c:pt idx="14">
                  <c:v>15 Infrastrutture Critiche</c:v>
                </c:pt>
              </c:strCache>
            </c:strRef>
          </c:cat>
          <c:val>
            <c:numRef>
              <c:f>Dashboard!$G$67:$G$81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3-024E-49EB-B5F5-89B94AA07614}"/>
            </c:ext>
          </c:extLst>
        </c:ser>
        <c:dLbls>
          <c:showLegendKey val="0"/>
          <c:showVal val="0"/>
          <c:showCatName val="0"/>
          <c:showSerName val="0"/>
          <c:showPercent val="0"/>
          <c:showBubbleSize val="0"/>
        </c:dLbls>
        <c:gapWidth val="150"/>
        <c:overlap val="100"/>
        <c:axId val="714198048"/>
        <c:axId val="1010137007"/>
      </c:barChart>
      <c:catAx>
        <c:axId val="714198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CocoEng" pitchFamily="50" charset="0"/>
                <a:ea typeface="+mn-ea"/>
                <a:cs typeface="Segoe UI" panose="020B0502040204020203" pitchFamily="34" charset="0"/>
              </a:defRPr>
            </a:pPr>
            <a:endParaRPr lang="it-IT"/>
          </a:p>
        </c:txPr>
        <c:crossAx val="1010137007"/>
        <c:crosses val="autoZero"/>
        <c:auto val="1"/>
        <c:lblAlgn val="ctr"/>
        <c:lblOffset val="100"/>
        <c:noMultiLvlLbl val="0"/>
      </c:catAx>
      <c:valAx>
        <c:axId val="101013700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CocoEng" pitchFamily="50" charset="0"/>
                <a:ea typeface="+mn-ea"/>
                <a:cs typeface="Segoe UI" panose="020B0502040204020203" pitchFamily="34" charset="0"/>
              </a:defRPr>
            </a:pPr>
            <a:endParaRPr lang="it-IT"/>
          </a:p>
        </c:txPr>
        <c:crossAx val="714198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CocoEng" pitchFamily="50" charset="0"/>
              <a:ea typeface="+mn-ea"/>
              <a:cs typeface="Segoe UI" panose="020B0502040204020203" pitchFamily="34" charset="0"/>
            </a:defRPr>
          </a:pPr>
          <a:endParaRPr lang="it-IT"/>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50">
          <a:latin typeface="CocoEng" pitchFamily="50" charset="0"/>
          <a:cs typeface="Segoe UI" panose="020B0502040204020203" pitchFamily="34" charset="0"/>
        </a:defRPr>
      </a:pPr>
      <a:endParaRPr lang="it-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CocoEng" pitchFamily="50" charset="0"/>
                <a:ea typeface="+mn-ea"/>
                <a:cs typeface="Segoe UI" panose="020B0502040204020203" pitchFamily="34" charset="0"/>
              </a:defRPr>
            </a:pPr>
            <a:r>
              <a:rPr lang="it-IT"/>
              <a:t>% Maturità dei Controlli di Sicurezza per Minaccia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CocoEng" pitchFamily="50" charset="0"/>
              <a:ea typeface="+mn-ea"/>
              <a:cs typeface="Segoe UI" panose="020B0502040204020203" pitchFamily="34" charset="0"/>
            </a:defRPr>
          </a:pPr>
          <a:endParaRPr lang="it-IT"/>
        </a:p>
      </c:txPr>
    </c:title>
    <c:autoTitleDeleted val="0"/>
    <c:plotArea>
      <c:layout/>
      <c:barChart>
        <c:barDir val="bar"/>
        <c:grouping val="percentStacked"/>
        <c:varyColors val="0"/>
        <c:ser>
          <c:idx val="0"/>
          <c:order val="0"/>
          <c:tx>
            <c:strRef>
              <c:f>Dashboard!$D$41</c:f>
              <c:strCache>
                <c:ptCount val="1"/>
                <c:pt idx="0">
                  <c:v>Implementato</c:v>
                </c:pt>
              </c:strCache>
            </c:strRef>
          </c:tx>
          <c:spPr>
            <a:solidFill>
              <a:srgbClr val="00B050"/>
            </a:solidFill>
            <a:ln>
              <a:noFill/>
            </a:ln>
            <a:effectLst/>
          </c:spPr>
          <c:invertIfNegative val="0"/>
          <c:cat>
            <c:strRef>
              <c:f>Dashboard!$C$42:$C$63</c:f>
              <c:strCache>
                <c:ptCount val="22"/>
                <c:pt idx="0">
                  <c:v>Ransomware</c:v>
                </c:pt>
                <c:pt idx="1">
                  <c:v>Malware</c:v>
                </c:pt>
                <c:pt idx="2">
                  <c:v>Supply Chain Attacks</c:v>
                </c:pt>
                <c:pt idx="3">
                  <c:v>Minacce su dispositivi mobili</c:v>
                </c:pt>
                <c:pt idx="4">
                  <c:v>Social Engineering</c:v>
                </c:pt>
                <c:pt idx="5">
                  <c:v>Data Breach, Data Leakage &amp; Data Manipulation</c:v>
                </c:pt>
                <c:pt idx="6">
                  <c:v>Furto o smarrimento di dispositivi, storage o apparati aziendali</c:v>
                </c:pt>
                <c:pt idx="7">
                  <c:v>Sfruttamento di vulnerabilità note e zero-day</c:v>
                </c:pt>
                <c:pt idx="8">
                  <c:v>DDoS</c:v>
                </c:pt>
                <c:pt idx="9">
                  <c:v>Guasto HW e obsolescenza tecnologica</c:v>
                </c:pt>
                <c:pt idx="10">
                  <c:v>Anomalia SW</c:v>
                </c:pt>
                <c:pt idx="11">
                  <c:v>Furto e abuso di credenziali</c:v>
                </c:pt>
                <c:pt idx="12">
                  <c:v>Azioni improprie o errore umano</c:v>
                </c:pt>
                <c:pt idx="13">
                  <c:v>Connessione non autorizzata alla rete fisica o wireless</c:v>
                </c:pt>
                <c:pt idx="14">
                  <c:v>Mancato rispetto di normative o requisiti contrattuali di sicurezza</c:v>
                </c:pt>
                <c:pt idx="15">
                  <c:v>Evento naturale o meteorologico estremo</c:v>
                </c:pt>
                <c:pt idx="16">
                  <c:v>Incendio o allagamento</c:v>
                </c:pt>
                <c:pt idx="17">
                  <c:v>Interruzione di utilities</c:v>
                </c:pt>
                <c:pt idx="18">
                  <c:v>Vandalismo, sabotaggio fisico o provvedimento delle autorità</c:v>
                </c:pt>
                <c:pt idx="19">
                  <c:v>Assenza di personale operativo e figure chiave</c:v>
                </c:pt>
                <c:pt idx="20">
                  <c:v>Fault del fornitore</c:v>
                </c:pt>
                <c:pt idx="21">
                  <c:v>Intrusione fraudolenta in uffici, locali tecnici o data center</c:v>
                </c:pt>
              </c:strCache>
            </c:strRef>
          </c:cat>
          <c:val>
            <c:numRef>
              <c:f>Dashboard!$D$42:$D$63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2E80-4F46-AC59-5C25B8083675}"/>
            </c:ext>
          </c:extLst>
        </c:ser>
        <c:ser>
          <c:idx val="1"/>
          <c:order val="1"/>
          <c:tx>
            <c:strRef>
              <c:f>Dashboard!$E$41</c:f>
              <c:strCache>
                <c:ptCount val="1"/>
                <c:pt idx="0">
                  <c:v>Parzialmente Implementato</c:v>
                </c:pt>
              </c:strCache>
            </c:strRef>
          </c:tx>
          <c:spPr>
            <a:solidFill>
              <a:srgbClr val="FFFF00"/>
            </a:solidFill>
            <a:ln>
              <a:noFill/>
            </a:ln>
            <a:effectLst/>
          </c:spPr>
          <c:invertIfNegative val="0"/>
          <c:cat>
            <c:strRef>
              <c:f>Dashboard!$C$42:$C$63</c:f>
              <c:strCache>
                <c:ptCount val="22"/>
                <c:pt idx="0">
                  <c:v>Ransomware</c:v>
                </c:pt>
                <c:pt idx="1">
                  <c:v>Malware</c:v>
                </c:pt>
                <c:pt idx="2">
                  <c:v>Supply Chain Attacks</c:v>
                </c:pt>
                <c:pt idx="3">
                  <c:v>Minacce su dispositivi mobili</c:v>
                </c:pt>
                <c:pt idx="4">
                  <c:v>Social Engineering</c:v>
                </c:pt>
                <c:pt idx="5">
                  <c:v>Data Breach, Data Leakage &amp; Data Manipulation</c:v>
                </c:pt>
                <c:pt idx="6">
                  <c:v>Furto o smarrimento di dispositivi, storage o apparati aziendali</c:v>
                </c:pt>
                <c:pt idx="7">
                  <c:v>Sfruttamento di vulnerabilità note e zero-day</c:v>
                </c:pt>
                <c:pt idx="8">
                  <c:v>DDoS</c:v>
                </c:pt>
                <c:pt idx="9">
                  <c:v>Guasto HW e obsolescenza tecnologica</c:v>
                </c:pt>
                <c:pt idx="10">
                  <c:v>Anomalia SW</c:v>
                </c:pt>
                <c:pt idx="11">
                  <c:v>Furto e abuso di credenziali</c:v>
                </c:pt>
                <c:pt idx="12">
                  <c:v>Azioni improprie o errore umano</c:v>
                </c:pt>
                <c:pt idx="13">
                  <c:v>Connessione non autorizzata alla rete fisica o wireless</c:v>
                </c:pt>
                <c:pt idx="14">
                  <c:v>Mancato rispetto di normative o requisiti contrattuali di sicurezza</c:v>
                </c:pt>
                <c:pt idx="15">
                  <c:v>Evento naturale o meteorologico estremo</c:v>
                </c:pt>
                <c:pt idx="16">
                  <c:v>Incendio o allagamento</c:v>
                </c:pt>
                <c:pt idx="17">
                  <c:v>Interruzione di utilities</c:v>
                </c:pt>
                <c:pt idx="18">
                  <c:v>Vandalismo, sabotaggio fisico o provvedimento delle autorità</c:v>
                </c:pt>
                <c:pt idx="19">
                  <c:v>Assenza di personale operativo e figure chiave</c:v>
                </c:pt>
                <c:pt idx="20">
                  <c:v>Fault del fornitore</c:v>
                </c:pt>
                <c:pt idx="21">
                  <c:v>Intrusione fraudolenta in uffici, locali tecnici o data center</c:v>
                </c:pt>
              </c:strCache>
            </c:strRef>
          </c:cat>
          <c:val>
            <c:numRef>
              <c:f>Dashboard!$E$42:$E$63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1-2E80-4F46-AC59-5C25B8083675}"/>
            </c:ext>
          </c:extLst>
        </c:ser>
        <c:ser>
          <c:idx val="2"/>
          <c:order val="2"/>
          <c:tx>
            <c:strRef>
              <c:f>Dashboard!$F$41</c:f>
              <c:strCache>
                <c:ptCount val="1"/>
                <c:pt idx="0">
                  <c:v>Non Implementato</c:v>
                </c:pt>
              </c:strCache>
            </c:strRef>
          </c:tx>
          <c:spPr>
            <a:solidFill>
              <a:srgbClr val="FF0000"/>
            </a:solidFill>
            <a:ln>
              <a:noFill/>
            </a:ln>
            <a:effectLst/>
          </c:spPr>
          <c:invertIfNegative val="0"/>
          <c:cat>
            <c:strRef>
              <c:f>Dashboard!$C$42:$C$63</c:f>
              <c:strCache>
                <c:ptCount val="22"/>
                <c:pt idx="0">
                  <c:v>Ransomware</c:v>
                </c:pt>
                <c:pt idx="1">
                  <c:v>Malware</c:v>
                </c:pt>
                <c:pt idx="2">
                  <c:v>Supply Chain Attacks</c:v>
                </c:pt>
                <c:pt idx="3">
                  <c:v>Minacce su dispositivi mobili</c:v>
                </c:pt>
                <c:pt idx="4">
                  <c:v>Social Engineering</c:v>
                </c:pt>
                <c:pt idx="5">
                  <c:v>Data Breach, Data Leakage &amp; Data Manipulation</c:v>
                </c:pt>
                <c:pt idx="6">
                  <c:v>Furto o smarrimento di dispositivi, storage o apparati aziendali</c:v>
                </c:pt>
                <c:pt idx="7">
                  <c:v>Sfruttamento di vulnerabilità note e zero-day</c:v>
                </c:pt>
                <c:pt idx="8">
                  <c:v>DDoS</c:v>
                </c:pt>
                <c:pt idx="9">
                  <c:v>Guasto HW e obsolescenza tecnologica</c:v>
                </c:pt>
                <c:pt idx="10">
                  <c:v>Anomalia SW</c:v>
                </c:pt>
                <c:pt idx="11">
                  <c:v>Furto e abuso di credenziali</c:v>
                </c:pt>
                <c:pt idx="12">
                  <c:v>Azioni improprie o errore umano</c:v>
                </c:pt>
                <c:pt idx="13">
                  <c:v>Connessione non autorizzata alla rete fisica o wireless</c:v>
                </c:pt>
                <c:pt idx="14">
                  <c:v>Mancato rispetto di normative o requisiti contrattuali di sicurezza</c:v>
                </c:pt>
                <c:pt idx="15">
                  <c:v>Evento naturale o meteorologico estremo</c:v>
                </c:pt>
                <c:pt idx="16">
                  <c:v>Incendio o allagamento</c:v>
                </c:pt>
                <c:pt idx="17">
                  <c:v>Interruzione di utilities</c:v>
                </c:pt>
                <c:pt idx="18">
                  <c:v>Vandalismo, sabotaggio fisico o provvedimento delle autorità</c:v>
                </c:pt>
                <c:pt idx="19">
                  <c:v>Assenza di personale operativo e figure chiave</c:v>
                </c:pt>
                <c:pt idx="20">
                  <c:v>Fault del fornitore</c:v>
                </c:pt>
                <c:pt idx="21">
                  <c:v>Intrusione fraudolenta in uffici, locali tecnici o data center</c:v>
                </c:pt>
              </c:strCache>
            </c:strRef>
          </c:cat>
          <c:val>
            <c:numRef>
              <c:f>Dashboard!$F$42:$F$63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2-2E80-4F46-AC59-5C25B8083675}"/>
            </c:ext>
          </c:extLst>
        </c:ser>
        <c:ser>
          <c:idx val="3"/>
          <c:order val="3"/>
          <c:tx>
            <c:strRef>
              <c:f>Dashboard!$G$41</c:f>
              <c:strCache>
                <c:ptCount val="1"/>
                <c:pt idx="0">
                  <c:v>Da valutare</c:v>
                </c:pt>
              </c:strCache>
            </c:strRef>
          </c:tx>
          <c:spPr>
            <a:solidFill>
              <a:schemeClr val="bg2">
                <a:lumMod val="75000"/>
              </a:schemeClr>
            </a:solidFill>
            <a:ln>
              <a:noFill/>
            </a:ln>
            <a:effectLst/>
          </c:spPr>
          <c:invertIfNegative val="0"/>
          <c:cat>
            <c:strRef>
              <c:f>Dashboard!$C$42:$C$63</c:f>
              <c:strCache>
                <c:ptCount val="22"/>
                <c:pt idx="0">
                  <c:v>Ransomware</c:v>
                </c:pt>
                <c:pt idx="1">
                  <c:v>Malware</c:v>
                </c:pt>
                <c:pt idx="2">
                  <c:v>Supply Chain Attacks</c:v>
                </c:pt>
                <c:pt idx="3">
                  <c:v>Minacce su dispositivi mobili</c:v>
                </c:pt>
                <c:pt idx="4">
                  <c:v>Social Engineering</c:v>
                </c:pt>
                <c:pt idx="5">
                  <c:v>Data Breach, Data Leakage &amp; Data Manipulation</c:v>
                </c:pt>
                <c:pt idx="6">
                  <c:v>Furto o smarrimento di dispositivi, storage o apparati aziendali</c:v>
                </c:pt>
                <c:pt idx="7">
                  <c:v>Sfruttamento di vulnerabilità note e zero-day</c:v>
                </c:pt>
                <c:pt idx="8">
                  <c:v>DDoS</c:v>
                </c:pt>
                <c:pt idx="9">
                  <c:v>Guasto HW e obsolescenza tecnologica</c:v>
                </c:pt>
                <c:pt idx="10">
                  <c:v>Anomalia SW</c:v>
                </c:pt>
                <c:pt idx="11">
                  <c:v>Furto e abuso di credenziali</c:v>
                </c:pt>
                <c:pt idx="12">
                  <c:v>Azioni improprie o errore umano</c:v>
                </c:pt>
                <c:pt idx="13">
                  <c:v>Connessione non autorizzata alla rete fisica o wireless</c:v>
                </c:pt>
                <c:pt idx="14">
                  <c:v>Mancato rispetto di normative o requisiti contrattuali di sicurezza</c:v>
                </c:pt>
                <c:pt idx="15">
                  <c:v>Evento naturale o meteorologico estremo</c:v>
                </c:pt>
                <c:pt idx="16">
                  <c:v>Incendio o allagamento</c:v>
                </c:pt>
                <c:pt idx="17">
                  <c:v>Interruzione di utilities</c:v>
                </c:pt>
                <c:pt idx="18">
                  <c:v>Vandalismo, sabotaggio fisico o provvedimento delle autorità</c:v>
                </c:pt>
                <c:pt idx="19">
                  <c:v>Assenza di personale operativo e figure chiave</c:v>
                </c:pt>
                <c:pt idx="20">
                  <c:v>Fault del fornitore</c:v>
                </c:pt>
                <c:pt idx="21">
                  <c:v>Intrusione fraudolenta in uffici, locali tecnici o data center</c:v>
                </c:pt>
              </c:strCache>
            </c:strRef>
          </c:cat>
          <c:val>
            <c:numRef>
              <c:f>Dashboard!$G$42:$G$63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3-2E80-4F46-AC59-5C25B8083675}"/>
            </c:ext>
          </c:extLst>
        </c:ser>
        <c:dLbls>
          <c:showLegendKey val="0"/>
          <c:showVal val="0"/>
          <c:showCatName val="0"/>
          <c:showSerName val="0"/>
          <c:showPercent val="0"/>
          <c:showBubbleSize val="0"/>
        </c:dLbls>
        <c:gapWidth val="150"/>
        <c:overlap val="100"/>
        <c:axId val="1029728351"/>
        <c:axId val="432691232"/>
      </c:barChart>
      <c:catAx>
        <c:axId val="10297283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ocoEng" pitchFamily="50" charset="0"/>
                <a:ea typeface="+mn-ea"/>
                <a:cs typeface="Segoe UI" panose="020B0502040204020203" pitchFamily="34" charset="0"/>
              </a:defRPr>
            </a:pPr>
            <a:endParaRPr lang="it-IT"/>
          </a:p>
        </c:txPr>
        <c:crossAx val="432691232"/>
        <c:crosses val="autoZero"/>
        <c:auto val="1"/>
        <c:lblAlgn val="ctr"/>
        <c:lblOffset val="100"/>
        <c:noMultiLvlLbl val="0"/>
      </c:catAx>
      <c:valAx>
        <c:axId val="43269123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ocoEng" pitchFamily="50" charset="0"/>
                <a:ea typeface="+mn-ea"/>
                <a:cs typeface="Segoe UI" panose="020B0502040204020203" pitchFamily="34" charset="0"/>
              </a:defRPr>
            </a:pPr>
            <a:endParaRPr lang="it-IT"/>
          </a:p>
        </c:txPr>
        <c:crossAx val="10297283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ocoEng" pitchFamily="50" charset="0"/>
              <a:ea typeface="+mn-ea"/>
              <a:cs typeface="Segoe UI" panose="020B0502040204020203" pitchFamily="34" charset="0"/>
            </a:defRPr>
          </a:pPr>
          <a:endParaRPr lang="it-IT"/>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CocoEng" pitchFamily="50" charset="0"/>
          <a:cs typeface="Segoe UI" panose="020B0502040204020203" pitchFamily="34" charset="0"/>
        </a:defRPr>
      </a:pPr>
      <a:endParaRPr lang="it-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sng" strike="noStrike" kern="1200" spc="0" baseline="0">
                <a:solidFill>
                  <a:sysClr val="windowText" lastClr="000000"/>
                </a:solidFill>
                <a:latin typeface="CocoEng" pitchFamily="50" charset="0"/>
                <a:ea typeface="+mn-ea"/>
                <a:cs typeface="+mn-cs"/>
              </a:defRPr>
            </a:pPr>
            <a:r>
              <a:rPr lang="it-IT" sz="1200" b="1" u="sng">
                <a:solidFill>
                  <a:sysClr val="windowText" lastClr="000000"/>
                </a:solidFill>
                <a:latin typeface="CocoEng" pitchFamily="50" charset="0"/>
              </a:rPr>
              <a:t>Heat Map Rischio Inerente</a:t>
            </a:r>
          </a:p>
        </c:rich>
      </c:tx>
      <c:layout>
        <c:manualLayout>
          <c:xMode val="edge"/>
          <c:yMode val="edge"/>
          <c:x val="0.31097074625981191"/>
          <c:y val="1.1057204805921001E-2"/>
        </c:manualLayout>
      </c:layout>
      <c:overlay val="0"/>
      <c:spPr>
        <a:noFill/>
        <a:ln>
          <a:noFill/>
        </a:ln>
        <a:effectLst/>
      </c:spPr>
      <c:txPr>
        <a:bodyPr rot="0" spcFirstLastPara="1" vertOverflow="ellipsis" vert="horz" wrap="square" anchor="ctr" anchorCtr="1"/>
        <a:lstStyle/>
        <a:p>
          <a:pPr>
            <a:defRPr sz="1200" b="1" i="0" u="sng" strike="noStrike" kern="1200" spc="0" baseline="0">
              <a:solidFill>
                <a:sysClr val="windowText" lastClr="000000"/>
              </a:solidFill>
              <a:latin typeface="CocoEng" pitchFamily="50" charset="0"/>
              <a:ea typeface="+mn-ea"/>
              <a:cs typeface="+mn-cs"/>
            </a:defRPr>
          </a:pPr>
          <a:endParaRPr lang="it-IT"/>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dLbls>
            <c:dLbl>
              <c:idx val="0"/>
              <c:layout>
                <c:manualLayout>
                  <c:x val="-0.11153532944873623"/>
                  <c:y val="-5.0376248955483989E-2"/>
                </c:manualLayout>
              </c:layout>
              <c:tx>
                <c:rich>
                  <a:bodyPr/>
                  <a:lstStyle/>
                  <a:p>
                    <a:fld id="{2A7AF701-678A-415F-ABF8-83D1EF1D9542}" type="CELLRANGE">
                      <a:rPr lang="en-US"/>
                      <a:pPr/>
                      <a:t>[INTERVALLOCELLE]</a:t>
                    </a:fld>
                    <a:endParaRPr lang="it-IT"/>
                  </a:p>
                </c:rich>
              </c:tx>
              <c:dLblPos val="r"/>
              <c:showLegendKey val="0"/>
              <c:showVal val="0"/>
              <c:showCatName val="0"/>
              <c:showSerName val="0"/>
              <c:showPercent val="0"/>
              <c:showBubbleSize val="0"/>
              <c:extLst>
                <c:ext xmlns:c15="http://schemas.microsoft.com/office/drawing/2012/chart" uri="{CE6537A1-D6FC-4f65-9D91-7224C49458BB}">
                  <c15:layout>
                    <c:manualLayout>
                      <c:w val="0.16172065053171886"/>
                      <c:h val="5.2526434290121923E-2"/>
                    </c:manualLayout>
                  </c15:layout>
                  <c15:dlblFieldTable/>
                  <c15:showDataLabelsRange val="1"/>
                </c:ext>
                <c:ext xmlns:c16="http://schemas.microsoft.com/office/drawing/2014/chart" uri="{C3380CC4-5D6E-409C-BE32-E72D297353CC}">
                  <c16:uniqueId val="{00000000-2138-408F-9936-665095269D67}"/>
                </c:ext>
              </c:extLst>
            </c:dLbl>
            <c:dLbl>
              <c:idx val="1"/>
              <c:layout>
                <c:manualLayout>
                  <c:x val="-3.6650721103969428E-2"/>
                  <c:y val="8.1611370867519309E-2"/>
                </c:manualLayout>
              </c:layout>
              <c:tx>
                <c:rich>
                  <a:bodyPr/>
                  <a:lstStyle/>
                  <a:p>
                    <a:r>
                      <a:rPr lang="en-US"/>
                      <a:t>Malware</a:t>
                    </a:r>
                  </a:p>
                </c:rich>
              </c:tx>
              <c:dLblPos val="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329D-453A-82C7-BDBA24D705D4}"/>
                </c:ext>
              </c:extLst>
            </c:dLbl>
            <c:dLbl>
              <c:idx val="2"/>
              <c:layout>
                <c:manualLayout>
                  <c:x val="-0.14908871854305025"/>
                  <c:y val="0.13918649615553808"/>
                </c:manualLayout>
              </c:layout>
              <c:tx>
                <c:rich>
                  <a:bodyPr/>
                  <a:lstStyle/>
                  <a:p>
                    <a:r>
                      <a:rPr lang="en-US"/>
                      <a:t>Social Engineering</a:t>
                    </a:r>
                  </a:p>
                </c:rich>
              </c:tx>
              <c:dLblPos val="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329D-453A-82C7-BDBA24D705D4}"/>
                </c:ext>
              </c:extLst>
            </c:dLbl>
            <c:dLbl>
              <c:idx val="3"/>
              <c:layout>
                <c:manualLayout>
                  <c:x val="-0.26614894217832513"/>
                  <c:y val="-1.2004928103496461E-2"/>
                </c:manualLayout>
              </c:layout>
              <c:tx>
                <c:rich>
                  <a:bodyPr/>
                  <a:lstStyle/>
                  <a:p>
                    <a:r>
                      <a:rPr lang="en-US"/>
                      <a:t>Threats against Data</a:t>
                    </a:r>
                  </a:p>
                </c:rich>
              </c:tx>
              <c:dLblPos val="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329D-453A-82C7-BDBA24D705D4}"/>
                </c:ext>
              </c:extLst>
            </c:dLbl>
            <c:dLbl>
              <c:idx val="4"/>
              <c:tx>
                <c:rich>
                  <a:bodyPr/>
                  <a:lstStyle/>
                  <a:p>
                    <a:fld id="{4D29C3DA-98D0-4F03-984C-9A23D08F4721}"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329D-453A-82C7-BDBA24D705D4}"/>
                </c:ext>
              </c:extLst>
            </c:dLbl>
            <c:dLbl>
              <c:idx val="5"/>
              <c:tx>
                <c:rich>
                  <a:bodyPr/>
                  <a:lstStyle/>
                  <a:p>
                    <a:fld id="{0CE2A357-5310-44C0-9D92-87DD8A041797}"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329D-453A-82C7-BDBA24D705D4}"/>
                </c:ext>
              </c:extLst>
            </c:dLbl>
            <c:dLbl>
              <c:idx val="6"/>
              <c:tx>
                <c:rich>
                  <a:bodyPr/>
                  <a:lstStyle/>
                  <a:p>
                    <a:fld id="{5479555E-E834-45F8-B42D-35CE952459F4}"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29D-453A-82C7-BDBA24D705D4}"/>
                </c:ext>
              </c:extLst>
            </c:dLbl>
            <c:dLbl>
              <c:idx val="7"/>
              <c:tx>
                <c:rich>
                  <a:bodyPr/>
                  <a:lstStyle/>
                  <a:p>
                    <a:fld id="{4372FCBC-FA6B-4604-84DE-3AEC1133B2C0}"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D4E0-41E5-A0B1-842CC836BA4E}"/>
                </c:ext>
              </c:extLst>
            </c:dLbl>
            <c:dLbl>
              <c:idx val="8"/>
              <c:tx>
                <c:rich>
                  <a:bodyPr/>
                  <a:lstStyle/>
                  <a:p>
                    <a:fld id="{CCCD897F-907B-4AE1-8138-CE3E0C13F6D2}"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5C78-4F85-BD96-8DB6BD53D3AF}"/>
                </c:ext>
              </c:extLst>
            </c:dLbl>
            <c:dLbl>
              <c:idx val="9"/>
              <c:tx>
                <c:rich>
                  <a:bodyPr/>
                  <a:lstStyle/>
                  <a:p>
                    <a:fld id="{376586C3-7DFE-4210-A68E-66E51464F19F}"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C78-4F85-BD96-8DB6BD53D3AF}"/>
                </c:ext>
              </c:extLst>
            </c:dLbl>
            <c:dLbl>
              <c:idx val="10"/>
              <c:tx>
                <c:rich>
                  <a:bodyPr/>
                  <a:lstStyle/>
                  <a:p>
                    <a:fld id="{914319CE-5AFE-428E-9F14-B11084697B4E}"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C78-4F85-BD96-8DB6BD53D3AF}"/>
                </c:ext>
              </c:extLst>
            </c:dLbl>
            <c:dLbl>
              <c:idx val="11"/>
              <c:tx>
                <c:rich>
                  <a:bodyPr/>
                  <a:lstStyle/>
                  <a:p>
                    <a:fld id="{B24ED2B7-8B7D-46E0-A3D0-FA107DD00CAC}"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0C09-4B31-AD00-902D36476191}"/>
                </c:ext>
              </c:extLst>
            </c:dLbl>
            <c:dLbl>
              <c:idx val="12"/>
              <c:tx>
                <c:rich>
                  <a:bodyPr/>
                  <a:lstStyle/>
                  <a:p>
                    <a:fld id="{A13D4F25-3548-4BC3-AE96-CCE0A379CC7C}"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0C09-4B31-AD00-902D36476191}"/>
                </c:ext>
              </c:extLst>
            </c:dLbl>
            <c:dLbl>
              <c:idx val="13"/>
              <c:tx>
                <c:rich>
                  <a:bodyPr/>
                  <a:lstStyle/>
                  <a:p>
                    <a:fld id="{094AE6A3-CA5C-49EB-A27A-2369B723CFAB}"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0C09-4B31-AD00-902D36476191}"/>
                </c:ext>
              </c:extLst>
            </c:dLbl>
            <c:dLbl>
              <c:idx val="14"/>
              <c:tx>
                <c:rich>
                  <a:bodyPr/>
                  <a:lstStyle/>
                  <a:p>
                    <a:fld id="{BC93B219-DE3B-4577-8293-3A76A9201885}"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0C09-4B31-AD00-902D36476191}"/>
                </c:ext>
              </c:extLst>
            </c:dLbl>
            <c:dLbl>
              <c:idx val="15"/>
              <c:tx>
                <c:rich>
                  <a:bodyPr/>
                  <a:lstStyle/>
                  <a:p>
                    <a:fld id="{CC522C6D-2B10-4D8F-9ADA-C4881D4F3299}"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0C09-4B31-AD00-902D36476191}"/>
                </c:ext>
              </c:extLst>
            </c:dLbl>
            <c:dLbl>
              <c:idx val="16"/>
              <c:tx>
                <c:rich>
                  <a:bodyPr/>
                  <a:lstStyle/>
                  <a:p>
                    <a:fld id="{CF440D0D-EE67-4B38-BEB3-E7084C012771}"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0C09-4B31-AD00-902D36476191}"/>
                </c:ext>
              </c:extLst>
            </c:dLbl>
            <c:dLbl>
              <c:idx val="17"/>
              <c:tx>
                <c:rich>
                  <a:bodyPr/>
                  <a:lstStyle/>
                  <a:p>
                    <a:fld id="{F7530B6F-CCDA-4083-8419-D3F0731DDF23}"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0C09-4B31-AD00-902D36476191}"/>
                </c:ext>
              </c:extLst>
            </c:dLbl>
            <c:dLbl>
              <c:idx val="18"/>
              <c:tx>
                <c:rich>
                  <a:bodyPr/>
                  <a:lstStyle/>
                  <a:p>
                    <a:fld id="{79D06415-A4DD-4BD6-A4AE-51529542B8C0}"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0C09-4B31-AD00-902D36476191}"/>
                </c:ext>
              </c:extLst>
            </c:dLbl>
            <c:dLbl>
              <c:idx val="19"/>
              <c:tx>
                <c:rich>
                  <a:bodyPr/>
                  <a:lstStyle/>
                  <a:p>
                    <a:fld id="{7875E44B-4CA9-4169-9DE6-4DD946B3D436}"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0C09-4B31-AD00-902D36476191}"/>
                </c:ext>
              </c:extLst>
            </c:dLbl>
            <c:dLbl>
              <c:idx val="20"/>
              <c:tx>
                <c:rich>
                  <a:bodyPr/>
                  <a:lstStyle/>
                  <a:p>
                    <a:fld id="{DD9C0581-E828-494A-A223-C8CDA6AD6F14}"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0C09-4B31-AD00-902D36476191}"/>
                </c:ext>
              </c:extLst>
            </c:dLbl>
            <c:spPr>
              <a:solidFill>
                <a:schemeClr val="lt1"/>
              </a:solidFill>
              <a:ln>
                <a:solidFill>
                  <a:schemeClr val="dk1">
                    <a:lumMod val="25000"/>
                    <a:lumOff val="75000"/>
                  </a:schemeClr>
                </a:solid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DataLabelsRange val="1"/>
                <c15:showLeaderLines val="1"/>
                <c15:leaderLines>
                  <c:spPr>
                    <a:ln w="6350" cap="flat" cmpd="sng" algn="ctr">
                      <a:solidFill>
                        <a:schemeClr val="accent3"/>
                      </a:solidFill>
                      <a:prstDash val="solid"/>
                      <a:miter lim="800000"/>
                    </a:ln>
                    <a:effectLst/>
                  </c:spPr>
                </c15:leaderLines>
              </c:ext>
            </c:extLst>
          </c:dLbls>
          <c:xVal>
            <c:numRef>
              <c:f>Dashboard!$X$8:$X$28</c:f>
              <c:numCache>
                <c:formatCode>0.0</c:formatCode>
                <c:ptCount val="21"/>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numCache>
            </c:numRef>
          </c:xVal>
          <c:yVal>
            <c:numRef>
              <c:f>Dashboard!$Y$8:$Y$28</c:f>
              <c:numCache>
                <c:formatCode>0.0</c:formatCode>
                <c:ptCount val="21"/>
                <c:pt idx="0">
                  <c:v>4.5</c:v>
                </c:pt>
                <c:pt idx="1">
                  <c:v>3.5</c:v>
                </c:pt>
                <c:pt idx="2">
                  <c:v>2.5</c:v>
                </c:pt>
                <c:pt idx="3">
                  <c:v>2.5</c:v>
                </c:pt>
                <c:pt idx="4">
                  <c:v>3.5</c:v>
                </c:pt>
                <c:pt idx="5">
                  <c:v>4.5</c:v>
                </c:pt>
                <c:pt idx="6">
                  <c:v>1.5</c:v>
                </c:pt>
                <c:pt idx="7">
                  <c:v>3.5</c:v>
                </c:pt>
                <c:pt idx="8">
                  <c:v>4.5</c:v>
                </c:pt>
                <c:pt idx="9">
                  <c:v>2.5</c:v>
                </c:pt>
                <c:pt idx="10">
                  <c:v>2.5</c:v>
                </c:pt>
                <c:pt idx="11">
                  <c:v>3.5</c:v>
                </c:pt>
                <c:pt idx="12">
                  <c:v>2.5</c:v>
                </c:pt>
                <c:pt idx="13">
                  <c:v>1.5</c:v>
                </c:pt>
                <c:pt idx="14">
                  <c:v>2.5</c:v>
                </c:pt>
                <c:pt idx="15">
                  <c:v>1.5</c:v>
                </c:pt>
                <c:pt idx="16">
                  <c:v>1.5</c:v>
                </c:pt>
                <c:pt idx="17">
                  <c:v>2.5</c:v>
                </c:pt>
                <c:pt idx="18">
                  <c:v>0.5</c:v>
                </c:pt>
                <c:pt idx="19">
                  <c:v>1.5</c:v>
                </c:pt>
                <c:pt idx="20">
                  <c:v>1.5</c:v>
                </c:pt>
              </c:numCache>
            </c:numRef>
          </c:yVal>
          <c:smooth val="0"/>
          <c:extLst>
            <c:ext xmlns:c15="http://schemas.microsoft.com/office/drawing/2012/chart" uri="{02D57815-91ED-43cb-92C2-25804820EDAC}">
              <c15:datalabelsRange>
                <c15:f>Dashboard!$W$8:$W$28</c15:f>
                <c15:dlblRangeCache>
                  <c:ptCount val="21"/>
                  <c:pt idx="0">
                    <c:v>Ransomware</c:v>
                  </c:pt>
                  <c:pt idx="1">
                    <c:v>Malware</c:v>
                  </c:pt>
                  <c:pt idx="2">
                    <c:v>Supply Chain Attacks</c:v>
                  </c:pt>
                  <c:pt idx="3">
                    <c:v>Minacce su dispositivi mobili</c:v>
                  </c:pt>
                  <c:pt idx="4">
                    <c:v>Social Engineering</c:v>
                  </c:pt>
                  <c:pt idx="5">
                    <c:v>Data Breach, Data Leakage &amp; Data Manipulation</c:v>
                  </c:pt>
                  <c:pt idx="6">
                    <c:v>Furto o smarrimento di dispositivi, storage o apparati aziendali</c:v>
                  </c:pt>
                  <c:pt idx="7">
                    <c:v>Sfruttamento di vulnerabilità note e zero-day</c:v>
                  </c:pt>
                  <c:pt idx="8">
                    <c:v>DDoS</c:v>
                  </c:pt>
                  <c:pt idx="9">
                    <c:v>Guasto HW e obsolescenza tecnologica</c:v>
                  </c:pt>
                  <c:pt idx="10">
                    <c:v>Anomalia SW</c:v>
                  </c:pt>
                  <c:pt idx="11">
                    <c:v>Furto e abuso di credenziali</c:v>
                  </c:pt>
                  <c:pt idx="12">
                    <c:v>Azioni improprie o errore umano</c:v>
                  </c:pt>
                  <c:pt idx="13">
                    <c:v>Connessione non autorizzata alla rete fisica o wireless</c:v>
                  </c:pt>
                  <c:pt idx="14">
                    <c:v>Mancato rispetto di normative o requisiti contrattuali di sicurezza</c:v>
                  </c:pt>
                  <c:pt idx="15">
                    <c:v>Evento naturale o meteorologico estremo</c:v>
                  </c:pt>
                  <c:pt idx="16">
                    <c:v>Incendio o allagamento</c:v>
                  </c:pt>
                  <c:pt idx="17">
                    <c:v>Interruzione di utilities</c:v>
                  </c:pt>
                  <c:pt idx="18">
                    <c:v>Vandalismo, sabotaggio fisico o provvedimento delle autorità</c:v>
                  </c:pt>
                  <c:pt idx="19">
                    <c:v>Assenza di personale operativo e figure chiave</c:v>
                  </c:pt>
                  <c:pt idx="20">
                    <c:v>Fault del fornitore</c:v>
                  </c:pt>
                </c15:dlblRangeCache>
              </c15:datalabelsRange>
            </c:ext>
            <c:ext xmlns:c16="http://schemas.microsoft.com/office/drawing/2014/chart" uri="{C3380CC4-5D6E-409C-BE32-E72D297353CC}">
              <c16:uniqueId val="{00000007-329D-453A-82C7-BDBA24D705D4}"/>
            </c:ext>
          </c:extLst>
        </c:ser>
        <c:dLbls>
          <c:dLblPos val="t"/>
          <c:showLegendKey val="0"/>
          <c:showVal val="1"/>
          <c:showCatName val="0"/>
          <c:showSerName val="0"/>
          <c:showPercent val="0"/>
          <c:showBubbleSize val="0"/>
        </c:dLbls>
        <c:axId val="1070745392"/>
        <c:axId val="1070733392"/>
      </c:scatterChart>
      <c:valAx>
        <c:axId val="1070745392"/>
        <c:scaling>
          <c:orientation val="minMax"/>
          <c:max val="5"/>
          <c:min val="0"/>
        </c:scaling>
        <c:delete val="0"/>
        <c:axPos val="b"/>
        <c:majorGridlines>
          <c:spPr>
            <a:ln w="9525" cap="flat" cmpd="sng" algn="ctr">
              <a:solidFill>
                <a:schemeClr val="accent1">
                  <a:alpha val="90000"/>
                </a:schemeClr>
              </a:solidFill>
              <a:round/>
            </a:ln>
            <a:effectLst/>
          </c:spPr>
        </c:majorGridlines>
        <c:numFmt formatCod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070733392"/>
        <c:crosses val="autoZero"/>
        <c:crossBetween val="midCat"/>
        <c:majorUnit val="1"/>
      </c:valAx>
      <c:valAx>
        <c:axId val="1070733392"/>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070745392"/>
        <c:crosses val="autoZero"/>
        <c:crossBetween val="midCat"/>
        <c:majorUnit val="1"/>
      </c:valAx>
      <c:spPr>
        <a:blipFill>
          <a:blip xmlns:r="http://schemas.openxmlformats.org/officeDocument/2006/relationships" r:embed="rId3"/>
          <a:stretch>
            <a:fillRect/>
          </a:stretch>
        </a:blip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900"/>
      </a:pPr>
      <a:endParaRPr lang="it-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sng" strike="noStrike" kern="1200" spc="0" baseline="0">
                <a:solidFill>
                  <a:sysClr val="windowText" lastClr="000000"/>
                </a:solidFill>
                <a:latin typeface="CocoEng" pitchFamily="50" charset="0"/>
                <a:ea typeface="+mn-ea"/>
                <a:cs typeface="Segoe UI" panose="020B0502040204020203" pitchFamily="34" charset="0"/>
              </a:defRPr>
            </a:pPr>
            <a:r>
              <a:rPr lang="it-IT" sz="1200" b="1" u="sng">
                <a:solidFill>
                  <a:sysClr val="windowText" lastClr="000000"/>
                </a:solidFill>
                <a:latin typeface="CocoEng" pitchFamily="50" charset="0"/>
                <a:cs typeface="Segoe UI" panose="020B0502040204020203" pitchFamily="34" charset="0"/>
              </a:rPr>
              <a:t>Heat Map Rischio Residuo</a:t>
            </a:r>
          </a:p>
        </c:rich>
      </c:tx>
      <c:layout>
        <c:manualLayout>
          <c:xMode val="edge"/>
          <c:yMode val="edge"/>
          <c:x val="0.31097074625981191"/>
          <c:y val="1.1057204805921001E-2"/>
        </c:manualLayout>
      </c:layout>
      <c:overlay val="0"/>
      <c:spPr>
        <a:noFill/>
        <a:ln>
          <a:noFill/>
        </a:ln>
        <a:effectLst/>
      </c:spPr>
      <c:txPr>
        <a:bodyPr rot="0" spcFirstLastPara="1" vertOverflow="ellipsis" vert="horz" wrap="square" anchor="ctr" anchorCtr="1"/>
        <a:lstStyle/>
        <a:p>
          <a:pPr>
            <a:defRPr sz="1200" b="1" i="0" u="sng" strike="noStrike" kern="1200" spc="0" baseline="0">
              <a:solidFill>
                <a:sysClr val="windowText" lastClr="000000"/>
              </a:solidFill>
              <a:latin typeface="CocoEng" pitchFamily="50" charset="0"/>
              <a:ea typeface="+mn-ea"/>
              <a:cs typeface="Segoe UI" panose="020B0502040204020203" pitchFamily="34" charset="0"/>
            </a:defRPr>
          </a:pPr>
          <a:endParaRPr lang="it-IT"/>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dLbls>
            <c:dLbl>
              <c:idx val="0"/>
              <c:layout>
                <c:manualLayout>
                  <c:x val="2.4606031072603143E-2"/>
                  <c:y val="-5.5037306290795014E-2"/>
                </c:manualLayout>
              </c:layout>
              <c:tx>
                <c:rich>
                  <a:bodyPr/>
                  <a:lstStyle/>
                  <a:p>
                    <a:fld id="{3EDC2C43-F313-432D-AC27-BCA3ED881660}" type="CELLRANGE">
                      <a:rPr lang="en-US"/>
                      <a:pPr/>
                      <a:t>[INTERVALLOCELLE]</a:t>
                    </a:fld>
                    <a:endParaRPr lang="it-IT"/>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7B5-48EB-8720-3D022EF32078}"/>
                </c:ext>
              </c:extLst>
            </c:dLbl>
            <c:dLbl>
              <c:idx val="1"/>
              <c:layout>
                <c:manualLayout>
                  <c:x val="-7.5395894023277413E-2"/>
                  <c:y val="-6.0756988708806567E-2"/>
                </c:manualLayout>
              </c:layout>
              <c:tx>
                <c:rich>
                  <a:bodyPr/>
                  <a:lstStyle/>
                  <a:p>
                    <a:fld id="{32458AA1-F4CE-4520-978B-1B93E0E28EA4}" type="CELLRANGE">
                      <a:rPr lang="en-US"/>
                      <a:pPr/>
                      <a:t>[INTERVALLOCELLE]</a:t>
                    </a:fld>
                    <a:endParaRPr lang="it-IT"/>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27B5-48EB-8720-3D022EF32078}"/>
                </c:ext>
              </c:extLst>
            </c:dLbl>
            <c:dLbl>
              <c:idx val="2"/>
              <c:layout>
                <c:manualLayout>
                  <c:x val="-0.1621521871908787"/>
                  <c:y val="-8.0775877171846727E-2"/>
                </c:manualLayout>
              </c:layout>
              <c:tx>
                <c:rich>
                  <a:bodyPr/>
                  <a:lstStyle/>
                  <a:p>
                    <a:fld id="{0C7D84EA-92A2-4FAC-AC25-FB77650038A3}" type="CELLRANGE">
                      <a:rPr lang="en-US"/>
                      <a:pPr/>
                      <a:t>[INTERVALLOCELLE]</a:t>
                    </a:fld>
                    <a:endParaRPr lang="it-IT"/>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27B5-48EB-8720-3D022EF32078}"/>
                </c:ext>
              </c:extLst>
            </c:dLbl>
            <c:dLbl>
              <c:idx val="3"/>
              <c:layout>
                <c:manualLayout>
                  <c:x val="-0.13035096442442259"/>
                  <c:y val="-8.4025062117102214E-2"/>
                </c:manualLayout>
              </c:layout>
              <c:tx>
                <c:rich>
                  <a:bodyPr/>
                  <a:lstStyle/>
                  <a:p>
                    <a:fld id="{85A3EFAA-CE88-44B1-AD58-093D60A71B0F}" type="CELLRANGE">
                      <a:rPr lang="en-US"/>
                      <a:pPr/>
                      <a:t>[INTERVALLOCELLE]</a:t>
                    </a:fld>
                    <a:endParaRPr lang="it-IT"/>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27B5-48EB-8720-3D022EF32078}"/>
                </c:ext>
              </c:extLst>
            </c:dLbl>
            <c:dLbl>
              <c:idx val="4"/>
              <c:tx>
                <c:rich>
                  <a:bodyPr/>
                  <a:lstStyle/>
                  <a:p>
                    <a:fld id="{987D9D63-E86B-4055-A6C9-1075ADDF558E}"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27B5-48EB-8720-3D022EF32078}"/>
                </c:ext>
              </c:extLst>
            </c:dLbl>
            <c:dLbl>
              <c:idx val="5"/>
              <c:tx>
                <c:rich>
                  <a:bodyPr/>
                  <a:lstStyle/>
                  <a:p>
                    <a:fld id="{484E1D12-9180-46BE-B5A4-B45D1B798CA1}"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27B5-48EB-8720-3D022EF32078}"/>
                </c:ext>
              </c:extLst>
            </c:dLbl>
            <c:dLbl>
              <c:idx val="6"/>
              <c:tx>
                <c:rich>
                  <a:bodyPr/>
                  <a:lstStyle/>
                  <a:p>
                    <a:fld id="{8FED0CD9-3402-42B6-9A43-C4FCBD224248}"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27B5-48EB-8720-3D022EF32078}"/>
                </c:ext>
              </c:extLst>
            </c:dLbl>
            <c:dLbl>
              <c:idx val="7"/>
              <c:tx>
                <c:rich>
                  <a:bodyPr/>
                  <a:lstStyle/>
                  <a:p>
                    <a:fld id="{68C326DF-50ED-4C09-9EC3-A386433D7584}"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CBF-4276-95F6-74623DC0F5B4}"/>
                </c:ext>
              </c:extLst>
            </c:dLbl>
            <c:dLbl>
              <c:idx val="8"/>
              <c:tx>
                <c:rich>
                  <a:bodyPr/>
                  <a:lstStyle/>
                  <a:p>
                    <a:fld id="{D7FB60B9-4CC6-4EC0-90A5-5F3DBD561168}"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5EAE-4BB7-AE1C-96C585B64402}"/>
                </c:ext>
              </c:extLst>
            </c:dLbl>
            <c:dLbl>
              <c:idx val="9"/>
              <c:tx>
                <c:rich>
                  <a:bodyPr/>
                  <a:lstStyle/>
                  <a:p>
                    <a:fld id="{C15FBD7A-5058-4BCE-B0E7-99C9E1B97539}"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EAE-4BB7-AE1C-96C585B64402}"/>
                </c:ext>
              </c:extLst>
            </c:dLbl>
            <c:dLbl>
              <c:idx val="10"/>
              <c:tx>
                <c:rich>
                  <a:bodyPr/>
                  <a:lstStyle/>
                  <a:p>
                    <a:fld id="{487F9E09-3815-4BC2-9635-645BC96A5779}"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EAE-4BB7-AE1C-96C585B64402}"/>
                </c:ext>
              </c:extLst>
            </c:dLbl>
            <c:dLbl>
              <c:idx val="11"/>
              <c:tx>
                <c:rich>
                  <a:bodyPr/>
                  <a:lstStyle/>
                  <a:p>
                    <a:fld id="{B723B96F-F942-4614-A855-5F2285195DCC}"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8D3-4D52-9F10-48E7F24EAF33}"/>
                </c:ext>
              </c:extLst>
            </c:dLbl>
            <c:dLbl>
              <c:idx val="12"/>
              <c:tx>
                <c:rich>
                  <a:bodyPr/>
                  <a:lstStyle/>
                  <a:p>
                    <a:fld id="{3AD493DE-8828-4DE3-84BB-B28EAF054740}"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28D3-4D52-9F10-48E7F24EAF33}"/>
                </c:ext>
              </c:extLst>
            </c:dLbl>
            <c:dLbl>
              <c:idx val="13"/>
              <c:tx>
                <c:rich>
                  <a:bodyPr/>
                  <a:lstStyle/>
                  <a:p>
                    <a:fld id="{A4A18C14-58C5-4217-8D6D-5004E9729F8C}"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28D3-4D52-9F10-48E7F24EAF33}"/>
                </c:ext>
              </c:extLst>
            </c:dLbl>
            <c:dLbl>
              <c:idx val="14"/>
              <c:tx>
                <c:rich>
                  <a:bodyPr/>
                  <a:lstStyle/>
                  <a:p>
                    <a:fld id="{B651143D-7842-493D-B155-8F19FB93FC7B}"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28D3-4D52-9F10-48E7F24EAF33}"/>
                </c:ext>
              </c:extLst>
            </c:dLbl>
            <c:dLbl>
              <c:idx val="15"/>
              <c:tx>
                <c:rich>
                  <a:bodyPr/>
                  <a:lstStyle/>
                  <a:p>
                    <a:fld id="{993F5D99-C2CB-46F5-A791-89B0CDF5DE4F}"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28D3-4D52-9F10-48E7F24EAF33}"/>
                </c:ext>
              </c:extLst>
            </c:dLbl>
            <c:dLbl>
              <c:idx val="16"/>
              <c:tx>
                <c:rich>
                  <a:bodyPr/>
                  <a:lstStyle/>
                  <a:p>
                    <a:fld id="{865CC676-AAC4-4E1D-9C3C-9C3687CC9EB0}"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28D3-4D52-9F10-48E7F24EAF33}"/>
                </c:ext>
              </c:extLst>
            </c:dLbl>
            <c:dLbl>
              <c:idx val="17"/>
              <c:tx>
                <c:rich>
                  <a:bodyPr/>
                  <a:lstStyle/>
                  <a:p>
                    <a:fld id="{7BCE9C9C-FC2E-4A8E-A590-07B00D22D20C}"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28D3-4D52-9F10-48E7F24EAF33}"/>
                </c:ext>
              </c:extLst>
            </c:dLbl>
            <c:dLbl>
              <c:idx val="18"/>
              <c:tx>
                <c:rich>
                  <a:bodyPr/>
                  <a:lstStyle/>
                  <a:p>
                    <a:fld id="{D863E36D-EFE1-4DCF-AE1B-4B73A809AB8B}"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28D3-4D52-9F10-48E7F24EAF33}"/>
                </c:ext>
              </c:extLst>
            </c:dLbl>
            <c:dLbl>
              <c:idx val="19"/>
              <c:tx>
                <c:rich>
                  <a:bodyPr/>
                  <a:lstStyle/>
                  <a:p>
                    <a:fld id="{7394C322-CED7-42EF-88D9-E030120942EE}"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28D3-4D52-9F10-48E7F24EAF33}"/>
                </c:ext>
              </c:extLst>
            </c:dLbl>
            <c:dLbl>
              <c:idx val="20"/>
              <c:tx>
                <c:rich>
                  <a:bodyPr/>
                  <a:lstStyle/>
                  <a:p>
                    <a:fld id="{FCEA2249-E444-43BC-993A-5A35C66F31D3}" type="CELLRANGE">
                      <a:rPr lang="en-US"/>
                      <a:pPr/>
                      <a:t>[INTERVALLOCELLE]</a:t>
                    </a:fld>
                    <a:endParaRPr lang="it-IT"/>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28D3-4D52-9F10-48E7F24EAF33}"/>
                </c:ext>
              </c:extLst>
            </c:dLbl>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DataLabelsRange val="1"/>
                <c15:showLeaderLines val="1"/>
                <c15:leaderLines>
                  <c:spPr>
                    <a:ln w="6350" cap="flat" cmpd="sng" algn="ctr">
                      <a:solidFill>
                        <a:schemeClr val="accent3"/>
                      </a:solidFill>
                      <a:prstDash val="solid"/>
                      <a:miter lim="800000"/>
                    </a:ln>
                    <a:effectLst/>
                  </c:spPr>
                </c15:leaderLines>
              </c:ext>
            </c:extLst>
          </c:dLbls>
          <c:xVal>
            <c:numRef>
              <c:f>Dashboard!$Z$8:$Z$28</c:f>
            </c:numRef>
          </c:xVal>
          <c:yVal>
            <c:numRef>
              <c:f>Dashboard!$AA$8:$AA$28</c:f>
              <c:numCache>
                <c:formatCode>General</c:formatCode>
                <c:ptCount val="21"/>
                <c:pt idx="0">
                  <c:v>4.5</c:v>
                </c:pt>
                <c:pt idx="1">
                  <c:v>3.5</c:v>
                </c:pt>
                <c:pt idx="2">
                  <c:v>0.5</c:v>
                </c:pt>
                <c:pt idx="3">
                  <c:v>2.5</c:v>
                </c:pt>
                <c:pt idx="4">
                  <c:v>2.5</c:v>
                </c:pt>
                <c:pt idx="5">
                  <c:v>4.5</c:v>
                </c:pt>
                <c:pt idx="6">
                  <c:v>0.5</c:v>
                </c:pt>
                <c:pt idx="7">
                  <c:v>3.5</c:v>
                </c:pt>
                <c:pt idx="8">
                  <c:v>4.5</c:v>
                </c:pt>
                <c:pt idx="9">
                  <c:v>0.5</c:v>
                </c:pt>
                <c:pt idx="10">
                  <c:v>0.5</c:v>
                </c:pt>
                <c:pt idx="11">
                  <c:v>3.5</c:v>
                </c:pt>
                <c:pt idx="12">
                  <c:v>0.5</c:v>
                </c:pt>
                <c:pt idx="13">
                  <c:v>0.5</c:v>
                </c:pt>
                <c:pt idx="14">
                  <c:v>1.5</c:v>
                </c:pt>
                <c:pt idx="15">
                  <c:v>0.5</c:v>
                </c:pt>
                <c:pt idx="16">
                  <c:v>0.5</c:v>
                </c:pt>
                <c:pt idx="17">
                  <c:v>0.5</c:v>
                </c:pt>
                <c:pt idx="18">
                  <c:v>0.5</c:v>
                </c:pt>
                <c:pt idx="19">
                  <c:v>1.5</c:v>
                </c:pt>
                <c:pt idx="20">
                  <c:v>0.5</c:v>
                </c:pt>
              </c:numCache>
            </c:numRef>
          </c:yVal>
          <c:smooth val="0"/>
          <c:extLst>
            <c:ext xmlns:c15="http://schemas.microsoft.com/office/drawing/2012/chart" uri="{02D57815-91ED-43cb-92C2-25804820EDAC}">
              <c15:datalabelsRange>
                <c15:f>Dashboard!$W$8:$W$28</c15:f>
                <c15:dlblRangeCache>
                  <c:ptCount val="21"/>
                  <c:pt idx="0">
                    <c:v>Ransomware</c:v>
                  </c:pt>
                  <c:pt idx="1">
                    <c:v>Malware</c:v>
                  </c:pt>
                  <c:pt idx="2">
                    <c:v>Supply Chain Attacks</c:v>
                  </c:pt>
                  <c:pt idx="3">
                    <c:v>Minacce su dispositivi mobili</c:v>
                  </c:pt>
                  <c:pt idx="4">
                    <c:v>Social Engineering</c:v>
                  </c:pt>
                  <c:pt idx="5">
                    <c:v>Data Breach, Data Leakage &amp; Data Manipulation</c:v>
                  </c:pt>
                  <c:pt idx="6">
                    <c:v>Furto o smarrimento di dispositivi, storage o apparati aziendali</c:v>
                  </c:pt>
                  <c:pt idx="7">
                    <c:v>Sfruttamento di vulnerabilità note e zero-day</c:v>
                  </c:pt>
                  <c:pt idx="8">
                    <c:v>DDoS</c:v>
                  </c:pt>
                  <c:pt idx="9">
                    <c:v>Guasto HW e obsolescenza tecnologica</c:v>
                  </c:pt>
                  <c:pt idx="10">
                    <c:v>Anomalia SW</c:v>
                  </c:pt>
                  <c:pt idx="11">
                    <c:v>Furto e abuso di credenziali</c:v>
                  </c:pt>
                  <c:pt idx="12">
                    <c:v>Azioni improprie o errore umano</c:v>
                  </c:pt>
                  <c:pt idx="13">
                    <c:v>Connessione non autorizzata alla rete fisica o wireless</c:v>
                  </c:pt>
                  <c:pt idx="14">
                    <c:v>Mancato rispetto di normative o requisiti contrattuali di sicurezza</c:v>
                  </c:pt>
                  <c:pt idx="15">
                    <c:v>Evento naturale o meteorologico estremo</c:v>
                  </c:pt>
                  <c:pt idx="16">
                    <c:v>Incendio o allagamento</c:v>
                  </c:pt>
                  <c:pt idx="17">
                    <c:v>Interruzione di utilities</c:v>
                  </c:pt>
                  <c:pt idx="18">
                    <c:v>Vandalismo, sabotaggio fisico o provvedimento delle autorità</c:v>
                  </c:pt>
                  <c:pt idx="19">
                    <c:v>Assenza di personale operativo e figure chiave</c:v>
                  </c:pt>
                  <c:pt idx="20">
                    <c:v>Fault del fornitore</c:v>
                  </c:pt>
                </c15:dlblRangeCache>
              </c15:datalabelsRange>
            </c:ext>
            <c:ext xmlns:c16="http://schemas.microsoft.com/office/drawing/2014/chart" uri="{C3380CC4-5D6E-409C-BE32-E72D297353CC}">
              <c16:uniqueId val="{00000007-27B5-48EB-8720-3D022EF32078}"/>
            </c:ext>
          </c:extLst>
        </c:ser>
        <c:dLbls>
          <c:dLblPos val="t"/>
          <c:showLegendKey val="0"/>
          <c:showVal val="1"/>
          <c:showCatName val="0"/>
          <c:showSerName val="0"/>
          <c:showPercent val="0"/>
          <c:showBubbleSize val="0"/>
        </c:dLbls>
        <c:axId val="1070745392"/>
        <c:axId val="1070733392"/>
      </c:scatterChart>
      <c:valAx>
        <c:axId val="1070745392"/>
        <c:scaling>
          <c:orientation val="minMax"/>
          <c:max val="5"/>
          <c:min val="0"/>
        </c:scaling>
        <c:delete val="0"/>
        <c:axPos val="b"/>
        <c:majorGridlines>
          <c:spPr>
            <a:ln w="9525" cap="flat" cmpd="sng" algn="ctr">
              <a:solidFill>
                <a:schemeClr val="accent1">
                  <a:alpha val="90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070733392"/>
        <c:crosses val="autoZero"/>
        <c:crossBetween val="midCat"/>
        <c:majorUnit val="1"/>
      </c:valAx>
      <c:valAx>
        <c:axId val="1070733392"/>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070745392"/>
        <c:crosses val="autoZero"/>
        <c:crossBetween val="midCat"/>
        <c:majorUnit val="1"/>
      </c:valAx>
      <c:spPr>
        <a:blipFill>
          <a:blip xmlns:r="http://schemas.openxmlformats.org/officeDocument/2006/relationships" r:embed="rId3"/>
          <a:stretch>
            <a:fillRect/>
          </a:stretch>
        </a:blip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openxmlformats.org/officeDocument/2006/relationships/chart" Target="../charts/chart3.xml"/></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2</xdr:col>
      <xdr:colOff>1162050</xdr:colOff>
      <xdr:row>0</xdr:row>
      <xdr:rowOff>97156</xdr:rowOff>
    </xdr:from>
    <xdr:to>
      <xdr:col>2</xdr:col>
      <xdr:colOff>1825619</xdr:colOff>
      <xdr:row>1</xdr:row>
      <xdr:rowOff>93345</xdr:rowOff>
    </xdr:to>
    <xdr:pic>
      <xdr:nvPicPr>
        <xdr:cNvPr id="3" name="Immagine 2">
          <a:extLst>
            <a:ext uri="{FF2B5EF4-FFF2-40B4-BE49-F238E27FC236}">
              <a16:creationId xmlns:a16="http://schemas.microsoft.com/office/drawing/2014/main" id="{3932261E-CF31-40C8-B437-F6966201477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90775" y="97156"/>
          <a:ext cx="663569"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436246</xdr:colOff>
      <xdr:row>0</xdr:row>
      <xdr:rowOff>131446</xdr:rowOff>
    </xdr:from>
    <xdr:to>
      <xdr:col>5</xdr:col>
      <xdr:colOff>3409950</xdr:colOff>
      <xdr:row>2</xdr:row>
      <xdr:rowOff>1429</xdr:rowOff>
    </xdr:to>
    <mc:AlternateContent xmlns:mc="http://schemas.openxmlformats.org/markup-compatibility/2006" xmlns:sle15="http://schemas.microsoft.com/office/drawing/2012/slicer">
      <mc:Choice Requires="sle15">
        <xdr:graphicFrame macro="">
          <xdr:nvGraphicFramePr>
            <xdr:cNvPr id="2" name="Foglio">
              <a:extLst>
                <a:ext uri="{FF2B5EF4-FFF2-40B4-BE49-F238E27FC236}">
                  <a16:creationId xmlns:a16="http://schemas.microsoft.com/office/drawing/2014/main" id="{3512D780-8732-1770-1CF0-DC5FC5094A12}"/>
                </a:ext>
              </a:extLst>
            </xdr:cNvPr>
            <xdr:cNvGraphicFramePr/>
          </xdr:nvGraphicFramePr>
          <xdr:xfrm>
            <a:off x="0" y="0"/>
            <a:ext cx="0" cy="0"/>
          </xdr:xfrm>
          <a:graphic>
            <a:graphicData uri="http://schemas.microsoft.com/office/drawing/2010/slicer">
              <sle:slicer xmlns:sle="http://schemas.microsoft.com/office/drawing/2010/slicer" name="Foglio"/>
            </a:graphicData>
          </a:graphic>
        </xdr:graphicFrame>
      </mc:Choice>
      <mc:Fallback xmlns="">
        <xdr:sp macro="" textlink="">
          <xdr:nvSpPr>
            <xdr:cNvPr id="0" name=""/>
            <xdr:cNvSpPr>
              <a:spLocks noTextEdit="1"/>
            </xdr:cNvSpPr>
          </xdr:nvSpPr>
          <xdr:spPr>
            <a:xfrm>
              <a:off x="868681" y="135256"/>
              <a:ext cx="11673839" cy="1428750"/>
            </a:xfrm>
            <a:prstGeom prst="rect">
              <a:avLst/>
            </a:prstGeom>
            <a:solidFill>
              <a:prstClr val="white"/>
            </a:solidFill>
            <a:ln w="1">
              <a:solidFill>
                <a:prstClr val="green"/>
              </a:solidFill>
            </a:ln>
          </xdr:spPr>
          <xdr:txBody>
            <a:bodyPr vertOverflow="clip" horzOverflow="clip"/>
            <a:lstStyle/>
            <a:p>
              <a:r>
                <a:rPr lang="it-IT"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135255</xdr:colOff>
      <xdr:row>1</xdr:row>
      <xdr:rowOff>76200</xdr:rowOff>
    </xdr:from>
    <xdr:to>
      <xdr:col>3</xdr:col>
      <xdr:colOff>401310</xdr:colOff>
      <xdr:row>4</xdr:row>
      <xdr:rowOff>114594</xdr:rowOff>
    </xdr:to>
    <xdr:pic>
      <xdr:nvPicPr>
        <xdr:cNvPr id="2" name="Immagine 2">
          <a:extLst>
            <a:ext uri="{FF2B5EF4-FFF2-40B4-BE49-F238E27FC236}">
              <a16:creationId xmlns:a16="http://schemas.microsoft.com/office/drawing/2014/main" id="{BF8AFD78-10EE-47DE-9B83-3F70BA5D17A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4455" y="257175"/>
          <a:ext cx="864225" cy="5813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0</xdr:colOff>
      <xdr:row>0</xdr:row>
      <xdr:rowOff>123039</xdr:rowOff>
    </xdr:from>
    <xdr:to>
      <xdr:col>2</xdr:col>
      <xdr:colOff>703841</xdr:colOff>
      <xdr:row>0</xdr:row>
      <xdr:rowOff>438214</xdr:rowOff>
    </xdr:to>
    <xdr:pic>
      <xdr:nvPicPr>
        <xdr:cNvPr id="2" name="Immagine 1">
          <a:extLst>
            <a:ext uri="{FF2B5EF4-FFF2-40B4-BE49-F238E27FC236}">
              <a16:creationId xmlns:a16="http://schemas.microsoft.com/office/drawing/2014/main" id="{06934FA7-A085-4221-A869-404359C4DAC4}"/>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0" y="123039"/>
          <a:ext cx="715271" cy="3037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127000</xdr:colOff>
      <xdr:row>0</xdr:row>
      <xdr:rowOff>101600</xdr:rowOff>
    </xdr:from>
    <xdr:to>
      <xdr:col>1</xdr:col>
      <xdr:colOff>574358</xdr:colOff>
      <xdr:row>0</xdr:row>
      <xdr:rowOff>397161</xdr:rowOff>
    </xdr:to>
    <xdr:pic>
      <xdr:nvPicPr>
        <xdr:cNvPr id="2" name="Immagine 1">
          <a:extLst>
            <a:ext uri="{FF2B5EF4-FFF2-40B4-BE49-F238E27FC236}">
              <a16:creationId xmlns:a16="http://schemas.microsoft.com/office/drawing/2014/main" id="{4A60DC57-335E-425B-B171-E3745A9AACD4}"/>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127000" y="101600"/>
          <a:ext cx="665163" cy="287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127000</xdr:colOff>
      <xdr:row>0</xdr:row>
      <xdr:rowOff>101600</xdr:rowOff>
    </xdr:from>
    <xdr:to>
      <xdr:col>1</xdr:col>
      <xdr:colOff>574358</xdr:colOff>
      <xdr:row>0</xdr:row>
      <xdr:rowOff>397161</xdr:rowOff>
    </xdr:to>
    <xdr:pic>
      <xdr:nvPicPr>
        <xdr:cNvPr id="2" name="Immagine 1">
          <a:extLst>
            <a:ext uri="{FF2B5EF4-FFF2-40B4-BE49-F238E27FC236}">
              <a16:creationId xmlns:a16="http://schemas.microsoft.com/office/drawing/2014/main" id="{DD5A522E-0D7A-46EF-99B4-46342F90E55C}"/>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130810" y="97790"/>
          <a:ext cx="662623" cy="299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394607</xdr:colOff>
      <xdr:row>0</xdr:row>
      <xdr:rowOff>81643</xdr:rowOff>
    </xdr:from>
    <xdr:to>
      <xdr:col>3</xdr:col>
      <xdr:colOff>515156</xdr:colOff>
      <xdr:row>1</xdr:row>
      <xdr:rowOff>96165</xdr:rowOff>
    </xdr:to>
    <xdr:pic>
      <xdr:nvPicPr>
        <xdr:cNvPr id="2" name="Immagine 1">
          <a:extLst>
            <a:ext uri="{FF2B5EF4-FFF2-40B4-BE49-F238E27FC236}">
              <a16:creationId xmlns:a16="http://schemas.microsoft.com/office/drawing/2014/main" id="{0457CB5E-6EE6-4D4B-BC4C-2BD9054D41A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394607" y="81643"/>
          <a:ext cx="897245" cy="3742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134470</xdr:colOff>
      <xdr:row>0</xdr:row>
      <xdr:rowOff>100853</xdr:rowOff>
    </xdr:from>
    <xdr:to>
      <xdr:col>1</xdr:col>
      <xdr:colOff>437011</xdr:colOff>
      <xdr:row>0</xdr:row>
      <xdr:rowOff>396414</xdr:rowOff>
    </xdr:to>
    <xdr:pic>
      <xdr:nvPicPr>
        <xdr:cNvPr id="2" name="Immagine 1">
          <a:extLst>
            <a:ext uri="{FF2B5EF4-FFF2-40B4-BE49-F238E27FC236}">
              <a16:creationId xmlns:a16="http://schemas.microsoft.com/office/drawing/2014/main" id="{7D97A949-0A42-42B8-8344-DCA072BA5C53}"/>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134470" y="100853"/>
          <a:ext cx="665163" cy="287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171450</xdr:colOff>
      <xdr:row>0</xdr:row>
      <xdr:rowOff>100966</xdr:rowOff>
    </xdr:from>
    <xdr:to>
      <xdr:col>1</xdr:col>
      <xdr:colOff>436469</xdr:colOff>
      <xdr:row>0</xdr:row>
      <xdr:rowOff>326391</xdr:rowOff>
    </xdr:to>
    <xdr:pic>
      <xdr:nvPicPr>
        <xdr:cNvPr id="2" name="Immagine 1">
          <a:extLst>
            <a:ext uri="{FF2B5EF4-FFF2-40B4-BE49-F238E27FC236}">
              <a16:creationId xmlns:a16="http://schemas.microsoft.com/office/drawing/2014/main" id="{DBA13C7E-28DD-4047-84CB-BA795EE5FD45}"/>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171450" y="100966"/>
          <a:ext cx="512669" cy="2292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508000</xdr:colOff>
      <xdr:row>0</xdr:row>
      <xdr:rowOff>71641</xdr:rowOff>
    </xdr:from>
    <xdr:to>
      <xdr:col>1</xdr:col>
      <xdr:colOff>514590</xdr:colOff>
      <xdr:row>1</xdr:row>
      <xdr:rowOff>111695</xdr:rowOff>
    </xdr:to>
    <xdr:pic>
      <xdr:nvPicPr>
        <xdr:cNvPr id="2" name="Immagine 1">
          <a:extLst>
            <a:ext uri="{FF2B5EF4-FFF2-40B4-BE49-F238E27FC236}">
              <a16:creationId xmlns:a16="http://schemas.microsoft.com/office/drawing/2014/main" id="{B28F1F27-EFB2-499A-A3D5-DDC4864DC3B2}"/>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508000" y="71641"/>
          <a:ext cx="512669" cy="21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179102</xdr:colOff>
      <xdr:row>0</xdr:row>
      <xdr:rowOff>56987</xdr:rowOff>
    </xdr:from>
    <xdr:to>
      <xdr:col>1</xdr:col>
      <xdr:colOff>362320</xdr:colOff>
      <xdr:row>1</xdr:row>
      <xdr:rowOff>98115</xdr:rowOff>
    </xdr:to>
    <xdr:pic>
      <xdr:nvPicPr>
        <xdr:cNvPr id="2" name="Immagine 1">
          <a:extLst>
            <a:ext uri="{FF2B5EF4-FFF2-40B4-BE49-F238E27FC236}">
              <a16:creationId xmlns:a16="http://schemas.microsoft.com/office/drawing/2014/main" id="{0A58C5E7-4BCB-4C10-8AAD-0644F656DB31}"/>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179102" y="56987"/>
          <a:ext cx="512669" cy="208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457200</xdr:colOff>
      <xdr:row>0</xdr:row>
      <xdr:rowOff>129540</xdr:rowOff>
    </xdr:from>
    <xdr:to>
      <xdr:col>1</xdr:col>
      <xdr:colOff>512669</xdr:colOff>
      <xdr:row>0</xdr:row>
      <xdr:rowOff>322580</xdr:rowOff>
    </xdr:to>
    <xdr:pic>
      <xdr:nvPicPr>
        <xdr:cNvPr id="2" name="Immagine 1">
          <a:extLst>
            <a:ext uri="{FF2B5EF4-FFF2-40B4-BE49-F238E27FC236}">
              <a16:creationId xmlns:a16="http://schemas.microsoft.com/office/drawing/2014/main" id="{DAD9D8AD-E911-4A6B-A761-3A0FC81AA1C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457200" y="129540"/>
          <a:ext cx="512669" cy="208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190501</xdr:colOff>
      <xdr:row>0</xdr:row>
      <xdr:rowOff>84667</xdr:rowOff>
    </xdr:from>
    <xdr:to>
      <xdr:col>1</xdr:col>
      <xdr:colOff>321629</xdr:colOff>
      <xdr:row>1</xdr:row>
      <xdr:rowOff>96308</xdr:rowOff>
    </xdr:to>
    <xdr:pic>
      <xdr:nvPicPr>
        <xdr:cNvPr id="2" name="Immagine 1">
          <a:extLst>
            <a:ext uri="{FF2B5EF4-FFF2-40B4-BE49-F238E27FC236}">
              <a16:creationId xmlns:a16="http://schemas.microsoft.com/office/drawing/2014/main" id="{1341144C-81E9-49E5-AEB5-7A192D68CC79}"/>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190501" y="84667"/>
          <a:ext cx="420688" cy="1733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285750</xdr:colOff>
      <xdr:row>0</xdr:row>
      <xdr:rowOff>127000</xdr:rowOff>
    </xdr:from>
    <xdr:to>
      <xdr:col>1</xdr:col>
      <xdr:colOff>388197</xdr:colOff>
      <xdr:row>0</xdr:row>
      <xdr:rowOff>298147</xdr:rowOff>
    </xdr:to>
    <xdr:pic>
      <xdr:nvPicPr>
        <xdr:cNvPr id="2" name="Immagine 1">
          <a:extLst>
            <a:ext uri="{FF2B5EF4-FFF2-40B4-BE49-F238E27FC236}">
              <a16:creationId xmlns:a16="http://schemas.microsoft.com/office/drawing/2014/main" id="{C33CA74C-9CCC-433C-9DBD-BD04B7B09B33}"/>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285750" y="127000"/>
          <a:ext cx="398780" cy="1711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144780</xdr:colOff>
      <xdr:row>0</xdr:row>
      <xdr:rowOff>68580</xdr:rowOff>
    </xdr:from>
    <xdr:to>
      <xdr:col>1</xdr:col>
      <xdr:colOff>369794</xdr:colOff>
      <xdr:row>0</xdr:row>
      <xdr:rowOff>288290</xdr:rowOff>
    </xdr:to>
    <xdr:pic>
      <xdr:nvPicPr>
        <xdr:cNvPr id="2" name="Immagine 1">
          <a:extLst>
            <a:ext uri="{FF2B5EF4-FFF2-40B4-BE49-F238E27FC236}">
              <a16:creationId xmlns:a16="http://schemas.microsoft.com/office/drawing/2014/main" id="{D47BD535-0E13-4CDD-AAF4-AF6316B19CD7}"/>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144780" y="68580"/>
          <a:ext cx="512669" cy="21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114300</xdr:colOff>
      <xdr:row>0</xdr:row>
      <xdr:rowOff>71893</xdr:rowOff>
    </xdr:from>
    <xdr:to>
      <xdr:col>1</xdr:col>
      <xdr:colOff>358364</xdr:colOff>
      <xdr:row>0</xdr:row>
      <xdr:rowOff>287793</xdr:rowOff>
    </xdr:to>
    <xdr:pic>
      <xdr:nvPicPr>
        <xdr:cNvPr id="2" name="Immagine 1">
          <a:extLst>
            <a:ext uri="{FF2B5EF4-FFF2-40B4-BE49-F238E27FC236}">
              <a16:creationId xmlns:a16="http://schemas.microsoft.com/office/drawing/2014/main" id="{6210F3D0-999B-4992-80D9-F5349600D1D5}"/>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114300" y="71893"/>
          <a:ext cx="511675" cy="21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123825</xdr:colOff>
      <xdr:row>0</xdr:row>
      <xdr:rowOff>57150</xdr:rowOff>
    </xdr:from>
    <xdr:to>
      <xdr:col>1</xdr:col>
      <xdr:colOff>358364</xdr:colOff>
      <xdr:row>0</xdr:row>
      <xdr:rowOff>265430</xdr:rowOff>
    </xdr:to>
    <xdr:pic>
      <xdr:nvPicPr>
        <xdr:cNvPr id="2" name="Immagine 1">
          <a:extLst>
            <a:ext uri="{FF2B5EF4-FFF2-40B4-BE49-F238E27FC236}">
              <a16:creationId xmlns:a16="http://schemas.microsoft.com/office/drawing/2014/main" id="{96AC021D-B4F0-4D5F-B821-BF7725D166F5}"/>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123825" y="57150"/>
          <a:ext cx="512669" cy="208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148590</xdr:colOff>
      <xdr:row>0</xdr:row>
      <xdr:rowOff>55245</xdr:rowOff>
    </xdr:from>
    <xdr:to>
      <xdr:col>1</xdr:col>
      <xdr:colOff>402179</xdr:colOff>
      <xdr:row>0</xdr:row>
      <xdr:rowOff>269240</xdr:rowOff>
    </xdr:to>
    <xdr:pic>
      <xdr:nvPicPr>
        <xdr:cNvPr id="2" name="Immagine 1">
          <a:extLst>
            <a:ext uri="{FF2B5EF4-FFF2-40B4-BE49-F238E27FC236}">
              <a16:creationId xmlns:a16="http://schemas.microsoft.com/office/drawing/2014/main" id="{70E6399C-86D4-45DD-A3C8-5B8A2CED694B}"/>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148590" y="55245"/>
          <a:ext cx="526004" cy="2101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245969</xdr:colOff>
      <xdr:row>0</xdr:row>
      <xdr:rowOff>282575</xdr:rowOff>
    </xdr:to>
    <xdr:pic>
      <xdr:nvPicPr>
        <xdr:cNvPr id="2" name="Immagine 1">
          <a:extLst>
            <a:ext uri="{FF2B5EF4-FFF2-40B4-BE49-F238E27FC236}">
              <a16:creationId xmlns:a16="http://schemas.microsoft.com/office/drawing/2014/main" id="{7139E156-FBEB-49F3-A0C8-DB771557FE3B}"/>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66675" y="66675"/>
          <a:ext cx="503144" cy="2120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328083</xdr:colOff>
      <xdr:row>0</xdr:row>
      <xdr:rowOff>127000</xdr:rowOff>
    </xdr:from>
    <xdr:to>
      <xdr:col>1</xdr:col>
      <xdr:colOff>512034</xdr:colOff>
      <xdr:row>0</xdr:row>
      <xdr:rowOff>321945</xdr:rowOff>
    </xdr:to>
    <xdr:pic>
      <xdr:nvPicPr>
        <xdr:cNvPr id="2" name="Immagine 1">
          <a:extLst>
            <a:ext uri="{FF2B5EF4-FFF2-40B4-BE49-F238E27FC236}">
              <a16:creationId xmlns:a16="http://schemas.microsoft.com/office/drawing/2014/main" id="{2485E768-4CEF-4782-B1AA-58E2641F2EE9}"/>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328083" y="127000"/>
          <a:ext cx="512669" cy="208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xdr:col>
      <xdr:colOff>135255</xdr:colOff>
      <xdr:row>1</xdr:row>
      <xdr:rowOff>76200</xdr:rowOff>
    </xdr:from>
    <xdr:to>
      <xdr:col>3</xdr:col>
      <xdr:colOff>401310</xdr:colOff>
      <xdr:row>4</xdr:row>
      <xdr:rowOff>114594</xdr:rowOff>
    </xdr:to>
    <xdr:pic>
      <xdr:nvPicPr>
        <xdr:cNvPr id="2" name="Immagine 2">
          <a:extLst>
            <a:ext uri="{FF2B5EF4-FFF2-40B4-BE49-F238E27FC236}">
              <a16:creationId xmlns:a16="http://schemas.microsoft.com/office/drawing/2014/main" id="{DB023BE3-F24B-4E66-A4B8-38D861B6590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0645" y="257175"/>
          <a:ext cx="879465" cy="5813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456678</xdr:colOff>
      <xdr:row>0</xdr:row>
      <xdr:rowOff>102479</xdr:rowOff>
    </xdr:from>
    <xdr:to>
      <xdr:col>1</xdr:col>
      <xdr:colOff>551688</xdr:colOff>
      <xdr:row>0</xdr:row>
      <xdr:rowOff>322389</xdr:rowOff>
    </xdr:to>
    <xdr:pic>
      <xdr:nvPicPr>
        <xdr:cNvPr id="2" name="Immagine 1">
          <a:extLst>
            <a:ext uri="{FF2B5EF4-FFF2-40B4-BE49-F238E27FC236}">
              <a16:creationId xmlns:a16="http://schemas.microsoft.com/office/drawing/2014/main" id="{51DEB429-4C6B-4288-A89C-A3BD6310BF56}"/>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456678" y="102479"/>
          <a:ext cx="600070" cy="223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176893</xdr:colOff>
      <xdr:row>0</xdr:row>
      <xdr:rowOff>87720</xdr:rowOff>
    </xdr:from>
    <xdr:to>
      <xdr:col>1</xdr:col>
      <xdr:colOff>706415</xdr:colOff>
      <xdr:row>1</xdr:row>
      <xdr:rowOff>98346</xdr:rowOff>
    </xdr:to>
    <xdr:pic>
      <xdr:nvPicPr>
        <xdr:cNvPr id="3" name="Immagine 2">
          <a:extLst>
            <a:ext uri="{FF2B5EF4-FFF2-40B4-BE49-F238E27FC236}">
              <a16:creationId xmlns:a16="http://schemas.microsoft.com/office/drawing/2014/main" id="{0E09407B-4610-4983-922A-13E33DE0B11E}"/>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176893" y="87720"/>
          <a:ext cx="897187" cy="358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7</xdr:col>
      <xdr:colOff>1240835</xdr:colOff>
      <xdr:row>64</xdr:row>
      <xdr:rowOff>223426</xdr:rowOff>
    </xdr:from>
    <xdr:to>
      <xdr:col>18</xdr:col>
      <xdr:colOff>564443</xdr:colOff>
      <xdr:row>81</xdr:row>
      <xdr:rowOff>11758</xdr:rowOff>
    </xdr:to>
    <xdr:graphicFrame macro="">
      <xdr:nvGraphicFramePr>
        <xdr:cNvPr id="24" name="Grafico 23">
          <a:extLst>
            <a:ext uri="{FF2B5EF4-FFF2-40B4-BE49-F238E27FC236}">
              <a16:creationId xmlns:a16="http://schemas.microsoft.com/office/drawing/2014/main" id="{4D53B8AE-7BC7-4CED-B7A5-008616C7D6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273284</xdr:colOff>
      <xdr:row>38</xdr:row>
      <xdr:rowOff>132176</xdr:rowOff>
    </xdr:from>
    <xdr:to>
      <xdr:col>19</xdr:col>
      <xdr:colOff>47036</xdr:colOff>
      <xdr:row>64</xdr:row>
      <xdr:rowOff>70557</xdr:rowOff>
    </xdr:to>
    <xdr:graphicFrame macro="">
      <xdr:nvGraphicFramePr>
        <xdr:cNvPr id="26" name="Grafico 25">
          <a:extLst>
            <a:ext uri="{FF2B5EF4-FFF2-40B4-BE49-F238E27FC236}">
              <a16:creationId xmlns:a16="http://schemas.microsoft.com/office/drawing/2014/main" id="{09B8DF86-25A4-426E-827E-702342ECE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112888</xdr:rowOff>
    </xdr:from>
    <xdr:to>
      <xdr:col>1</xdr:col>
      <xdr:colOff>264427</xdr:colOff>
      <xdr:row>1</xdr:row>
      <xdr:rowOff>268111</xdr:rowOff>
    </xdr:to>
    <xdr:pic>
      <xdr:nvPicPr>
        <xdr:cNvPr id="23" name="Immagine 22">
          <a:extLst>
            <a:ext uri="{FF2B5EF4-FFF2-40B4-BE49-F238E27FC236}">
              <a16:creationId xmlns:a16="http://schemas.microsoft.com/office/drawing/2014/main" id="{FA087FE3-73AA-4CC0-82ED-64B646F10576}"/>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34316"/>
        <a:stretch>
          <a:fillRect/>
        </a:stretch>
      </xdr:blipFill>
      <xdr:spPr bwMode="auto">
        <a:xfrm>
          <a:off x="0" y="112888"/>
          <a:ext cx="871205" cy="3668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1035207</xdr:colOff>
      <xdr:row>11</xdr:row>
      <xdr:rowOff>196969</xdr:rowOff>
    </xdr:from>
    <xdr:to>
      <xdr:col>9</xdr:col>
      <xdr:colOff>1014094</xdr:colOff>
      <xdr:row>27</xdr:row>
      <xdr:rowOff>440055</xdr:rowOff>
    </xdr:to>
    <xdr:grpSp>
      <xdr:nvGrpSpPr>
        <xdr:cNvPr id="35" name="Gruppo 34">
          <a:extLst>
            <a:ext uri="{FF2B5EF4-FFF2-40B4-BE49-F238E27FC236}">
              <a16:creationId xmlns:a16="http://schemas.microsoft.com/office/drawing/2014/main" id="{17FAF36E-EDE7-8DD2-644F-199AF74EDEF9}"/>
            </a:ext>
          </a:extLst>
        </xdr:cNvPr>
        <xdr:cNvGrpSpPr/>
      </xdr:nvGrpSpPr>
      <xdr:grpSpPr>
        <a:xfrm>
          <a:off x="6464457" y="3213219"/>
          <a:ext cx="6963887" cy="5860719"/>
          <a:chOff x="6838335" y="1540911"/>
          <a:chExt cx="6653536" cy="4370758"/>
        </a:xfrm>
      </xdr:grpSpPr>
      <xdr:graphicFrame macro="">
        <xdr:nvGraphicFramePr>
          <xdr:cNvPr id="3" name="Grafico 2">
            <a:extLst>
              <a:ext uri="{FF2B5EF4-FFF2-40B4-BE49-F238E27FC236}">
                <a16:creationId xmlns:a16="http://schemas.microsoft.com/office/drawing/2014/main" id="{B517907E-FF7C-24F0-229C-2F306919FE60}"/>
              </a:ext>
            </a:extLst>
          </xdr:cNvPr>
          <xdr:cNvGraphicFramePr/>
        </xdr:nvGraphicFramePr>
        <xdr:xfrm>
          <a:off x="8186639" y="1540911"/>
          <a:ext cx="5305232" cy="3874624"/>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22" name="CasellaDiTesto 21">
            <a:extLst>
              <a:ext uri="{FF2B5EF4-FFF2-40B4-BE49-F238E27FC236}">
                <a16:creationId xmlns:a16="http://schemas.microsoft.com/office/drawing/2014/main" id="{548075DA-D462-47C3-BFCC-5179FD2177E8}"/>
              </a:ext>
            </a:extLst>
          </xdr:cNvPr>
          <xdr:cNvSpPr txBox="1"/>
        </xdr:nvSpPr>
        <xdr:spPr>
          <a:xfrm>
            <a:off x="8195351" y="5223238"/>
            <a:ext cx="1326671" cy="6805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100" b="1">
                <a:latin typeface="CocoEng" pitchFamily="50" charset="0"/>
                <a:cs typeface="Segoe UI" panose="020B0502040204020203" pitchFamily="34" charset="0"/>
              </a:rPr>
              <a:t>Trascurabile</a:t>
            </a:r>
          </a:p>
        </xdr:txBody>
      </xdr:sp>
      <xdr:sp macro="" textlink="">
        <xdr:nvSpPr>
          <xdr:cNvPr id="25" name="CasellaDiTesto 24">
            <a:extLst>
              <a:ext uri="{FF2B5EF4-FFF2-40B4-BE49-F238E27FC236}">
                <a16:creationId xmlns:a16="http://schemas.microsoft.com/office/drawing/2014/main" id="{278B461D-DFD0-4319-99AB-2CFADBFFB649}"/>
              </a:ext>
            </a:extLst>
          </xdr:cNvPr>
          <xdr:cNvSpPr txBox="1"/>
        </xdr:nvSpPr>
        <xdr:spPr>
          <a:xfrm>
            <a:off x="9296832" y="5223238"/>
            <a:ext cx="1121853" cy="6884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100" b="1">
                <a:latin typeface="CocoEng" pitchFamily="50" charset="0"/>
                <a:cs typeface="Segoe UI" panose="020B0502040204020203" pitchFamily="34" charset="0"/>
              </a:rPr>
              <a:t>Contenuto</a:t>
            </a:r>
          </a:p>
        </xdr:txBody>
      </xdr:sp>
      <xdr:sp macro="" textlink="">
        <xdr:nvSpPr>
          <xdr:cNvPr id="27" name="CasellaDiTesto 26">
            <a:extLst>
              <a:ext uri="{FF2B5EF4-FFF2-40B4-BE49-F238E27FC236}">
                <a16:creationId xmlns:a16="http://schemas.microsoft.com/office/drawing/2014/main" id="{973C80DF-41A0-4CE4-915B-B4794384CC87}"/>
              </a:ext>
            </a:extLst>
          </xdr:cNvPr>
          <xdr:cNvSpPr txBox="1"/>
        </xdr:nvSpPr>
        <xdr:spPr>
          <a:xfrm>
            <a:off x="11507737" y="5223238"/>
            <a:ext cx="574571" cy="6884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100" b="1">
                <a:latin typeface="CocoEng" pitchFamily="50" charset="0"/>
                <a:cs typeface="Segoe UI" panose="020B0502040204020203" pitchFamily="34" charset="0"/>
              </a:rPr>
              <a:t>Alto</a:t>
            </a:r>
          </a:p>
        </xdr:txBody>
      </xdr:sp>
      <xdr:sp macro="" textlink="">
        <xdr:nvSpPr>
          <xdr:cNvPr id="28" name="CasellaDiTesto 27">
            <a:extLst>
              <a:ext uri="{FF2B5EF4-FFF2-40B4-BE49-F238E27FC236}">
                <a16:creationId xmlns:a16="http://schemas.microsoft.com/office/drawing/2014/main" id="{89C8BA68-FF0F-4BAF-8C25-DE2B08075ABF}"/>
              </a:ext>
            </a:extLst>
          </xdr:cNvPr>
          <xdr:cNvSpPr txBox="1"/>
        </xdr:nvSpPr>
        <xdr:spPr>
          <a:xfrm>
            <a:off x="11991571" y="5223238"/>
            <a:ext cx="1440204" cy="6884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100" b="1">
                <a:latin typeface="CocoEng" pitchFamily="50" charset="0"/>
                <a:cs typeface="Segoe UI" panose="020B0502040204020203" pitchFamily="34" charset="0"/>
              </a:rPr>
              <a:t>Estremo</a:t>
            </a:r>
          </a:p>
        </xdr:txBody>
      </xdr:sp>
      <xdr:sp macro="" textlink="">
        <xdr:nvSpPr>
          <xdr:cNvPr id="29" name="CasellaDiTesto 28">
            <a:extLst>
              <a:ext uri="{FF2B5EF4-FFF2-40B4-BE49-F238E27FC236}">
                <a16:creationId xmlns:a16="http://schemas.microsoft.com/office/drawing/2014/main" id="{A75E79F0-9668-4E59-8C50-AF84FD0F1FFB}"/>
              </a:ext>
            </a:extLst>
          </xdr:cNvPr>
          <xdr:cNvSpPr txBox="1"/>
        </xdr:nvSpPr>
        <xdr:spPr>
          <a:xfrm>
            <a:off x="6872111" y="4345548"/>
            <a:ext cx="1332286" cy="680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it-IT" sz="1100" b="1">
                <a:latin typeface="CocoEng" pitchFamily="50" charset="0"/>
                <a:cs typeface="Segoe UI" panose="020B0502040204020203" pitchFamily="34" charset="0"/>
              </a:rPr>
              <a:t>Raro</a:t>
            </a:r>
          </a:p>
        </xdr:txBody>
      </xdr:sp>
      <xdr:sp macro="" textlink="">
        <xdr:nvSpPr>
          <xdr:cNvPr id="30" name="CasellaDiTesto 29">
            <a:extLst>
              <a:ext uri="{FF2B5EF4-FFF2-40B4-BE49-F238E27FC236}">
                <a16:creationId xmlns:a16="http://schemas.microsoft.com/office/drawing/2014/main" id="{3D0D2F55-88C5-4648-B0EF-51EDD3823F0E}"/>
              </a:ext>
            </a:extLst>
          </xdr:cNvPr>
          <xdr:cNvSpPr txBox="1"/>
        </xdr:nvSpPr>
        <xdr:spPr>
          <a:xfrm>
            <a:off x="6872111" y="3811241"/>
            <a:ext cx="1332286" cy="680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it-IT" sz="1100" b="1">
                <a:latin typeface="CocoEng" pitchFamily="50" charset="0"/>
                <a:cs typeface="Segoe UI" panose="020B0502040204020203" pitchFamily="34" charset="0"/>
              </a:rPr>
              <a:t>Improbabile</a:t>
            </a:r>
          </a:p>
        </xdr:txBody>
      </xdr:sp>
      <xdr:sp macro="" textlink="">
        <xdr:nvSpPr>
          <xdr:cNvPr id="31" name="CasellaDiTesto 30">
            <a:extLst>
              <a:ext uri="{FF2B5EF4-FFF2-40B4-BE49-F238E27FC236}">
                <a16:creationId xmlns:a16="http://schemas.microsoft.com/office/drawing/2014/main" id="{6EEE94D0-5983-45C2-8787-688EB7A18F5F}"/>
              </a:ext>
            </a:extLst>
          </xdr:cNvPr>
          <xdr:cNvSpPr txBox="1"/>
        </xdr:nvSpPr>
        <xdr:spPr>
          <a:xfrm>
            <a:off x="6872111" y="3198156"/>
            <a:ext cx="1332286" cy="6884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it-IT" sz="1100" b="1">
                <a:latin typeface="CocoEng" pitchFamily="50" charset="0"/>
                <a:cs typeface="Segoe UI" panose="020B0502040204020203" pitchFamily="34" charset="0"/>
              </a:rPr>
              <a:t>Moderato</a:t>
            </a:r>
          </a:p>
        </xdr:txBody>
      </xdr:sp>
      <xdr:sp macro="" textlink="">
        <xdr:nvSpPr>
          <xdr:cNvPr id="32" name="CasellaDiTesto 31">
            <a:extLst>
              <a:ext uri="{FF2B5EF4-FFF2-40B4-BE49-F238E27FC236}">
                <a16:creationId xmlns:a16="http://schemas.microsoft.com/office/drawing/2014/main" id="{BDD87A1C-FCC4-49F2-968F-AACAB46A7578}"/>
              </a:ext>
            </a:extLst>
          </xdr:cNvPr>
          <xdr:cNvSpPr txBox="1"/>
        </xdr:nvSpPr>
        <xdr:spPr>
          <a:xfrm>
            <a:off x="6838335" y="1924123"/>
            <a:ext cx="1332286" cy="542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it-IT" sz="1100" b="1">
                <a:latin typeface="CocoEng" pitchFamily="50" charset="0"/>
                <a:cs typeface="Segoe UI" panose="020B0502040204020203" pitchFamily="34" charset="0"/>
              </a:rPr>
              <a:t>Probabile</a:t>
            </a:r>
          </a:p>
        </xdr:txBody>
      </xdr:sp>
      <xdr:sp macro="" textlink="">
        <xdr:nvSpPr>
          <xdr:cNvPr id="33" name="CasellaDiTesto 32">
            <a:extLst>
              <a:ext uri="{FF2B5EF4-FFF2-40B4-BE49-F238E27FC236}">
                <a16:creationId xmlns:a16="http://schemas.microsoft.com/office/drawing/2014/main" id="{66453FD1-6F38-44E4-889C-44234CC44D22}"/>
              </a:ext>
            </a:extLst>
          </xdr:cNvPr>
          <xdr:cNvSpPr txBox="1"/>
        </xdr:nvSpPr>
        <xdr:spPr>
          <a:xfrm>
            <a:off x="6872111" y="2618622"/>
            <a:ext cx="1332286" cy="542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it-IT" sz="1100" b="1">
                <a:latin typeface="CocoEng" pitchFamily="50" charset="0"/>
                <a:cs typeface="Segoe UI" panose="020B0502040204020203" pitchFamily="34" charset="0"/>
              </a:rPr>
              <a:t>Possibile</a:t>
            </a:r>
          </a:p>
        </xdr:txBody>
      </xdr:sp>
      <xdr:sp macro="" textlink="">
        <xdr:nvSpPr>
          <xdr:cNvPr id="34" name="CasellaDiTesto 33">
            <a:extLst>
              <a:ext uri="{FF2B5EF4-FFF2-40B4-BE49-F238E27FC236}">
                <a16:creationId xmlns:a16="http://schemas.microsoft.com/office/drawing/2014/main" id="{93EF4DC4-1758-4FC3-AB31-CB9B9D76E8D3}"/>
              </a:ext>
            </a:extLst>
          </xdr:cNvPr>
          <xdr:cNvSpPr txBox="1"/>
        </xdr:nvSpPr>
        <xdr:spPr>
          <a:xfrm>
            <a:off x="10216161" y="5223238"/>
            <a:ext cx="1294656" cy="6884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100" b="1">
                <a:latin typeface="CocoEng" pitchFamily="50" charset="0"/>
                <a:cs typeface="Segoe UI" panose="020B0502040204020203" pitchFamily="34" charset="0"/>
              </a:rPr>
              <a:t>Significativo</a:t>
            </a:r>
          </a:p>
        </xdr:txBody>
      </xdr:sp>
    </xdr:grpSp>
    <xdr:clientData/>
  </xdr:twoCellAnchor>
  <xdr:twoCellAnchor>
    <xdr:from>
      <xdr:col>9</xdr:col>
      <xdr:colOff>775970</xdr:colOff>
      <xdr:row>11</xdr:row>
      <xdr:rowOff>91440</xdr:rowOff>
    </xdr:from>
    <xdr:to>
      <xdr:col>19</xdr:col>
      <xdr:colOff>535940</xdr:colOff>
      <xdr:row>27</xdr:row>
      <xdr:rowOff>424815</xdr:rowOff>
    </xdr:to>
    <xdr:grpSp>
      <xdr:nvGrpSpPr>
        <xdr:cNvPr id="46" name="Gruppo 45">
          <a:extLst>
            <a:ext uri="{FF2B5EF4-FFF2-40B4-BE49-F238E27FC236}">
              <a16:creationId xmlns:a16="http://schemas.microsoft.com/office/drawing/2014/main" id="{EDA33414-F38C-C8FA-A41E-EB6B568A5787}"/>
            </a:ext>
          </a:extLst>
        </xdr:cNvPr>
        <xdr:cNvGrpSpPr/>
      </xdr:nvGrpSpPr>
      <xdr:grpSpPr>
        <a:xfrm>
          <a:off x="13190220" y="3107690"/>
          <a:ext cx="6660303" cy="5963708"/>
          <a:chOff x="13137445" y="1698039"/>
          <a:chExt cx="6450497" cy="4368852"/>
        </a:xfrm>
      </xdr:grpSpPr>
      <xdr:graphicFrame macro="">
        <xdr:nvGraphicFramePr>
          <xdr:cNvPr id="13" name="Grafico 12">
            <a:extLst>
              <a:ext uri="{FF2B5EF4-FFF2-40B4-BE49-F238E27FC236}">
                <a16:creationId xmlns:a16="http://schemas.microsoft.com/office/drawing/2014/main" id="{1B070A77-442A-F805-876C-5C7E070DF5F8}"/>
              </a:ext>
            </a:extLst>
          </xdr:cNvPr>
          <xdr:cNvGraphicFramePr/>
        </xdr:nvGraphicFramePr>
        <xdr:xfrm>
          <a:off x="14249773" y="1698039"/>
          <a:ext cx="5268146" cy="3840516"/>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36" name="CasellaDiTesto 35">
            <a:extLst>
              <a:ext uri="{FF2B5EF4-FFF2-40B4-BE49-F238E27FC236}">
                <a16:creationId xmlns:a16="http://schemas.microsoft.com/office/drawing/2014/main" id="{5C49A998-F4CD-490F-BEEF-0AB0E45DD970}"/>
              </a:ext>
            </a:extLst>
          </xdr:cNvPr>
          <xdr:cNvSpPr txBox="1"/>
        </xdr:nvSpPr>
        <xdr:spPr>
          <a:xfrm>
            <a:off x="14462617" y="5378460"/>
            <a:ext cx="1326671" cy="6805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100" b="1">
                <a:latin typeface="CocoEng" pitchFamily="50" charset="0"/>
                <a:cs typeface="Segoe UI" panose="020B0502040204020203" pitchFamily="34" charset="0"/>
              </a:rPr>
              <a:t>Trascurabile</a:t>
            </a:r>
          </a:p>
        </xdr:txBody>
      </xdr:sp>
      <xdr:sp macro="" textlink="">
        <xdr:nvSpPr>
          <xdr:cNvPr id="37" name="CasellaDiTesto 36">
            <a:extLst>
              <a:ext uri="{FF2B5EF4-FFF2-40B4-BE49-F238E27FC236}">
                <a16:creationId xmlns:a16="http://schemas.microsoft.com/office/drawing/2014/main" id="{5467B7DB-B1BB-4161-85E2-3EE8D460FC04}"/>
              </a:ext>
            </a:extLst>
          </xdr:cNvPr>
          <xdr:cNvSpPr txBox="1"/>
        </xdr:nvSpPr>
        <xdr:spPr>
          <a:xfrm>
            <a:off x="15562166" y="5378460"/>
            <a:ext cx="1121853" cy="6884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100" b="1">
                <a:latin typeface="CocoEng" pitchFamily="50" charset="0"/>
                <a:cs typeface="Segoe UI" panose="020B0502040204020203" pitchFamily="34" charset="0"/>
              </a:rPr>
              <a:t>Contenuto</a:t>
            </a:r>
          </a:p>
        </xdr:txBody>
      </xdr:sp>
      <xdr:sp macro="" textlink="">
        <xdr:nvSpPr>
          <xdr:cNvPr id="38" name="CasellaDiTesto 37">
            <a:extLst>
              <a:ext uri="{FF2B5EF4-FFF2-40B4-BE49-F238E27FC236}">
                <a16:creationId xmlns:a16="http://schemas.microsoft.com/office/drawing/2014/main" id="{C2038493-D866-44DE-8515-2BC45DAD3B71}"/>
              </a:ext>
            </a:extLst>
          </xdr:cNvPr>
          <xdr:cNvSpPr txBox="1"/>
        </xdr:nvSpPr>
        <xdr:spPr>
          <a:xfrm>
            <a:off x="17773071" y="5378460"/>
            <a:ext cx="574571" cy="6884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100" b="1">
                <a:latin typeface="CocoEng" pitchFamily="50" charset="0"/>
                <a:cs typeface="Segoe UI" panose="020B0502040204020203" pitchFamily="34" charset="0"/>
              </a:rPr>
              <a:t>Alto</a:t>
            </a:r>
          </a:p>
        </xdr:txBody>
      </xdr:sp>
      <xdr:sp macro="" textlink="">
        <xdr:nvSpPr>
          <xdr:cNvPr id="39" name="CasellaDiTesto 38">
            <a:extLst>
              <a:ext uri="{FF2B5EF4-FFF2-40B4-BE49-F238E27FC236}">
                <a16:creationId xmlns:a16="http://schemas.microsoft.com/office/drawing/2014/main" id="{5E84DDC2-87C5-4F05-B2D1-E45143C611A9}"/>
              </a:ext>
            </a:extLst>
          </xdr:cNvPr>
          <xdr:cNvSpPr txBox="1"/>
        </xdr:nvSpPr>
        <xdr:spPr>
          <a:xfrm>
            <a:off x="18256905" y="5378460"/>
            <a:ext cx="1331037" cy="6884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100" b="1">
                <a:latin typeface="CocoEng" pitchFamily="50" charset="0"/>
                <a:cs typeface="Segoe UI" panose="020B0502040204020203" pitchFamily="34" charset="0"/>
              </a:rPr>
              <a:t>Estremo</a:t>
            </a:r>
          </a:p>
        </xdr:txBody>
      </xdr:sp>
      <xdr:sp macro="" textlink="">
        <xdr:nvSpPr>
          <xdr:cNvPr id="40" name="CasellaDiTesto 39">
            <a:extLst>
              <a:ext uri="{FF2B5EF4-FFF2-40B4-BE49-F238E27FC236}">
                <a16:creationId xmlns:a16="http://schemas.microsoft.com/office/drawing/2014/main" id="{D66CAE3F-FC88-4399-8D23-86BF2DC53642}"/>
              </a:ext>
            </a:extLst>
          </xdr:cNvPr>
          <xdr:cNvSpPr txBox="1"/>
        </xdr:nvSpPr>
        <xdr:spPr>
          <a:xfrm>
            <a:off x="13137445" y="4500770"/>
            <a:ext cx="1332286" cy="680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it-IT" sz="1100" b="1">
                <a:latin typeface="CocoEng" pitchFamily="50" charset="0"/>
                <a:cs typeface="Segoe UI" panose="020B0502040204020203" pitchFamily="34" charset="0"/>
              </a:rPr>
              <a:t>Raro</a:t>
            </a:r>
          </a:p>
        </xdr:txBody>
      </xdr:sp>
      <xdr:sp macro="" textlink="">
        <xdr:nvSpPr>
          <xdr:cNvPr id="41" name="CasellaDiTesto 40">
            <a:extLst>
              <a:ext uri="{FF2B5EF4-FFF2-40B4-BE49-F238E27FC236}">
                <a16:creationId xmlns:a16="http://schemas.microsoft.com/office/drawing/2014/main" id="{1A185962-4C10-41D4-B628-6B1E1C6ECC64}"/>
              </a:ext>
            </a:extLst>
          </xdr:cNvPr>
          <xdr:cNvSpPr txBox="1"/>
        </xdr:nvSpPr>
        <xdr:spPr>
          <a:xfrm>
            <a:off x="13137445" y="3966463"/>
            <a:ext cx="1332286" cy="680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it-IT" sz="1100" b="1">
                <a:latin typeface="CocoEng" pitchFamily="50" charset="0"/>
                <a:cs typeface="Segoe UI" panose="020B0502040204020203" pitchFamily="34" charset="0"/>
              </a:rPr>
              <a:t>Improbabile</a:t>
            </a:r>
          </a:p>
        </xdr:txBody>
      </xdr:sp>
      <xdr:sp macro="" textlink="">
        <xdr:nvSpPr>
          <xdr:cNvPr id="42" name="CasellaDiTesto 41">
            <a:extLst>
              <a:ext uri="{FF2B5EF4-FFF2-40B4-BE49-F238E27FC236}">
                <a16:creationId xmlns:a16="http://schemas.microsoft.com/office/drawing/2014/main" id="{5B36AF85-97ED-4CE6-9905-999E6D48A9AA}"/>
              </a:ext>
            </a:extLst>
          </xdr:cNvPr>
          <xdr:cNvSpPr txBox="1"/>
        </xdr:nvSpPr>
        <xdr:spPr>
          <a:xfrm>
            <a:off x="13137445" y="3353378"/>
            <a:ext cx="1332286" cy="6884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it-IT" sz="1100" b="1">
                <a:latin typeface="CocoEng" pitchFamily="50" charset="0"/>
                <a:cs typeface="Segoe UI" panose="020B0502040204020203" pitchFamily="34" charset="0"/>
              </a:rPr>
              <a:t>Moderato</a:t>
            </a:r>
          </a:p>
        </xdr:txBody>
      </xdr:sp>
      <xdr:sp macro="" textlink="">
        <xdr:nvSpPr>
          <xdr:cNvPr id="43" name="CasellaDiTesto 42">
            <a:extLst>
              <a:ext uri="{FF2B5EF4-FFF2-40B4-BE49-F238E27FC236}">
                <a16:creationId xmlns:a16="http://schemas.microsoft.com/office/drawing/2014/main" id="{DD784980-D20A-46C9-8397-A8C31EB29385}"/>
              </a:ext>
            </a:extLst>
          </xdr:cNvPr>
          <xdr:cNvSpPr txBox="1"/>
        </xdr:nvSpPr>
        <xdr:spPr>
          <a:xfrm>
            <a:off x="13137445" y="2201333"/>
            <a:ext cx="1332286" cy="542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it-IT" sz="1100" b="1">
                <a:latin typeface="CocoEng" pitchFamily="50" charset="0"/>
                <a:cs typeface="Segoe UI" panose="020B0502040204020203" pitchFamily="34" charset="0"/>
              </a:rPr>
              <a:t>Probabile</a:t>
            </a:r>
          </a:p>
        </xdr:txBody>
      </xdr:sp>
      <xdr:sp macro="" textlink="">
        <xdr:nvSpPr>
          <xdr:cNvPr id="44" name="CasellaDiTesto 43">
            <a:extLst>
              <a:ext uri="{FF2B5EF4-FFF2-40B4-BE49-F238E27FC236}">
                <a16:creationId xmlns:a16="http://schemas.microsoft.com/office/drawing/2014/main" id="{63701FC2-6DE0-4757-B7C2-652DE3D18B7F}"/>
              </a:ext>
            </a:extLst>
          </xdr:cNvPr>
          <xdr:cNvSpPr txBox="1"/>
        </xdr:nvSpPr>
        <xdr:spPr>
          <a:xfrm>
            <a:off x="13137445" y="2773844"/>
            <a:ext cx="1332286" cy="542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it-IT" sz="1100" b="1">
                <a:latin typeface="CocoEng" pitchFamily="50" charset="0"/>
                <a:cs typeface="Segoe UI" panose="020B0502040204020203" pitchFamily="34" charset="0"/>
              </a:rPr>
              <a:t>Possibile</a:t>
            </a:r>
          </a:p>
        </xdr:txBody>
      </xdr:sp>
      <xdr:sp macro="" textlink="">
        <xdr:nvSpPr>
          <xdr:cNvPr id="45" name="CasellaDiTesto 44">
            <a:extLst>
              <a:ext uri="{FF2B5EF4-FFF2-40B4-BE49-F238E27FC236}">
                <a16:creationId xmlns:a16="http://schemas.microsoft.com/office/drawing/2014/main" id="{0ED58A42-F013-4261-9CA2-3504169D20E3}"/>
              </a:ext>
            </a:extLst>
          </xdr:cNvPr>
          <xdr:cNvSpPr txBox="1"/>
        </xdr:nvSpPr>
        <xdr:spPr>
          <a:xfrm>
            <a:off x="16481496" y="5378460"/>
            <a:ext cx="1121853" cy="6884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100" b="1">
                <a:latin typeface="CocoEng" pitchFamily="50" charset="0"/>
                <a:cs typeface="Segoe UI" panose="020B0502040204020203" pitchFamily="34" charset="0"/>
              </a:rPr>
              <a:t>Significativo</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oneCell">
    <xdr:from>
      <xdr:col>2</xdr:col>
      <xdr:colOff>135255</xdr:colOff>
      <xdr:row>1</xdr:row>
      <xdr:rowOff>76200</xdr:rowOff>
    </xdr:from>
    <xdr:to>
      <xdr:col>3</xdr:col>
      <xdr:colOff>397500</xdr:colOff>
      <xdr:row>4</xdr:row>
      <xdr:rowOff>114594</xdr:rowOff>
    </xdr:to>
    <xdr:pic>
      <xdr:nvPicPr>
        <xdr:cNvPr id="2" name="Immagine 2">
          <a:extLst>
            <a:ext uri="{FF2B5EF4-FFF2-40B4-BE49-F238E27FC236}">
              <a16:creationId xmlns:a16="http://schemas.microsoft.com/office/drawing/2014/main" id="{4FCC129A-FB56-42AB-B68E-39B23E69765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0645" y="257175"/>
          <a:ext cx="879465" cy="5813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171450</xdr:colOff>
      <xdr:row>0</xdr:row>
      <xdr:rowOff>91440</xdr:rowOff>
    </xdr:from>
    <xdr:to>
      <xdr:col>1</xdr:col>
      <xdr:colOff>440055</xdr:colOff>
      <xdr:row>0</xdr:row>
      <xdr:rowOff>302374</xdr:rowOff>
    </xdr:to>
    <xdr:pic>
      <xdr:nvPicPr>
        <xdr:cNvPr id="2" name="Immagine 22">
          <a:extLst>
            <a:ext uri="{FF2B5EF4-FFF2-40B4-BE49-F238E27FC236}">
              <a16:creationId xmlns:a16="http://schemas.microsoft.com/office/drawing/2014/main" id="{169421B1-A8FC-4611-A2D3-7E23ECA29CC9}"/>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171450" y="91440"/>
          <a:ext cx="510540" cy="2109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171974</xdr:colOff>
      <xdr:row>0</xdr:row>
      <xdr:rowOff>79734</xdr:rowOff>
    </xdr:from>
    <xdr:to>
      <xdr:col>1</xdr:col>
      <xdr:colOff>650320</xdr:colOff>
      <xdr:row>1</xdr:row>
      <xdr:rowOff>325479</xdr:rowOff>
    </xdr:to>
    <xdr:pic>
      <xdr:nvPicPr>
        <xdr:cNvPr id="3" name="Immagine 2">
          <a:extLst>
            <a:ext uri="{FF2B5EF4-FFF2-40B4-BE49-F238E27FC236}">
              <a16:creationId xmlns:a16="http://schemas.microsoft.com/office/drawing/2014/main" id="{C3C1FE19-7C07-4BC1-8AF8-450B98AA191A}"/>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4316"/>
        <a:stretch>
          <a:fillRect/>
        </a:stretch>
      </xdr:blipFill>
      <xdr:spPr bwMode="auto">
        <a:xfrm>
          <a:off x="171974" y="79734"/>
          <a:ext cx="726824" cy="3026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oglio" xr10:uid="{657302CD-0F2B-4E73-A6DA-12AC4366EC21}" sourceName="Foglio">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oglio" xr10:uid="{F0B5378E-F1D9-444F-960B-2517590F0CAA}" cache="Slicer_Foglio" caption="Foglio" columnCount="6" style="SlicerStyleLight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381B74-566A-4FFE-968E-E577ED185244}" name="Table1" displayName="Table1" ref="B4:G187" totalsRowShown="0" headerRowDxfId="462" dataDxfId="461">
  <autoFilter ref="B4:G187" xr:uid="{6C381B74-566A-4FFE-968E-E577ED185244}"/>
  <tableColumns count="6">
    <tableColumn id="9" xr3:uid="{ABA730DB-FD19-44C3-A35B-26BD3104EA0D}" name="Ambito" dataDxfId="460"/>
    <tableColumn id="1" xr3:uid="{B94D9AFA-272D-4F8C-BF79-088DBEB2EB7A}" name="Foglio" dataDxfId="459"/>
    <tableColumn id="2" xr3:uid="{63F06F17-33B7-4478-83DB-A5C6BDF63696}" name="Sezione" dataDxfId="458"/>
    <tableColumn id="3" xr3:uid="{41FCC6C9-C4A4-44EE-B624-EFCF16E4B693}" name="Istruzioni" dataDxfId="457"/>
    <tableColumn id="4" xr3:uid="{AAD84C06-88CC-421B-BAC3-607D62340B0E}" name="Note" dataDxfId="456"/>
    <tableColumn id="10" xr3:uid="{D4E2AC3B-C4CC-4056-9AF7-5B0594D0B939}" name="Link utili" dataDxfId="455"/>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EB1089B-98E1-4A72-9C61-6F4BFFB127F9}" name="DB_Scope" displayName="DB_Scope" ref="B3:F31" totalsRowShown="0" headerRowDxfId="453" dataDxfId="451" headerRowBorderDxfId="452" tableBorderDxfId="450" totalsRowBorderDxfId="449">
  <autoFilter ref="B3:F31" xr:uid="{EEB1089B-98E1-4A72-9C61-6F4BFFB127F9}"/>
  <tableColumns count="5">
    <tableColumn id="6" xr3:uid="{3A9871CE-5667-4B0B-9F60-88C8C1FDAF6B}" name="Cod_Servizio" dataDxfId="448">
      <calculatedColumnFormula>'Appoggio_BIA Servizio'!$B$5</calculatedColumnFormula>
    </tableColumn>
    <tableColumn id="1" xr3:uid="{EDB6E4A8-9B86-45C9-8A06-C41BA335F76A}" name="Ambito Domanda" dataDxfId="447"/>
    <tableColumn id="2" xr3:uid="{F10CF0DD-7847-4ADA-A0FF-DF9D91F43218}" name="Descrizione Domanda" dataDxfId="446"/>
    <tableColumn id="3" xr3:uid="{7392A17F-49D2-4739-9393-F8851341E09D}" name="Risposta" dataDxfId="445"/>
    <tableColumn id="5" xr3:uid="{0C9B5E78-05B7-4298-B67D-CF20E23209CC}" name="Note" dataDxfId="44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1C6A76D-A035-4AC8-B1D1-D27C0E89F9AE}" name="DB_BIAServizio" displayName="DB_BIAServizio" ref="B4:Z5" totalsRowShown="0" headerRowDxfId="492" dataDxfId="490" headerRowBorderDxfId="491" tableBorderDxfId="489" totalsRowBorderDxfId="488">
  <autoFilter ref="B4:Z5" xr:uid="{C1C6A76D-A035-4AC8-B1D1-D27C0E89F9AE}"/>
  <tableColumns count="25">
    <tableColumn id="1" xr3:uid="{464CD3FC-83B0-4347-92CF-BB41011BFC6B}" name="Codice Servizio" dataDxfId="487">
      <calculatedColumnFormula>'BIA Servizio'!$E$7</calculatedColumnFormula>
    </tableColumn>
    <tableColumn id="2" xr3:uid="{2B0312E2-C4ED-4210-8C97-950231ADB5A5}" name="Nome Servizio" dataDxfId="486">
      <calculatedColumnFormula>'BIA Servizio'!E8</calculatedColumnFormula>
    </tableColumn>
    <tableColumn id="3" xr3:uid="{FE9434E8-6A75-4405-B0BB-940051D0E0B0}" name="Identificativo Service Owner" dataDxfId="485">
      <calculatedColumnFormula>'BIA Servizio'!$E$9</calculatedColumnFormula>
    </tableColumn>
    <tableColumn id="4" xr3:uid="{F5751342-37C2-4C17-B66D-8E0C30085733}" name="Service Owner " dataDxfId="484">
      <calculatedColumnFormula>'BIA Servizio'!E10</calculatedColumnFormula>
    </tableColumn>
    <tableColumn id="5" xr3:uid="{C338DABD-7A07-40F2-8EB1-510649F9FE72}" name="Denominazione CdC" dataDxfId="483">
      <calculatedColumnFormula>'BIA Servizio'!E11</calculatedColumnFormula>
    </tableColumn>
    <tableColumn id="6" xr3:uid="{39D6F1FB-3A4E-457A-B24E-95658B3E9C89}" name="Responsabile CdC" dataDxfId="482">
      <calculatedColumnFormula>'BIA Servizio'!E12</calculatedColumnFormula>
    </tableColumn>
    <tableColumn id="7" xr3:uid="{8D82771A-B71A-4315-AF6E-F194735AFDBE}" name="RTO contrattualizzato" dataDxfId="481">
      <calculatedColumnFormula>'BIA Servizio'!E13</calculatedColumnFormula>
    </tableColumn>
    <tableColumn id="8" xr3:uid="{4A6192A4-7DC2-4018-9BF8-80138929CAEB}" name="Tipologia servizio" dataDxfId="480">
      <calculatedColumnFormula>'BIA Servizio'!E14</calculatedColumnFormula>
    </tableColumn>
    <tableColumn id="9" xr3:uid="{3060DAE0-2C3D-4DB3-9A0F-4FCDEF56427F}" name="Company Business Continuity Manager" dataDxfId="479">
      <calculatedColumnFormula>'BIA Servizio'!E15</calculatedColumnFormula>
    </tableColumn>
    <tableColumn id="10" xr3:uid="{302F6537-A033-4AF1-B2E7-029150EC49EA}" name="Responsabile Service Owner" dataDxfId="478">
      <calculatedColumnFormula>'BIA Servizio'!E16</calculatedColumnFormula>
    </tableColumn>
    <tableColumn id="11" xr3:uid="{897CD066-0232-4497-8894-C69B3CD6A98E}" name="Società di Riferimento" dataDxfId="477">
      <calculatedColumnFormula>'BIA Servizio'!N7</calculatedColumnFormula>
    </tableColumn>
    <tableColumn id="12" xr3:uid="{60D3A12D-1EDC-4682-A21A-2D4866432767}" name="Business Unit" dataDxfId="476">
      <calculatedColumnFormula>'BIA Servizio'!N8</calculatedColumnFormula>
    </tableColumn>
    <tableColumn id="13" xr3:uid="{D3306A8E-906E-4F6A-980B-18C0AD443A77}" name="Recovery Point Objective (minimo)" dataDxfId="475">
      <calculatedColumnFormula>'BIA Servizio'!N9</calculatedColumnFormula>
    </tableColumn>
    <tableColumn id="14" xr3:uid="{449271F0-A3C9-4665-9EF2-95871935B192}" name="Recovery Time Objective (minimo)" dataDxfId="474">
      <calculatedColumnFormula>'BIA Servizio'!N10</calculatedColumnFormula>
    </tableColumn>
    <tableColumn id="15" xr3:uid="{01FDCF91-069B-4A3C-92B8-36930BFCF73A}" name="Valutazione Impatto MAX" dataDxfId="473">
      <calculatedColumnFormula>'BIA Servizio'!N11</calculatedColumnFormula>
    </tableColumn>
    <tableColumn id="16" xr3:uid="{F2097071-02B5-4800-AEF0-346D95007522}" name="Copertura DR (se prevista totale o parziale)" dataDxfId="472">
      <calculatedColumnFormula>'BIA Servizio'!N12</calculatedColumnFormula>
    </tableColumn>
    <tableColumn id="17" xr3:uid="{29729C68-7DEE-45AD-B59E-DDEE70A1CF31}" name="RTO-DR Recovery Time Object" dataDxfId="471">
      <calculatedColumnFormula>'BIA Servizio'!N13</calculatedColumnFormula>
    </tableColumn>
    <tableColumn id="18" xr3:uid="{22D2BD26-A82A-48D7-99E7-5B3BFE408D17}" name="Maximu Tolebale Period of Disruption (MTPD)" dataDxfId="470">
      <calculatedColumnFormula>'BIA Servizio'!N14</calculatedColumnFormula>
    </tableColumn>
    <tableColumn id="19" xr3:uid="{2E3633B6-9DF6-412F-9FD3-7BD88446864E}" name="Service Owner alternativo" dataDxfId="469">
      <calculatedColumnFormula>'BIA Servizio'!N15</calculatedColumnFormula>
    </tableColumn>
    <tableColumn id="20" xr3:uid="{3A36DA6F-D94C-47DA-8FCC-DABD9F9124E8}" name="Executive Vice President di competenza" dataDxfId="468">
      <calculatedColumnFormula>'BIA Servizio'!N16</calculatedColumnFormula>
    </tableColumn>
    <tableColumn id="21" xr3:uid="{F7618419-D555-4F2E-959F-6F0F079ABD5F}" name="Valutazione finale" dataDxfId="467">
      <calculatedColumnFormula>'BIA Servizio'!E6</calculatedColumnFormula>
    </tableColumn>
    <tableColumn id="22" xr3:uid="{B829FD66-AEB4-4411-BE22-B54572837E20}" name="Descrizione e note del servizio" dataDxfId="466">
      <calculatedColumnFormula>'BIA Servizio'!B18</calculatedColumnFormula>
    </tableColumn>
    <tableColumn id="23" xr3:uid="{CD9FAF63-FB62-4A54-A579-071FF447ACC0}" name="CUT-OFF" dataDxfId="465">
      <calculatedColumnFormula>'BIA Servizio'!E20</calculatedColumnFormula>
    </tableColumn>
    <tableColumn id="24" xr3:uid="{C98660A6-0930-468D-B463-B1BBB91B18B8}" name="SCADENZE" dataDxfId="464">
      <calculatedColumnFormula>'BIA Servizio'!E21</calculatedColumnFormula>
    </tableColumn>
    <tableColumn id="25" xr3:uid="{47A12295-7C5C-4782-B701-8C9A50E76EFF}" name="PERIODO CON MINORE FLUSSO DI OPERATIVITA'" dataDxfId="463">
      <calculatedColumnFormula>'BIA Servizio'!E22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1B8920-9E83-4671-856A-1456F1D8123D}" name="DB_Impatti" displayName="DB_Impatti" ref="B3:M7" totalsRowShown="0" headerRowDxfId="438" dataDxfId="437">
  <autoFilter ref="B3:M7" xr:uid="{E647272B-B8FE-44C7-9F29-ED9F6CD326D5}"/>
  <tableColumns count="12">
    <tableColumn id="2" xr3:uid="{2CECDF8F-03D7-4C4C-9080-6D7535DD008C}" name="Codice Servizio" dataDxfId="436">
      <calculatedColumnFormula>'BIA Servizio'!$E$7</calculatedColumnFormula>
    </tableColumn>
    <tableColumn id="1" xr3:uid="{4F8BD0AF-FA99-453E-9A4A-D14665D0B0E9}" name="Tipologia Impatto" dataDxfId="435"/>
    <tableColumn id="3" xr3:uid="{1614F8D6-1CFC-4970-88FC-5AAFE600C522}" name="&lt; 4 ore" dataDxfId="434">
      <calculatedColumnFormula>'BIA Servizio'!E25</calculatedColumnFormula>
    </tableColumn>
    <tableColumn id="4" xr3:uid="{0E3D0054-5D95-4969-9C3F-E6E1C1A76213}" name="&lt; 8 ore" dataDxfId="433">
      <calculatedColumnFormula>'BIA Servizio'!F25</calculatedColumnFormula>
    </tableColumn>
    <tableColumn id="5" xr3:uid="{1199C4E6-79A7-49FD-AD63-3FFD1988B691}" name="&lt;24ore" dataDxfId="432">
      <calculatedColumnFormula>'BIA Servizio'!G25</calculatedColumnFormula>
    </tableColumn>
    <tableColumn id="6" xr3:uid="{9E96B7BF-D068-4389-BB17-42A04C74F221}" name="&lt;2giorni" dataDxfId="431">
      <calculatedColumnFormula>'BIA Servizio'!H25</calculatedColumnFormula>
    </tableColumn>
    <tableColumn id="7" xr3:uid="{5C33FEFC-6291-4C52-A246-70864B49CE41}" name="&lt;3giorni" dataDxfId="430">
      <calculatedColumnFormula>'BIA Servizio'!I25</calculatedColumnFormula>
    </tableColumn>
    <tableColumn id="8" xr3:uid="{10E55FF3-17D0-41B8-ABEF-FA93C1780001}" name="&lt;4giorni" dataDxfId="429">
      <calculatedColumnFormula>'BIA Servizio'!J25</calculatedColumnFormula>
    </tableColumn>
    <tableColumn id="9" xr3:uid="{FF7FE4F1-B7FD-49EC-A8A3-D164E16E61B5}" name="&lt;1settimana" dataDxfId="428">
      <calculatedColumnFormula>'BIA Servizio'!K25</calculatedColumnFormula>
    </tableColumn>
    <tableColumn id="10" xr3:uid="{EA9F99EE-25B5-4924-AFFB-DF01E7225569}" name="&lt;2settimane" dataDxfId="427">
      <calculatedColumnFormula>'BIA Servizio'!L25</calculatedColumnFormula>
    </tableColumn>
    <tableColumn id="11" xr3:uid="{B999B967-8146-4266-9A5F-1427B6858E18}" name="&lt;1 mese" dataDxfId="426">
      <calculatedColumnFormula>'BIA Servizio'!M25</calculatedColumnFormula>
    </tableColumn>
    <tableColumn id="12" xr3:uid="{D56E9092-EE78-4878-954F-0BCAE2E14522}" name="Note" dataDxfId="425">
      <calculatedColumnFormula>'BIA Servizio'!N25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DC9FBBB-6D4C-4A80-80E0-C8E2CD15CE58}" name="DB_Processi" displayName="DB_Processi" ref="B4:K11" totalsRowShown="0" headerRowDxfId="419" dataDxfId="417" headerRowBorderDxfId="418" tableBorderDxfId="416" totalsRowBorderDxfId="415">
  <autoFilter ref="B4:K11" xr:uid="{1DC9FBBB-6D4C-4A80-80E0-C8E2CD15CE58}"/>
  <tableColumns count="10">
    <tableColumn id="10" xr3:uid="{AD0BD468-00A4-4D6E-829D-24D7618A26AA}" name="Cod_Servizio" dataDxfId="414">
      <calculatedColumnFormula>'Appoggio_BIA Servizio'!$B$5</calculatedColumnFormula>
    </tableColumn>
    <tableColumn id="9" xr3:uid="{2012CFFD-B786-406D-B69E-BA799798F7C3}" name="ID_Processo" dataDxfId="413">
      <calculatedColumnFormula>'Appoggio_BIA Servizio'!$B$5 &amp; "_" &amp; "P" &amp; TEXT(ROW('Appoggio_BIA Servizio'!B5)-4, "00")</calculatedColumnFormula>
    </tableColumn>
    <tableColumn id="1" xr3:uid="{BA303F9F-BAA6-484C-86AF-AB8772230B5B}" name="Processo" dataDxfId="412"/>
    <tableColumn id="2" xr3:uid="{94CA607B-B515-4B41-A7BF-6D230D4FD171}" name="Descrizione" dataDxfId="411"/>
    <tableColumn id="3" xr3:uid="{6B52DB21-FDD3-42AC-92B4-19AB7A45021B}" name="Tipologia" dataDxfId="410"/>
    <tableColumn id="4" xr3:uid="{BC0DDBB8-920A-485A-A74D-C7D3C4080FC1}" name="Importanza" dataDxfId="409"/>
    <tableColumn id="5" xr3:uid="{1DE5A69F-71DC-47CC-B8BA-89A9FE464B45}" name="BC/DR" dataDxfId="408"/>
    <tableColumn id="6" xr3:uid="{16FF59E2-DADA-44DC-AA6E-82B5F29B2DB2}" name="RTO" dataDxfId="407"/>
    <tableColumn id="7" xr3:uid="{C1098D4C-3F5E-4E04-AD30-12CAFD308BAA}" name="Referenti" dataDxfId="406"/>
    <tableColumn id="8" xr3:uid="{38424DE8-FC66-432E-8548-7ACF90BD825C}" name="Note" dataDxfId="40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CB459C2-9346-43F8-9A79-F1B7BF9568DB}" name="DB_Siti" displayName="DB_Siti" ref="B4:G12" totalsRowShown="0" headerRowDxfId="404" dataDxfId="402" headerRowBorderDxfId="403" tableBorderDxfId="401" totalsRowBorderDxfId="400">
  <autoFilter ref="B4:G12" xr:uid="{3CB459C2-9346-43F8-9A79-F1B7BF9568DB}"/>
  <tableColumns count="6">
    <tableColumn id="7" xr3:uid="{7AFC7278-0FFF-4345-A65F-86DBA587214B}" name="Cod_Servizio" dataDxfId="399">
      <calculatedColumnFormula>'Appoggio_BIA Servizio'!$B$5</calculatedColumnFormula>
    </tableColumn>
    <tableColumn id="1" xr3:uid="{DC497741-097F-4AB8-A637-D65732A64FDE}" name="Tipologia Sito" dataDxfId="398"/>
    <tableColumn id="2" xr3:uid="{CC52981C-8531-4DE9-BD7E-BC26290BB4E3}" name="Città" dataDxfId="397"/>
    <tableColumn id="3" xr3:uid="{3EF63DF9-534D-4792-A250-289B2F41D10A}" name="Indirizzo" dataDxfId="396"/>
    <tableColumn id="4" xr3:uid="{84AB727E-E316-452C-84B0-1B9E085E4EB3}" name="Azienda" dataDxfId="395"/>
    <tableColumn id="5" xr3:uid="{2E0C4E8E-1505-4750-8F19-F1AEB5BE590C}" name="Note" dataDxfId="39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956397E-0B4A-4043-9628-EAB84FE7B21D}" name="DB_PersonaleC" displayName="DB_PersonaleC" ref="B6:J13" totalsRowShown="0" headerRowDxfId="393" dataDxfId="391" headerRowBorderDxfId="392" tableBorderDxfId="390" totalsRowBorderDxfId="389">
  <autoFilter ref="B6:J13" xr:uid="{5956397E-0B4A-4043-9628-EAB84FE7B21D}"/>
  <tableColumns count="9">
    <tableColumn id="10" xr3:uid="{4FF50926-2A2B-4442-A3AE-274712701B66}" name="Cod_Servizio" dataDxfId="388">
      <calculatedColumnFormula>'Appoggio_BIA Servizio'!$B$5</calculatedColumnFormula>
    </tableColumn>
    <tableColumn id="2" xr3:uid="{3F40527E-B4D7-40A8-B94F-3A4BD191F95F}" name="Processo" dataDxfId="387">
      <calculatedColumnFormula>IF(Processi!D5=0,"",Processi!D5)</calculatedColumnFormula>
    </tableColumn>
    <tableColumn id="3" xr3:uid="{6F33F874-3743-4A3F-BE3B-74D2B8F61E45}" name="N. Addetti Totali" dataDxfId="386"/>
    <tableColumn id="4" xr3:uid="{11692ED6-452F-47D5-914C-A6DA87FE1721}" name="N. Addetti Totali _x000a_(Dipendenti)" dataDxfId="385"/>
    <tableColumn id="5" xr3:uid="{D8D7F5E9-CC6D-444A-8409-C5F9EC1E1A1D}" name="N. Addetti Totali_x000a_(Cons. / Fabb. / Forn.)" dataDxfId="384"/>
    <tableColumn id="6" xr3:uid="{93B39914-5785-4A49-887B-FB957A3D7EE2}" name="N. Addetti Critici" dataDxfId="383"/>
    <tableColumn id="7" xr3:uid="{2A59466B-10A9-4FA1-BAF8-3A6FFB87F3EC}" name="N. Addetti Critici_x000a_(Dipendenti)" dataDxfId="382"/>
    <tableColumn id="8" xr3:uid="{171F4374-4E65-4A0E-9FF6-BB4A5E59052F}" name="N. Addetti Critici_x000a_(Cons. / Fabb. / Forn.)" dataDxfId="381"/>
    <tableColumn id="9" xr3:uid="{CE5E7D80-B51C-41BC-9C73-A17E98FB68D3}" name="Note" dataDxfId="38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ACF97B5-44ED-4960-BDE4-CD19C2EAC369}" name="DB_AddettiC" displayName="DB_AddettiC" ref="B5:J23" totalsRowShown="0" headerRowDxfId="378" dataDxfId="376" headerRowBorderDxfId="377" tableBorderDxfId="375" totalsRowBorderDxfId="374">
  <autoFilter ref="B5:J23" xr:uid="{4ACF97B5-44ED-4960-BDE4-CD19C2EAC369}"/>
  <tableColumns count="9">
    <tableColumn id="1" xr3:uid="{64C8B81C-3250-48C6-9821-EA6152263C16}" name="Cod_Servizio" dataDxfId="373">
      <calculatedColumnFormula>'Appoggio_BIA Servizio'!$B$5</calculatedColumnFormula>
    </tableColumn>
    <tableColumn id="2" xr3:uid="{94412ACA-03B5-4F97-838A-4B9A5A76E19B}" name="Tipologia Addetto" dataDxfId="372"/>
    <tableColumn id="5" xr3:uid="{4B7220A9-9F19-4401-8DDE-39202FBD4A2F}" name="Nome e Cognome" dataDxfId="371"/>
    <tableColumn id="7" xr3:uid="{37871437-C0B9-41A9-AB77-BCFBFBB24023}" name="Ruolo" dataDxfId="370"/>
    <tableColumn id="8" xr3:uid="{0B360DF1-9102-498D-A44D-C1974D2BDCE2}" name="Azienda" dataDxfId="369"/>
    <tableColumn id="9" xr3:uid="{2F45035C-CA31-45EF-B769-B0FD30ACFD7E}" name="Telefono" dataDxfId="368"/>
    <tableColumn id="10" xr3:uid="{54F83868-7762-4B88-97F9-DC2CC3393808}" name="e-mail" dataDxfId="367"/>
    <tableColumn id="14" xr3:uid="{D4688CFC-0EC0-4591-B49F-DAE87F3D343F}" name="Processi supportati" dataDxfId="366"/>
    <tableColumn id="11" xr3:uid="{BB0A0A7D-E63E-4810-8860-5CCB4C35506E}" name="I-key" dataDxfId="36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848CCE8-CE34-45D1-B4A1-D61754F634C9}" name="DB_Fornitori" displayName="DB_Fornitori" ref="B5:U13" totalsRowShown="0" headerRowDxfId="364" dataDxfId="362" headerRowBorderDxfId="363" tableBorderDxfId="361" totalsRowBorderDxfId="360">
  <autoFilter ref="B5:U13" xr:uid="{1848CCE8-CE34-45D1-B4A1-D61754F634C9}"/>
  <tableColumns count="20">
    <tableColumn id="1" xr3:uid="{EF8AA6B6-F3E7-4271-BB13-E44A4F5EDA57}" name="Cod_Servizio" dataDxfId="359">
      <calculatedColumnFormula>'Appoggio_BIA Servizio'!$B$5</calculatedColumnFormula>
    </tableColumn>
    <tableColumn id="2" xr3:uid="{A918D7B6-E358-4EEF-9B6F-48454073C477}" name="Nome Fornitore" dataDxfId="358"/>
    <tableColumn id="3" xr3:uid="{19F9ED80-04F2-4A2A-87AE-A3976D6BA84F}" name="Tipologia Fornitura" dataDxfId="357"/>
    <tableColumn id="4" xr3:uid="{EC80E936-0010-41CC-8E67-7188697A870F}" name="Descrizione Attività Fornitore" dataDxfId="356"/>
    <tableColumn id="17" xr3:uid="{E9AE6E18-49CD-4593-8FF8-C61355E59DA2}" name="Accesso ai sistemi" dataDxfId="355"/>
    <tableColumn id="21" xr3:uid="{76971B20-BF58-45EB-8FE2-94C545596A3A}" name="Accesso a dati e proprietà intellettuale (PI)" dataDxfId="354"/>
    <tableColumn id="22" xr3:uid="{A2ABB618-67BA-419D-90E5-516C724113DF}" name="Impatto interruzione (Criticità BC)" dataDxfId="353"/>
    <tableColumn id="23" xr3:uid="{5BBFCDDF-F211-4D5A-8D0B-1C8F4C215AB0}" name="Ripristino" dataDxfId="352"/>
    <tableColumn id="18" xr3:uid="{DD229809-0721-440B-8984-4F84EA6D06DF}" name="Governance IT" dataDxfId="351"/>
    <tableColumn id="5" xr3:uid="{D9C0E9A8-A70A-44C9-8DB7-1E1CB29967B8}" name="Classe di Rischio Cyber della fornitura" dataDxfId="350">
      <calculatedColumnFormula array="1">_xlfn.IFS(SUM(X6:AB6)=0,"",SUM(X6:AB6)&lt;=Parametri_BIA!S$6,Parametri_BIA!T$6,SUM(X6:AB6)&lt;=Parametri_BIA!S$7,Parametri_BIA!T$7,SUM(X6:AB6)&lt;=Parametri_BIA!S$8,Parametri_BIA!T$8)</calculatedColumnFormula>
    </tableColumn>
    <tableColumn id="7" xr3:uid="{BA8FBC88-DE36-47E5-AA05-C05D0123C4E5}" name="RTO" dataDxfId="349"/>
    <tableColumn id="8" xr3:uid="{F657F9A8-7CA2-4E52-AFCA-F3323967E128}" name="Fornitore unico" dataDxfId="348"/>
    <tableColumn id="9" xr3:uid="{F3D65E4F-9411-4198-9681-2F5CB1B11081}" name="Fornitore Alternativo/Soluzioni di continuità (se presenti)" dataDxfId="347"/>
    <tableColumn id="10" xr3:uid="{DD1DFBD4-9548-4613-BFEE-6FA80B0774A5}" name="Processi Supportati" dataDxfId="346"/>
    <tableColumn id="11" xr3:uid="{DF14221D-4BE2-48BE-9FAA-400F5C786496}" name="Referente interno al Team" dataDxfId="345"/>
    <tableColumn id="12" xr3:uid="{32446160-854C-4730-90C0-2B59402C25C6}" name="Rda di riferimento" dataDxfId="344"/>
    <tableColumn id="13" xr3:uid="{95E3B5B7-1922-4065-A07B-A0CBA3C668E7}" name="Nome Focal Point Fornitore" dataDxfId="343"/>
    <tableColumn id="14" xr3:uid="{BB7B3806-E4F1-442E-AFB5-EB28C6D44C28}" name="Nr di Telefono Focal Point Fornitore" dataDxfId="342"/>
    <tableColumn id="15" xr3:uid="{F8636FAB-E7D7-42A3-8435-DF4E283CD76E}" name="Mail Focal Point Fornitore" dataDxfId="341"/>
    <tableColumn id="16" xr3:uid="{0A818AD5-61DD-475B-9838-C9AAC5FF8D7E}" name="Note" dataDxfId="34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F43574A-AE05-4164-8C8B-2DE5F7AFE18D}" name="DB_Applicazioni" displayName="DB_Applicazioni" ref="B6:T24" totalsRowShown="0" headerRowDxfId="339" dataDxfId="337" headerRowBorderDxfId="338" tableBorderDxfId="336" totalsRowBorderDxfId="335">
  <autoFilter ref="B6:T24" xr:uid="{1F43574A-AE05-4164-8C8B-2DE5F7AFE18D}"/>
  <tableColumns count="19">
    <tableColumn id="19" xr3:uid="{0C6842CC-35FE-4CBD-AFCF-C27A3383F205}" name="Cod_Servizio" dataDxfId="334">
      <calculatedColumnFormula>'Appoggio_BIA Servizio'!$B$5</calculatedColumnFormula>
    </tableColumn>
    <tableColumn id="1" xr3:uid="{A191E720-0FF3-4209-84EA-BEAF48947963}" name="Nome Sistema IT" dataDxfId="333"/>
    <tableColumn id="2" xr3:uid="{710FBE05-17FD-41F7-BF68-CAFF57E59095}" name="Tipologia" dataDxfId="332"/>
    <tableColumn id="3" xr3:uid="{8DBFB01D-E6B6-49F6-8443-79E6A5DD7734}" name="Applicativo Oggetto del Servizio / a supporto" dataDxfId="331"/>
    <tableColumn id="4" xr3:uid="{969DB5CB-E8B4-497F-87EF-7DACA2A3D64A}" name="Criticità" dataDxfId="330"/>
    <tableColumn id="5" xr3:uid="{BB2E5FFE-52AC-4702-A99F-BDB93953ED3E}" name="Dati personali" dataDxfId="329"/>
    <tableColumn id="6" xr3:uid="{08B89713-ACD1-4B52-8EB7-835705CAA33F}" name="RTO" dataDxfId="328"/>
    <tableColumn id="7" xr3:uid="{C5834768-9C89-4827-8A47-A1B42418E6F5}" name="RPO" dataDxfId="327"/>
    <tableColumn id="8" xr3:uid="{74A62DC5-8403-4AC0-9C1F-B47A88915B97}" name="Dipendenze con altri sistemi IT" dataDxfId="326"/>
    <tableColumn id="9" xr3:uid="{8EE4348A-4E01-4D85-B585-637116331DB0}" name="Processi Supportati" dataDxfId="325"/>
    <tableColumn id="10" xr3:uid="{3A89B229-745B-44DF-88F6-8B3289739BB7}" name="Fornitore" dataDxfId="324"/>
    <tableColumn id="11" xr3:uid="{6065F730-0712-4F94-9E8B-1D0ABA7C5F77}" name="DR" dataDxfId="323"/>
    <tableColumn id="12" xr3:uid="{352CC203-FAD8-4731-A86E-4F0A3D509F8D}" name="Workaround" dataDxfId="322"/>
    <tableColumn id="13" xr3:uid="{072DF4E3-8991-4267-900E-2D04969C3A7A}" name="Esposto su Internet" dataDxfId="321"/>
    <tableColumn id="14" xr3:uid="{CFD9164C-B23B-428F-8A56-69F0C1A57038}" name="FQDN" dataDxfId="320"/>
    <tableColumn id="15" xr3:uid="{1D9F5C11-7BC7-4047-A36D-52DB81A31483}" name="Nome Referente Eng" dataDxfId="319"/>
    <tableColumn id="16" xr3:uid="{73143280-8084-41F7-B143-A84664C5211B}" name="Mail Referente Eng" dataDxfId="318"/>
    <tableColumn id="17" xr3:uid="{50771036-6E77-4508-8D9B-F08EFF1C9C3E}" name="Telefono Referente Eng" dataDxfId="317"/>
    <tableColumn id="18" xr3:uid="{B52D9C13-4927-4568-BA0F-118B1BE251CC}" name="Note" dataDxfId="31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62017E4-ADF5-4534-B5BC-A096C35AFD2E}" name="DB_Software" displayName="DB_Software" ref="B4:H7" totalsRowShown="0" headerRowDxfId="315" dataDxfId="313" headerRowBorderDxfId="314" tableBorderDxfId="312">
  <autoFilter ref="B4:H7" xr:uid="{962017E4-ADF5-4534-B5BC-A096C35AFD2E}"/>
  <tableColumns count="7">
    <tableColumn id="1" xr3:uid="{7232AEAD-D338-4B07-B37B-E38457871896}" name="Cod_Servizio" dataDxfId="311"/>
    <tableColumn id="2" xr3:uid="{C8AE00E9-C06A-47FC-B6A7-670EBF880AF4}" name="Applicazione SW necessaria all'operatività degli addetti (SW Locali)" dataDxfId="310"/>
    <tableColumn id="3" xr3:uid="{A7308383-D56F-45BE-9F6B-6703D7BC6DCB}" name="Tipologia" dataDxfId="309"/>
    <tableColumn id="4" xr3:uid="{300B829E-ED5D-4FB3-9976-8C224A29FE73}" name="Fornitore [Struttura adibita all'installazione del SW]" dataDxfId="308"/>
    <tableColumn id="5" xr3:uid="{FF92714A-1740-4E00-B55D-705FD657BAC5}" name="Criticità" dataDxfId="307"/>
    <tableColumn id="6" xr3:uid="{DFC2D5D3-DD3A-4412-BD39-932151121C6D}" name="Descrizione del SW" dataDxfId="306"/>
    <tableColumn id="7" xr3:uid="{BC66C0B1-9AD9-4AE9-AD08-FB9287269801}" name="Note" dataDxfId="30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96AD81B-19DF-43AF-9223-FCA52006243B}" name="DB_Doc" displayName="DB_Doc" ref="B4:H7" totalsRowShown="0" headerRowDxfId="304" dataDxfId="302" headerRowBorderDxfId="303" tableBorderDxfId="301" totalsRowBorderDxfId="300">
  <autoFilter ref="B4:H7" xr:uid="{996AD81B-19DF-43AF-9223-FCA52006243B}"/>
  <tableColumns count="7">
    <tableColumn id="1" xr3:uid="{C758757A-DBF2-4AFE-ABC8-7C66E123F82D}" name="Cod_Servizio" dataDxfId="299">
      <calculatedColumnFormula>'Appoggio_BIA Servizio'!$B$5</calculatedColumnFormula>
    </tableColumn>
    <tableColumn id="2" xr3:uid="{224B1391-B4F3-4C13-8AB2-19EDD0AB0C51}" name="Nome Documentazione" dataDxfId="298"/>
    <tableColumn id="3" xr3:uid="{E85AF0E5-694B-47FA-89B8-06C003905F64}" name="Criticità" dataDxfId="297"/>
    <tableColumn id="4" xr3:uid="{BFB2FFCD-8F3F-4DA5-81D4-20C74E4F90F3}" name="Luogo di conservazione" dataDxfId="296"/>
    <tableColumn id="5" xr3:uid="{ABFE81B2-A9C5-418A-8DE7-2DE06D7379C3}" name="Periodicità Backup" dataDxfId="295"/>
    <tableColumn id="6" xr3:uid="{8E958B5F-16D4-4221-96E2-D9413CC1A53B}" name="Razionali sulla disponibilità della documentazione" dataDxfId="294"/>
    <tableColumn id="7" xr3:uid="{E30CAF59-B15B-44CC-A483-0E7246BB32E4}" name="Note" dataDxfId="29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FED92A2-EA96-4F10-B57C-9F62E0386C57}" name="DB_Infrastruttura" displayName="DB_Infrastruttura" ref="B5:N12" totalsRowShown="0" headerRowDxfId="292" dataDxfId="290" headerRowBorderDxfId="291" tableBorderDxfId="289" totalsRowBorderDxfId="288">
  <autoFilter ref="B5:N12" xr:uid="{AFED92A2-EA96-4F10-B57C-9F62E0386C57}"/>
  <tableColumns count="13">
    <tableColumn id="1" xr3:uid="{71C747FE-0FDE-464D-8380-F25CD4E601DC}" name="Cod_Servizio" dataDxfId="287">
      <calculatedColumnFormula>'Appoggio_BIA Servizio'!$B$5</calculatedColumnFormula>
    </tableColumn>
    <tableColumn id="2" xr3:uid="{DB0F9D29-4083-41EE-8FC1-C03ECDBD49C4}" name="Infrastrutture necessarie all'erogazione del servizio" dataDxfId="286"/>
    <tableColumn id="3" xr3:uid="{C1178427-E196-46EE-8F5A-E4C513DC8B38}" name="Tipologia" dataDxfId="285"/>
    <tableColumn id="4" xr3:uid="{9C7BF778-8F4C-40F3-8C5A-770295FCD050}" name="Fornitore" dataDxfId="284"/>
    <tableColumn id="5" xr3:uid="{0DC5200A-76B1-4218-A12A-114710EA1935}" name="Criticità" dataDxfId="283"/>
    <tableColumn id="6" xr3:uid="{37771D7E-2600-4C1D-8072-F878F3C485C6}" name="RTO" dataDxfId="282"/>
    <tableColumn id="7" xr3:uid="{FC272949-1B41-433F-AF4B-7774D155B80C}" name="RPO" dataDxfId="281"/>
    <tableColumn id="8" xr3:uid="{2FA77058-F9AD-4D8E-B85D-AF8D356A021D}" name="DR" dataDxfId="280"/>
    <tableColumn id="9" xr3:uid="{C788C201-E803-41E6-A21E-950EC01E7EA0}" name="Razionali dell'Infrastruttura" dataDxfId="279"/>
    <tableColumn id="10" xr3:uid="{82BA3241-D164-4606-8990-9D8B49FD0AA9}" name="Nome Referente ENG" dataDxfId="278"/>
    <tableColumn id="11" xr3:uid="{AAEDD812-1217-4563-920C-95DA8AC562D0}" name="Mail Referente Eng" dataDxfId="277"/>
    <tableColumn id="12" xr3:uid="{7157D1F4-D50D-4AB4-BAA3-F6524D2146B0}" name="Telefono Referente Eng" dataDxfId="276"/>
    <tableColumn id="13" xr3:uid="{C8224A52-AD2D-4135-9080-9936C9B2AA63}" name="Note" dataDxfId="2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E3BBB5D-B0CB-4840-AAB7-B4341C20A90D}" name="DB_Dipendenze" displayName="DB_Dipendenze" ref="B5:L12" totalsRowShown="0" headerRowDxfId="274" dataDxfId="272" headerRowBorderDxfId="273" tableBorderDxfId="271" totalsRowBorderDxfId="270">
  <autoFilter ref="B5:L12" xr:uid="{8E3BBB5D-B0CB-4840-AAB7-B4341C20A90D}"/>
  <tableColumns count="11">
    <tableColumn id="1" xr3:uid="{8C8BAFFC-B5E7-4369-9913-B2EDBC1043EA}" name="Cod_Servizio" dataDxfId="269">
      <calculatedColumnFormula>'Appoggio_BIA Servizio'!$B$5</calculatedColumnFormula>
    </tableColumn>
    <tableColumn id="2" xr3:uid="{C75C5178-B6B9-46BA-8A56-2AE63F5B5A8B}" name="Servizio" dataDxfId="268"/>
    <tableColumn id="3" xr3:uid="{6294FE51-3B75-429F-B226-40555822A79A}" name="Unità Organizzativa" dataDxfId="267"/>
    <tableColumn id="4" xr3:uid="{7ADBF977-19C0-4C6B-859A-EEA88EF110B5}" name="Processo Coinvolto" dataDxfId="266"/>
    <tableColumn id="5" xr3:uid="{AF825045-774B-4BE5-AE20-7DC270F0E764}" name="Criticità" dataDxfId="265"/>
    <tableColumn id="6" xr3:uid="{29DAFFCD-4C46-430D-AF9E-553663B8FCA2}" name="Nome Referente Contatto Principale" dataDxfId="264"/>
    <tableColumn id="7" xr3:uid="{C32447E5-C5FA-48AD-9278-1EE118EE8E10}" name="Mail Referente Contatto Principale" dataDxfId="263"/>
    <tableColumn id="8" xr3:uid="{5CA77D7A-361F-4927-96F7-F01543602C48}" name="Telefono Referente Contatto Principale" dataDxfId="262"/>
    <tableColumn id="9" xr3:uid="{DEE5BBB6-F412-452E-B6B8-2C245843839F}" name="Modalità di contatto" dataDxfId="261"/>
    <tableColumn id="10" xr3:uid="{6945ABE7-8560-40ED-B297-BCA16856E328}" name="Frequenza del contatto" dataDxfId="260"/>
    <tableColumn id="11" xr3:uid="{0238C58A-7B1B-4D2C-9725-2C46ABB91F89}" name="Note" dataDxfId="25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C48BA62-69AC-4114-B5DE-40581006DF0C}" name="DB_Clienti" displayName="DB_Clienti" ref="B5:J7" totalsRowShown="0" headerRowDxfId="258" dataDxfId="256" headerRowBorderDxfId="257" tableBorderDxfId="255" totalsRowBorderDxfId="254">
  <autoFilter ref="B5:J7" xr:uid="{4C48BA62-69AC-4114-B5DE-40581006DF0C}"/>
  <tableColumns count="9">
    <tableColumn id="1" xr3:uid="{A18FD0AE-4D23-431B-93E3-044AF4356FC0}" name="Cod_Servizio" dataDxfId="253">
      <calculatedColumnFormula>'Appoggio_BIA Servizio'!$B$5</calculatedColumnFormula>
    </tableColumn>
    <tableColumn id="2" xr3:uid="{F34ED80D-3C8C-4331-A71E-A058757E5F6F}" name="Cliente" dataDxfId="252"/>
    <tableColumn id="3" xr3:uid="{D280119C-8171-4917-AE69-E10DB2E29606}" name="Nome e Cognome_AM" dataDxfId="251"/>
    <tableColumn id="5" xr3:uid="{12AB289F-52BC-4C89-8277-DA96553084F5}" name="Num di Telefono_AM" dataDxfId="250"/>
    <tableColumn id="6" xr3:uid="{CBBFA7C9-01CD-4B68-8245-AE627C886AE3}" name="Mail_AM" dataDxfId="249"/>
    <tableColumn id="7" xr3:uid="{907DA53F-7A9D-49FD-BA03-9F238C18F27B}" name="Nome e Cognome_RC" dataDxfId="248"/>
    <tableColumn id="9" xr3:uid="{3753A0E2-59FA-469E-897F-8C0C54FD838C}" name="Num di Telefono_RC" dataDxfId="247"/>
    <tableColumn id="10" xr3:uid="{6A48F703-B917-4C75-9054-A337BBE50B8F}" name="Mail_RC" dataDxfId="246"/>
    <tableColumn id="11" xr3:uid="{83FB67EF-F466-44CF-95D0-B6850D96192F}" name="Tempstica di segnalazione incidente" dataDxfId="24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6F8E873-15D9-4914-80DB-19910E9C0EF9}" name="DB_Scenari" displayName="DB_Scenari" ref="B4:K11" totalsRowShown="0" headerRowDxfId="244" dataDxfId="242" headerRowBorderDxfId="243" tableBorderDxfId="241" totalsRowBorderDxfId="240">
  <autoFilter ref="B4:K11" xr:uid="{66F8E873-15D9-4914-80DB-19910E9C0EF9}"/>
  <tableColumns count="10">
    <tableColumn id="1" xr3:uid="{0EB59B30-7F30-4B08-BED4-DA283C40A9DA}" name="Cod_Servizio" dataDxfId="239">
      <calculatedColumnFormula>'Appoggio_BIA Servizio'!$B$5</calculatedColumnFormula>
    </tableColumn>
    <tableColumn id="2" xr3:uid="{A0028623-929E-4B62-9BF2-7DED94E0C178}" name="Sigla" dataDxfId="238"/>
    <tableColumn id="3" xr3:uid="{552C1C62-1864-4A76-AAB6-9E1F04BF87EF}" name="Scenario" dataDxfId="237"/>
    <tableColumn id="4" xr3:uid="{94C9560C-890D-4394-9953-DAE97A78B469}" name="Applicabilità" dataDxfId="236"/>
    <tableColumn id="5" xr3:uid="{4E6BE524-B8F5-4FF1-A10E-225A026BBF6B}" name="Soluzione" dataDxfId="235"/>
    <tableColumn id="6" xr3:uid="{20C0E789-4FBE-4B52-B23E-56F81A1C86A4}" name="Sostenibilità" dataDxfId="234"/>
    <tableColumn id="7" xr3:uid="{FDDCB19F-0154-4376-B870-331B3C4D7FE6}" name="RTO" dataDxfId="233"/>
    <tableColumn id="8" xr3:uid="{3B563A93-BD5E-4D76-9CF0-D0A3AA86D6B0}" name="RPO" dataDxfId="232"/>
    <tableColumn id="9" xr3:uid="{F47BBCF7-E8D3-4644-8FA0-599C5A925185}" name="MTPoD" dataDxfId="231"/>
    <tableColumn id="10" xr3:uid="{CFD5DBEA-984A-4E4F-B807-3EA91A30332D}" name="Frequenza di accadimento" dataDxfId="23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8D3F0C3-DF1F-4BB6-BC21-4D94E07696EA}" name="DB_ImpattiRI" displayName="DB_ImpattiRI" ref="B5:M23" totalsRowShown="0" headerRowDxfId="185" dataDxfId="183" headerRowBorderDxfId="184" tableBorderDxfId="182" totalsRowBorderDxfId="181">
  <autoFilter ref="B5:M23" xr:uid="{58D3F0C3-DF1F-4BB6-BC21-4D94E07696EA}"/>
  <tableColumns count="12">
    <tableColumn id="1" xr3:uid="{45E24457-DEAC-4057-B991-1574C70AF808}" name="Cod_Servizio" dataDxfId="180">
      <calculatedColumnFormula>'Appoggio_BIA Servizio'!$B$5</calculatedColumnFormula>
    </tableColumn>
    <tableColumn id="2" xr3:uid="{02565EBF-71B2-48A2-8153-B0E441DF7341}" name="Nome Sistema IT" dataDxfId="179">
      <calculatedColumnFormula>IF(Applicazioni!C7=0,"Inserire nome dell'Applicativo in perimetro",Applicazioni!C7)</calculatedColumnFormula>
    </tableColumn>
    <tableColumn id="3" xr3:uid="{69829B58-8276-473C-85A3-0E48926397D3}" name="Impatto Economico_R" dataDxfId="178"/>
    <tableColumn id="4" xr3:uid="{DA62FE16-12AC-4533-B869-4C48F51159C4}" name="Impatto Reputazionale_R" dataDxfId="177"/>
    <tableColumn id="5" xr3:uid="{7CC0DB14-E1E3-4668-8025-5A6D54519DC0}" name="Impatto Normativo/Legale_R" dataDxfId="176"/>
    <tableColumn id="6" xr3:uid="{EA8097DA-70ED-4007-A461-011B17507046}" name="Impatto Operativo-R" dataDxfId="175"/>
    <tableColumn id="7" xr3:uid="{A7111F50-8D8D-4E17-9CF0-88B4F23971EC}" name="Note Valutazione Impatti Perdita di Riservatezza" dataDxfId="174"/>
    <tableColumn id="8" xr3:uid="{3DD4EE19-270F-4E19-8160-68F18F467138}" name="Impatto Economico_I" dataDxfId="173"/>
    <tableColumn id="9" xr3:uid="{A0DBDA67-FA39-4669-8007-0BD6B1039C34}" name="Impatto Reputazionale_I" dataDxfId="172"/>
    <tableColumn id="10" xr3:uid="{FE5F5E04-5451-4E8C-B320-3AD39D707BF1}" name="Impatto Normativo Legale_I" dataDxfId="171"/>
    <tableColumn id="11" xr3:uid="{80527E8C-69E0-41CF-A689-56F3BC72DA75}" name="Impatto Operativo_I" dataDxfId="170"/>
    <tableColumn id="12" xr3:uid="{06B5ADE3-7A95-4BF5-B431-5E7A320D4A14}" name="Note Valutazione Impatti Perdita di Integrità" dataDxfId="16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FE05BB3-6163-4786-9F1F-9E0E4BCAF89C}" name="DB_controlli" displayName="DB_controlli" ref="B5:BN140" totalsRowShown="0" headerRowDxfId="142" dataDxfId="141" tableBorderDxfId="140">
  <autoFilter ref="B5:BN140" xr:uid="{E7C136C7-D969-414C-95C0-E50573DB50E4}"/>
  <sortState xmlns:xlrd2="http://schemas.microsoft.com/office/spreadsheetml/2017/richdata2" ref="B6:BN140">
    <sortCondition ref="C5:C140"/>
  </sortState>
  <tableColumns count="65">
    <tableColumn id="51" xr3:uid="{3C7BC71A-33CD-4CD8-902B-998C468458C5}" name="Cod_Servizio" dataDxfId="139">
      <calculatedColumnFormula>'Appoggio_BIA Servizio'!$B$5</calculatedColumnFormula>
    </tableColumn>
    <tableColumn id="1" xr3:uid="{71BA6C1C-199E-4DE6-BBC2-0A356540014D}" name="Categoria " dataDxfId="138" dataCellStyle="Normale 3"/>
    <tableColumn id="2" xr3:uid="{CD749C28-DA93-47F3-B585-5EDCF2A3105B}" name="Nome Misura di Sicurezza" dataDxfId="137" dataCellStyle="Normale 3"/>
    <tableColumn id="3" xr3:uid="{BEA8E403-18A6-4C42-9184-DD625A20967C}" name="Declinazione Misura di Sicurezza" dataDxfId="136" dataCellStyle="Normale 3"/>
    <tableColumn id="4" xr3:uid="{3E20E9B3-C10F-41B6-B37E-7F7E94EC8167}" name="Tipologia Misura di Sicurezza" dataDxfId="135"/>
    <tableColumn id="5" xr3:uid="{010C9746-8C68-44BA-9E47-BB33BF9D99D3}" name="Mitigazione Probabilità" dataDxfId="134"/>
    <tableColumn id="6" xr3:uid="{07659988-C0AC-4D25-9FB9-2DE52D1AB192}" name="Mitigazione Impatto" dataDxfId="133"/>
    <tableColumn id="7" xr3:uid="{1AB1AE55-B91A-4627-8533-7ADDE9F93B76}" name="Ransomware" dataDxfId="132"/>
    <tableColumn id="8" xr3:uid="{DF11C8B5-A7B7-4707-8D45-1ADC56CDD516}" name="Malware" dataDxfId="131"/>
    <tableColumn id="53" xr3:uid="{1765F916-BE74-4195-BE4F-7AB75884839B}" name="Supply Chain Attacks" dataDxfId="130"/>
    <tableColumn id="54" xr3:uid="{9E20CEAC-BFF3-4833-9909-CE7A69D01CA5}" name="Minacce su dispositivi mobili" dataDxfId="129"/>
    <tableColumn id="9" xr3:uid="{6BCE65D3-4A99-455B-BA53-8F789EAEA0D8}" name="Social Engineering" dataDxfId="128"/>
    <tableColumn id="10" xr3:uid="{AEF92FCB-FD91-4999-9186-8FF09C62BC48}" name="Data Breach, Data Leakage &amp; Data Manipulation" dataDxfId="127"/>
    <tableColumn id="64" xr3:uid="{749FB1B2-DD56-47ED-94CA-D81A4F854F47}" name="Furto o smarrimento di dispositivi, storage o apparati aziendali" dataDxfId="126"/>
    <tableColumn id="63" xr3:uid="{0C91F8E4-542C-4C65-9C1E-F4455EA30D43}" name="Sfruttamento di vulnerabilità note e zero-day" dataDxfId="125"/>
    <tableColumn id="11" xr3:uid="{44694A35-C8DB-4B3A-A384-85F63DC13D38}" name="DDoS" dataDxfId="124"/>
    <tableColumn id="67" xr3:uid="{E1D94716-1CB8-4587-8683-A9E6C4BDDBE8}" name="Guasto HW e obsolescenza tecnologica" dataDxfId="123"/>
    <tableColumn id="66" xr3:uid="{2479E277-7341-4589-9EBC-070FD7DE1541}" name="Anomalia SW" dataDxfId="122"/>
    <tableColumn id="14" xr3:uid="{76335362-8468-420C-8D1B-A73AFEA7E332}" name="Furto e abuso di credenziali" dataDxfId="121"/>
    <tableColumn id="70" xr3:uid="{FCBBDAA3-CB9E-4FF1-924F-FEE371DECD1D}" name="Azioni improprie o errore umano" dataDxfId="120"/>
    <tableColumn id="69" xr3:uid="{302092C6-E307-47EC-A6DD-72BFEEAE6C4A}" name="Connessione non autorizzata alla rete fisica o wireless" dataDxfId="119"/>
    <tableColumn id="68" xr3:uid="{D3D5DC98-CAD9-410E-8828-8DB00A9A8011}" name="Mancato rispetto di normative o requisiti contrattuali di sicurezza" dataDxfId="118"/>
    <tableColumn id="62" xr3:uid="{99E02D0A-286B-41E8-8EDF-042145CA7F7A}" name="Evento naturale o meteorologico estremo" dataDxfId="117"/>
    <tableColumn id="61" xr3:uid="{730ECA75-87B8-42C5-916A-50572F3909B4}" name="Incendio o allagamento" dataDxfId="116"/>
    <tableColumn id="60" xr3:uid="{B4053274-439C-4745-B30F-7CA0863BA463}" name="Interruzione di utilities" dataDxfId="115"/>
    <tableColumn id="17" xr3:uid="{0BDAF7B0-5A7B-4560-BB1B-4EE8B2A0E6FD}" name="Vandalismo, sabotaggio fisico o provvedimento delle autorità" dataDxfId="114"/>
    <tableColumn id="72" xr3:uid="{17C8F1AE-4023-446A-8C1B-5F3969F09726}" name="Assenza di personale operativo e figure chiave" dataDxfId="113"/>
    <tableColumn id="74" xr3:uid="{D6F455D7-9BDE-4715-9AE7-FBDB8933344B}" name="Fault del fornitore" dataDxfId="112"/>
    <tableColumn id="71" xr3:uid="{029A4D0D-93B9-454D-8DE7-FB5AB4DC5E22}" name="Intrusione fraudolenta in uffici, locali tecnici o data center" dataDxfId="111"/>
    <tableColumn id="18" xr3:uid="{4F6C9061-8DD5-45E6-B126-BE3F9F8C48C7}" name="Privacy" dataDxfId="110" dataCellStyle="Normale 2 2"/>
    <tableColumn id="19" xr3:uid="{288C10D1-C871-4C7F-82AA-52F3FEC3103D}" name="Dati Particolari" dataDxfId="109" dataCellStyle="Normale 2 2"/>
    <tableColumn id="20" xr3:uid="{7ABFB543-B5DB-4DF0-9F44-3140CF7C03CE}" name="PSNC Relevant" dataDxfId="108" dataCellStyle="Normale 2 2"/>
    <tableColumn id="21" xr3:uid="{83155CCC-548C-4B86-B21E-F08F1F33299A}" name="NIS2 Relevant" dataDxfId="107" dataCellStyle="Normale 2 2"/>
    <tableColumn id="22" xr3:uid="{A2553AB2-20E3-4374-B272-9AC443AF661A}" name="DORA Relevant" dataDxfId="106" dataCellStyle="Normale 2 2"/>
    <tableColumn id="23" xr3:uid="{7EFCAB76-CD51-413F-B1B6-C7C358AF1EB0}" name="AI ACT Relevant" dataDxfId="105" dataCellStyle="Normale 2 2"/>
    <tableColumn id="24" xr3:uid="{26E5AD93-442F-4F25-BCA0-D58866FDA851}" name="Facility Ownership" dataDxfId="104" dataCellStyle="Normale 2 2"/>
    <tableColumn id="25" xr3:uid="{61B270F8-5C5F-407E-90BE-B4D934521221}" name="Prodotto con Elementi Digitali" dataDxfId="103" dataCellStyle="Normale 2 2"/>
    <tableColumn id="26" xr3:uid="{36995AA6-7335-44EF-A52E-CCFCA4DDF4EE}" name="SaaS Solution" dataDxfId="102" dataCellStyle="Normale 2 2"/>
    <tableColumn id="27" xr3:uid="{8C0C2EDC-5020-41A8-8FE5-36DBE7BBD6A9}" name="Infrastruttura Tecnologica" dataDxfId="101" dataCellStyle="Normale 2 2"/>
    <tableColumn id="28" xr3:uid="{B4177FE8-AC8F-431A-8306-903C3A30AF21}" name="Infrastructure Management" dataDxfId="100" dataCellStyle="Normale 2 2"/>
    <tableColumn id="29" xr3:uid="{ACB76B2A-1D20-4923-851E-C9D482BE4833}" name="Sviluppo Software" dataDxfId="99" dataCellStyle="Normale 2 2"/>
    <tableColumn id="30" xr3:uid="{71DAA43C-8A1A-49E6-947D-17BF88340CC0}" name="Ambiente di Sviluppo di Engineering" dataDxfId="98" dataCellStyle="Normale 2 2"/>
    <tableColumn id="31" xr3:uid="{131D76FE-F321-496C-96C7-1F9D4DD7D214}" name="Application Management" dataDxfId="97" dataCellStyle="Normale 2 2"/>
    <tableColumn id="32" xr3:uid="{CA8F7F9B-08C7-49B3-BF48-C88F2CB08AE7}" name="Risorse Engineering al di fuori dell'UE" dataDxfId="96" dataCellStyle="Normale 2 2"/>
    <tableColumn id="33" xr3:uid="{06DDE5A9-2E2A-404F-AA19-7A2B15AF8440}" name="Active Directory Domain" dataDxfId="95" dataCellStyle="Normale 2 2"/>
    <tableColumn id="34" xr3:uid="{2CF996A0-E3FC-4C2C-8ACE-38BBAB423C51}" name="IAM" dataDxfId="94" dataCellStyle="Normale 2 2"/>
    <tableColumn id="35" xr3:uid="{AEF429BD-2720-4A14-AEF4-5F588B828D5E}" name="VPN Client to Site" dataDxfId="93" dataCellStyle="Normale 2 2"/>
    <tableColumn id="36" xr3:uid="{B12912B3-6F7D-4B6A-9AB8-FA507FCC3FBC}" name="Network Services" dataDxfId="92" dataCellStyle="Normale 2 2"/>
    <tableColumn id="37" xr3:uid="{A3E9DA19-5F30-41B4-AC69-CECF05AB262A}" name="Servizi Esposti" dataDxfId="91" dataCellStyle="Normale 2 2"/>
    <tableColumn id="38" xr3:uid="{62E63D21-B7AB-4643-8F2A-D19171529356}" name="PdL Management" dataDxfId="90" dataCellStyle="Normale 2 2"/>
    <tableColumn id="39" xr3:uid="{12BBA643-5D84-4B8F-8342-BD41B27428AC}" name="Backup and Recovery" dataDxfId="89" dataCellStyle="Normale 2 2"/>
    <tableColumn id="40" xr3:uid="{8900D500-F687-4610-B18A-18C0A83716B1}" name="Security Operations Center" dataDxfId="88" dataCellStyle="Normale 2 2"/>
    <tableColumn id="41" xr3:uid="{88EDF3B1-F79B-468A-8970-D8E36206AA0F}" name="Security Incident Management" dataDxfId="87" dataCellStyle="Normale 2 2"/>
    <tableColumn id="42" xr3:uid="{8E70D395-D327-47F4-8C46-4BA58408D06B}" name="Business Continuity" dataDxfId="86" dataCellStyle="Normale 2 2"/>
    <tableColumn id="43" xr3:uid="{CC9FC253-8F80-4A04-9186-5144A032EE5F}" name="Disaster Recovery" dataDxfId="85" dataCellStyle="Normale 2 2"/>
    <tableColumn id="44" xr3:uid="{37C54433-4DF3-4769-927B-603B6A7D0B38}" name="Locali di Lavoro Critici" dataDxfId="84" dataCellStyle="Normale 2 2"/>
    <tableColumn id="45" xr3:uid="{A55356CD-CE4D-46FB-B12E-6AC4B894AE07}" name="Counting" dataDxfId="83">
      <calculatedColumnFormula>SUM(IF(AE$3="Sì",AE6,0),IF(AF$3="Sì",AF6,0),IF(AG$3="Sì",AG6,0),IF(AH$3="Sì",AH6,0),IF(AI$3="Sì",AI6,0),IF(AJ$3="Sì",AJ6,0),IF(AK$3="Sì",AK6,0),IF(AL$3="Sì",AL6,0),IF(AM$3="Sì",AM6,0),IF(AN$3="Sì",AN6,0),IF(AO$3="Sì",AO6,0),IF(AP$3="Sì",AP6,0),IF(AQ$3="Sì",AQ6,0),IF(AR$3="Sì",AR6,0),IF(AS$3="Sì",AS6,0),IF(AT$3="Sì",AT6,0),IF(AU$3="Sì",AU6,0),IF(AV$3="Sì",AV6,0),IF(AW$3="Sì",AW6,0),IF(AX$3="Sì",AX6,0),IF(AY$3="Sì",AY6,0),IF(AZ$3="Sì",AZ6,0),IF(BA$3="Sì",BA6,0),IF(BB$3="Sì",BB6,0),IF(BC$3="Sì",BC6,0),IF(BD$3="Sì",BD6,0),IF(BE$3="Sì",BE6,0))</calculatedColumnFormula>
    </tableColumn>
    <tableColumn id="46" xr3:uid="{D92BE8D6-BD69-4C11-805E-541B843CECD3}" name="Applicabilità Declinazione Operativa" dataDxfId="82">
      <calculatedColumnFormula>IF(BF6&gt;=1,"Applicabile","Non Applicabile")</calculatedColumnFormula>
    </tableColumn>
    <tableColumn id="47" xr3:uid="{9C368E1C-1208-4334-A948-1BBCCBA63C8C}" name="Descrizione KPI" dataDxfId="81"/>
    <tableColumn id="48" xr3:uid="{738F8DB4-2FDD-417A-A2C3-80872C4B90A8}" name="Valore KPI" dataDxfId="80"/>
    <tableColumn id="49" xr3:uid="{4307FDF2-AD3F-45C9-9BD2-2EA2C456B28A}" name="Livello di Implementazione Declinazione Operativa" dataDxfId="79" dataCellStyle="Normale 2 2"/>
    <tableColumn id="50" xr3:uid="{FECB8EA2-0DBA-480E-B953-B50244849C43}" name="Note" dataDxfId="78" dataCellStyle="Normale 2 2"/>
    <tableColumn id="55" xr3:uid="{65F89721-D19D-4862-9B26-FCB5653EB257}" name="ISO 27001" dataDxfId="77" dataCellStyle="Normale 2 2"/>
    <tableColumn id="56" xr3:uid="{B5DE5437-EED1-4672-B4C0-B580D87B2D76}" name="Reg UE" dataDxfId="76" dataCellStyle="Normale 2 2"/>
    <tableColumn id="57" xr3:uid="{D3244E13-4277-4D08-A47C-E6F0FC19BD0A}" name="NIS2 ACN" dataDxfId="75" dataCellStyle="Normale 2 2"/>
  </tableColumns>
  <tableStyleInfo name="TableStyleMedium2" showFirstColumn="0" showLastColumn="0" showRowStripes="0"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C0233EA-D246-404A-A3FE-F022F2F7CB19}" name="DB_Risk" displayName="DB_Risk" ref="B7:AL29" totalsRowShown="0" headerRowDxfId="53" dataDxfId="52" tableBorderDxfId="51">
  <autoFilter ref="B7:AL29" xr:uid="{CC0233EA-D246-404A-A3FE-F022F2F7CB19}"/>
  <tableColumns count="37">
    <tableColumn id="1" xr3:uid="{1021AE82-7F5E-411B-88A6-17F3AA9008C1}" name="Cod_Servizio" dataDxfId="50">
      <calculatedColumnFormula>'Appoggio_BIA Servizio'!$B$5</calculatedColumnFormula>
    </tableColumn>
    <tableColumn id="36" xr3:uid="{17766264-ED9F-49E2-9BA1-925EA6EC22D1}" name="Categoria Rischio" dataDxfId="49"/>
    <tableColumn id="35" xr3:uid="{AC51A4FE-2141-4264-8BD8-7AD76B239614}" name="Categoria Minaccia" dataDxfId="48"/>
    <tableColumn id="2" xr3:uid="{D5EB3E19-7619-4216-BFF7-6D5A9ABE431E}" name="Nome Minaccia" dataDxfId="47"/>
    <tableColumn id="3" xr3:uid="{58BD0DE2-BE0B-43E7-B7EE-3578ACE0127F}" name="Descrizione Minaccia" dataDxfId="46"/>
    <tableColumn id="4" xr3:uid="{D32E53F0-23FB-4349-BC8E-A1C66F2342A0}" name="Natura" dataDxfId="45"/>
    <tableColumn id="5" xr3:uid="{6D61C04B-E235-485B-B7DE-C538B7CBEE54}" name="Attore" dataDxfId="44"/>
    <tableColumn id="6" xr3:uid="{786BF8E8-1719-4E02-8C9A-1C65E7608F28}" name="Fonti valutazione - Probabilità inerente esterna" dataDxfId="43"/>
    <tableColumn id="7" xr3:uid="{4C8C1363-FA83-48C2-BF5F-EB706AC4FFD8}" name="Probabilità inerente esterna" dataDxfId="42"/>
    <tableColumn id="8" xr3:uid="{2C1842FD-E455-4821-9479-2D2BBDE3A8FC}" name="Razionale - Probabilità inerente esterna" dataDxfId="41"/>
    <tableColumn id="9" xr3:uid="{E626FECD-38F9-4564-A1A3-2635181E234A}" name="Probabilità inerente interna" dataDxfId="40">
      <calculatedColumnFormula>INDEX(Parametri_RA!B$8:B$12,MATCH('Risk Register'!R8,Parametri_RA!C$8:C$12,0))</calculatedColumnFormula>
    </tableColumn>
    <tableColumn id="37" xr3:uid="{19868A8C-B010-45A8-9D71-2C3CABEFC70E}" name="Razionale - Probabilità inerente interna" dataDxfId="39"/>
    <tableColumn id="10" xr3:uid="{3E26C07C-7CF9-4820-996B-103DC5A17863}" name="R" dataDxfId="38"/>
    <tableColumn id="11" xr3:uid="{973E331E-B946-441A-8E9F-70118B979EB5}" name="I" dataDxfId="37"/>
    <tableColumn id="12" xr3:uid="{F9B61B32-8970-4C2E-AC00-FEA418EAABD8}" name="D" dataDxfId="36"/>
    <tableColumn id="13" xr3:uid="{F4E48F38-C983-4476-85AE-C18A2F60CA34}" name="Val prob ine est" dataDxfId="35">
      <calculatedColumnFormula>IFERROR(INDEX(Parametri_RA!$B$40:$B$44,MATCH('Risk Register'!J8,Parametri_RA!$C$40:$C$44,0)),"")</calculatedColumnFormula>
    </tableColumn>
    <tableColumn id="14" xr3:uid="{9D386F58-7B88-471F-AFCE-A9440C862712}" name="Val prob ine int" dataDxfId="34"/>
    <tableColumn id="15" xr3:uid="{51C3F3D6-E23F-4316-BD9A-8A525C4AF833}" name="Val Imp In R" dataDxfId="33">
      <calculatedColumnFormula>IFERROR(IF('Risk Register'!N8="X",MAX('Impatto RI'!S:S),""),"")</calculatedColumnFormula>
    </tableColumn>
    <tableColumn id="16" xr3:uid="{22F222B4-6BD5-4C1C-B4BB-8897DD0E5EC3}" name="Val Imp In I" dataDxfId="32">
      <calculatedColumnFormula>IFERROR(IF('Risk Register'!O8="X",MAX('Impatto RI'!X:X),""),"")</calculatedColumnFormula>
    </tableColumn>
    <tableColumn id="17" xr3:uid="{90A41D0B-5B37-44F0-92DB-FB651B4A0068}" name="Val Imp In D" dataDxfId="31">
      <calculatedColumnFormula>IFERROR(IF(P8="X",INDEX(Parametri_BIA!$F$6:$F$10,MATCH('BIA Servizio'!$N$11,Parametri_BIA!$E$6:$E$10,0)),""),"")</calculatedColumnFormula>
    </tableColumn>
    <tableColumn id="18" xr3:uid="{CD332F20-4F50-4BAD-BAE8-8CB187A5FF6E}" name="Val Imp In Max" dataDxfId="30">
      <calculatedColumnFormula>IFERROR(MAX(S8:U8),"")</calculatedColumnFormula>
    </tableColumn>
    <tableColumn id="19" xr3:uid="{3BDAB751-577E-47F7-824D-F3DAD0440343}" name="Impatto Inerente R" dataDxfId="29">
      <calculatedColumnFormula>IFERROR(INDEX(Parametri_RA!$C:$C,MATCH('Risk Register'!S8,Parametri_RA!$B:$B,0)),"")</calculatedColumnFormula>
    </tableColumn>
    <tableColumn id="20" xr3:uid="{ACAD3EE4-7030-496E-93E4-7DD8490ABF22}" name="Impatto Inerente I" dataDxfId="28">
      <calculatedColumnFormula>IFERROR(INDEX(Parametri_RA!$C:$C,MATCH('Risk Register'!T8,Parametri_RA!$B:$B,0)),"")</calculatedColumnFormula>
    </tableColumn>
    <tableColumn id="21" xr3:uid="{20543C59-B96A-4DE9-A39E-01D51E29F07C}" name="Impatto Inerente D" dataDxfId="27">
      <calculatedColumnFormula>IFERROR(INDEX(Parametri_RA!$C:$C,MATCH('Risk Register'!U8,Parametri_RA!$B:$B,0)),"")</calculatedColumnFormula>
    </tableColumn>
    <tableColumn id="22" xr3:uid="{461F8454-6276-4244-9AD4-93BC4CE35014}" name="Impatto Inerente MAX" dataDxfId="26">
      <calculatedColumnFormula>IFERROR(INDEX(Parametri_RA!$C:$C,MATCH('Risk Register'!V8,Parametri_RA!$B:$B,0)),"")</calculatedColumnFormula>
    </tableColumn>
    <tableColumn id="23" xr3:uid="{E9E81598-E2BF-4793-9737-18AB36BABD61}" name="Rischio Inerente" dataDxfId="25">
      <calculatedColumnFormula>IFERROR(INDEX(Parametri_RA!B$55:H$61,MATCH('Risk Register'!V8,Parametri_RA!B$55:B$61,0),MATCH('Risk Register'!R8,Parametri_RA!B$61:H$61,0)),"")</calculatedColumnFormula>
    </tableColumn>
    <tableColumn id="24" xr3:uid="{57BB373B-15CB-4C62-BAF7-01EDEA18AB93}" name="Val Mitigazione Probab" dataDxfId="24">
      <calculatedColumnFormula>IFERROR(SUM(OFFSET('Valutazione controlli'!BR:BR,0,ROW()-8))/SUMIFS(OFFSET('Valutazione controlli'!I:I,0,ROW()-8),'Valutazione controlli'!BG:BG,"Applicabile",'Valutazione controlli'!G:G,"X"),"")</calculatedColumnFormula>
    </tableColumn>
    <tableColumn id="25" xr3:uid="{D6E5AC12-1586-421B-ADA5-FB7152975F6B}" name="Val Mitigazione Probab*" dataDxfId="23">
      <calculatedColumnFormula>IFERROR(IF(AND(AB8&lt;=Parametri_RA!F$47,AB8&gt;Parametri_RA!F$48),Parametri_RA!F$46,IF(AND(AB8&lt;=Parametri_RA!E$47,AB8&gt;Parametri_RA!E$48),Parametri_RA!E$46,Parametri_RA!D$46)),"")</calculatedColumnFormula>
    </tableColumn>
    <tableColumn id="26" xr3:uid="{1C80C1AD-4731-419A-A42A-F0BDCBE5E730}" name="Liv Mitigazione Probabilità" dataDxfId="22">
      <calculatedColumnFormula>INDEX(Parametri_RA!B:B,MATCH('Risk Register'!AC8,Parametri_RA!D:D,0))</calculatedColumnFormula>
    </tableColumn>
    <tableColumn id="27" xr3:uid="{BE55E71F-7E33-489C-87B0-9B9F6B85284F}" name="Val Mitigazione Impatto" dataDxfId="21">
      <calculatedColumnFormula>IFERROR(SUM(OFFSET('Valutazione controlli'!CN:CN,0,ROW()-8))/SUMIFS(OFFSET('Valutazione controlli'!I:I,0,ROW()-8),'Valutazione controlli'!BG:BG,"Applicabile",'Valutazione controlli'!H:H,"X"),"")</calculatedColumnFormula>
    </tableColumn>
    <tableColumn id="28" xr3:uid="{07F991E8-5403-44C9-A1BD-B0227346CB03}" name="Val Mitigazione Impatto*" dataDxfId="20">
      <calculatedColumnFormula>IFERROR(IF(AND(AE8&lt;=Parametri_RA!F$32,AE8&gt;Parametri_RA!F$33),Parametri_RA!F$31,IF(AND(AE8&lt;=Parametri_RA!E$32,AE8&gt;Parametri_RA!E$33),Parametri_RA!E$31,Parametri_RA!D$31)),"")</calculatedColumnFormula>
    </tableColumn>
    <tableColumn id="29" xr3:uid="{F13FBE69-FA31-4C9C-B7FE-E5843A3C6FEB}" name="Liv Mitigazione Impatto" dataDxfId="19">
      <calculatedColumnFormula>INDEX(Parametri_RA!B:B,MATCH('Risk Register'!AF8,Parametri_RA!D:D,0))</calculatedColumnFormula>
    </tableColumn>
    <tableColumn id="30" xr3:uid="{FBD2FCE3-163D-45A8-A04E-1937999FF3DC}" name="Probabilità residua" dataDxfId="18">
      <calculatedColumnFormula>IFERROR(INDEX(Parametri_RA!B$40:F$46,MATCH('Risk Register'!R8,Parametri_RA!B$40:B$46,0),MATCH('Risk Register'!AC8,Parametri_RA!B$46:F$46,0)),"")</calculatedColumnFormula>
    </tableColumn>
    <tableColumn id="31" xr3:uid="{81515E44-1C32-4D15-B255-F050AEC7A4DE}" name="Val Probabilità residua" dataDxfId="17">
      <calculatedColumnFormula>IFERROR(INDEX(Parametri_RA!$B$40:$B$44,MATCH('Risk Register'!AH8,Parametri_RA!$C$40:$C$44,0)),"")</calculatedColumnFormula>
    </tableColumn>
    <tableColumn id="32" xr3:uid="{1AB79AA1-10A2-4119-807E-2FAA5A7942FB}" name="Impatto Residuo" dataDxfId="16">
      <calculatedColumnFormula>IFERROR(INDEX(Parametri_RA!B$25:F$31,MATCH('Risk Register'!V8,Parametri_RA!B$25:B$31,0),MATCH('Risk Register'!AF8,Parametri_RA!B$31:F$31,0)),"")</calculatedColumnFormula>
    </tableColumn>
    <tableColumn id="33" xr3:uid="{8FEB0ACB-9AB6-44FE-95C8-C09C3649B221}" name="Val Impatto Residuo" dataDxfId="15">
      <calculatedColumnFormula>IFERROR(INDEX(Parametri_RA!B:B,MATCH('Risk Register'!AJ8,Parametri_RA!C:C,0)),"")</calculatedColumnFormula>
    </tableColumn>
    <tableColumn id="34" xr3:uid="{17FCF68B-D101-44D8-8A56-9530562E7413}" name="Rischio Residuo" dataDxfId="14">
      <calculatedColumnFormula>IFERROR(INDEX(Parametri_RA!B$55:H$61,MATCH('Risk Register'!AK8,Parametri_RA!B$55:B$61,0),MATCH('Risk Register'!AI8,Parametri_RA!B$61:H$61,0)),"")</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37C3560-5E33-4044-ACF7-D5C0D23CAEB8}" name="Table1821" displayName="Table1821" ref="Y5:AA41" totalsRowShown="0" headerRowDxfId="10" dataDxfId="8" headerRowBorderDxfId="9" tableBorderDxfId="7" totalsRowBorderDxfId="6">
  <autoFilter ref="Y5:AA41" xr:uid="{B37C3560-5E33-4044-ACF7-D5C0D23CAEB8}"/>
  <tableColumns count="3">
    <tableColumn id="1" xr3:uid="{C2FF7F09-8DB5-4C7E-A5CA-A259AA1EF947}" name="Scenario" dataDxfId="5"/>
    <tableColumn id="2" xr3:uid="{B80B8905-06A3-4B0F-920A-EE79DD1F3416}" name="Opzioni" dataDxfId="4"/>
    <tableColumn id="3" xr3:uid="{07F14366-9949-4351-BF9E-732FE34B0C57}" name="Descrizione" dataDxfId="3"/>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mailto:pietro.messana@eng.it" TargetMode="External"/><Relationship Id="rId1" Type="http://schemas.openxmlformats.org/officeDocument/2006/relationships/hyperlink" Target="mailto:pietro.messana@eng.it" TargetMode="External"/><Relationship Id="rId4"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22.x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theme="0" tint="-0.34998626667073579"/>
  </sheetPr>
  <dimension ref="A1:H42"/>
  <sheetViews>
    <sheetView showGridLines="0" zoomScaleNormal="100" zoomScalePageLayoutView="85" workbookViewId="0">
      <selection activeCell="B15" sqref="B15:E15"/>
    </sheetView>
  </sheetViews>
  <sheetFormatPr defaultColWidth="0" defaultRowHeight="14.5" zeroHeight="1" x14ac:dyDescent="0.45"/>
  <cols>
    <col min="1" max="1" width="5.36328125" style="12" customWidth="1"/>
    <col min="2" max="2" width="12.54296875" style="15" customWidth="1"/>
    <col min="3" max="3" width="39.453125" style="10" customWidth="1"/>
    <col min="4" max="4" width="5.453125" style="10" bestFit="1" customWidth="1"/>
    <col min="5" max="5" width="14.36328125" style="10" customWidth="1"/>
    <col min="6" max="6" width="5.54296875" style="12" customWidth="1"/>
    <col min="7" max="7" width="10.453125" style="12" hidden="1" customWidth="1"/>
    <col min="8" max="8" width="8.6328125" style="165" hidden="1" customWidth="1"/>
    <col min="9" max="16384" width="8.6328125" style="10" hidden="1"/>
  </cols>
  <sheetData>
    <row r="1" spans="1:7" ht="36" customHeight="1" x14ac:dyDescent="0.45">
      <c r="A1" s="162" t="s">
        <v>0</v>
      </c>
      <c r="B1" s="163"/>
      <c r="C1" s="164"/>
      <c r="D1" s="164"/>
      <c r="E1" s="164"/>
      <c r="F1" s="162" t="s">
        <v>1</v>
      </c>
      <c r="G1" s="162" t="s">
        <v>2</v>
      </c>
    </row>
    <row r="2" spans="1:7" x14ac:dyDescent="0.45">
      <c r="A2" s="162"/>
      <c r="B2" s="166"/>
      <c r="C2" s="167"/>
      <c r="D2" s="167"/>
      <c r="E2" s="168"/>
      <c r="F2" s="162"/>
      <c r="G2" s="162"/>
    </row>
    <row r="3" spans="1:7" ht="49.4" customHeight="1" x14ac:dyDescent="0.45">
      <c r="A3" s="162"/>
      <c r="B3" s="423" t="s">
        <v>3</v>
      </c>
      <c r="C3" s="413"/>
      <c r="D3" s="413"/>
      <c r="E3" s="414"/>
      <c r="F3" s="162"/>
      <c r="G3" s="162" t="s">
        <v>4</v>
      </c>
    </row>
    <row r="4" spans="1:7" ht="8.75" customHeight="1" x14ac:dyDescent="0.45">
      <c r="A4" s="162"/>
      <c r="B4" s="181"/>
      <c r="C4" s="182"/>
      <c r="D4" s="182"/>
      <c r="E4" s="183"/>
      <c r="F4" s="162"/>
      <c r="G4" s="162"/>
    </row>
    <row r="5" spans="1:7" ht="17" customHeight="1" x14ac:dyDescent="0.45">
      <c r="A5" s="162"/>
      <c r="B5" s="424" t="str">
        <f>IF('BIA Servizio'!E8="","",'BIA Servizio'!E8)</f>
        <v/>
      </c>
      <c r="C5" s="424"/>
      <c r="D5" s="424"/>
      <c r="E5" s="424"/>
      <c r="F5" s="162"/>
      <c r="G5" s="162" t="s">
        <v>5</v>
      </c>
    </row>
    <row r="6" spans="1:7" x14ac:dyDescent="0.45">
      <c r="A6" s="162"/>
      <c r="B6" s="425"/>
      <c r="C6" s="425"/>
      <c r="D6" s="425"/>
      <c r="E6" s="425"/>
      <c r="F6" s="162" t="s">
        <v>6</v>
      </c>
      <c r="G6" s="162" t="s">
        <v>7</v>
      </c>
    </row>
    <row r="7" spans="1:7" x14ac:dyDescent="0.45">
      <c r="A7" s="169"/>
      <c r="B7" s="170" t="s">
        <v>8</v>
      </c>
      <c r="C7" s="175"/>
      <c r="D7" s="176" t="s">
        <v>9</v>
      </c>
      <c r="E7" s="177"/>
      <c r="F7" s="171"/>
      <c r="G7" s="162" t="s">
        <v>5</v>
      </c>
    </row>
    <row r="8" spans="1:7" x14ac:dyDescent="0.45">
      <c r="A8" s="169" t="s">
        <v>10</v>
      </c>
      <c r="B8" s="172"/>
      <c r="C8" s="415" t="s">
        <v>11</v>
      </c>
      <c r="D8" s="415"/>
      <c r="E8" s="415"/>
      <c r="F8" s="171" t="s">
        <v>12</v>
      </c>
      <c r="G8" s="173"/>
    </row>
    <row r="9" spans="1:7" x14ac:dyDescent="0.45">
      <c r="A9" s="169"/>
      <c r="B9" s="411"/>
      <c r="C9" s="411"/>
      <c r="D9" s="411"/>
      <c r="E9" s="411"/>
      <c r="F9" s="171" t="s">
        <v>13</v>
      </c>
      <c r="G9" s="173" t="s">
        <v>14</v>
      </c>
    </row>
    <row r="10" spans="1:7" x14ac:dyDescent="0.45">
      <c r="A10" s="169" t="s">
        <v>15</v>
      </c>
      <c r="B10" s="170" t="s">
        <v>16</v>
      </c>
      <c r="C10" s="175"/>
      <c r="D10" s="176" t="s">
        <v>9</v>
      </c>
      <c r="E10" s="177"/>
      <c r="F10" s="171" t="s">
        <v>17</v>
      </c>
      <c r="G10" s="173" t="s">
        <v>18</v>
      </c>
    </row>
    <row r="11" spans="1:7" x14ac:dyDescent="0.45">
      <c r="A11" s="169" t="s">
        <v>19</v>
      </c>
      <c r="B11" s="172"/>
      <c r="C11" s="415" t="s">
        <v>20</v>
      </c>
      <c r="D11" s="415"/>
      <c r="E11" s="415"/>
      <c r="F11" s="171"/>
      <c r="G11" s="162" t="s">
        <v>21</v>
      </c>
    </row>
    <row r="12" spans="1:7" x14ac:dyDescent="0.45">
      <c r="A12" s="169" t="s">
        <v>22</v>
      </c>
      <c r="B12" s="411"/>
      <c r="C12" s="411"/>
      <c r="D12" s="411"/>
      <c r="E12" s="411"/>
      <c r="F12" s="171"/>
      <c r="G12" s="162" t="s">
        <v>23</v>
      </c>
    </row>
    <row r="13" spans="1:7" x14ac:dyDescent="0.45">
      <c r="A13" s="169" t="s">
        <v>24</v>
      </c>
      <c r="B13" s="170" t="s">
        <v>25</v>
      </c>
      <c r="C13" s="175"/>
      <c r="D13" s="176" t="s">
        <v>9</v>
      </c>
      <c r="E13" s="177"/>
      <c r="F13" s="171" t="s">
        <v>26</v>
      </c>
      <c r="G13" s="162"/>
    </row>
    <row r="14" spans="1:7" x14ac:dyDescent="0.45">
      <c r="A14" s="169" t="s">
        <v>27</v>
      </c>
      <c r="B14" s="172"/>
      <c r="C14" s="415" t="s">
        <v>28</v>
      </c>
      <c r="D14" s="415"/>
      <c r="E14" s="415"/>
      <c r="F14" s="171"/>
      <c r="G14" s="173" t="s">
        <v>5</v>
      </c>
    </row>
    <row r="15" spans="1:7" x14ac:dyDescent="0.45">
      <c r="A15" s="169"/>
      <c r="B15" s="411"/>
      <c r="C15" s="411"/>
      <c r="D15" s="411"/>
      <c r="E15" s="411"/>
      <c r="F15" s="171" t="s">
        <v>29</v>
      </c>
      <c r="G15" s="173" t="s">
        <v>30</v>
      </c>
    </row>
    <row r="16" spans="1:7" ht="15.65" customHeight="1" x14ac:dyDescent="0.45">
      <c r="A16" s="169"/>
      <c r="B16" s="170" t="s">
        <v>9</v>
      </c>
      <c r="C16" s="177"/>
      <c r="D16" s="178"/>
      <c r="E16" s="178"/>
      <c r="F16" s="171" t="s">
        <v>31</v>
      </c>
      <c r="G16" s="173" t="s">
        <v>32</v>
      </c>
    </row>
    <row r="17" spans="1:7" x14ac:dyDescent="0.45">
      <c r="A17" s="169" t="s">
        <v>33</v>
      </c>
      <c r="B17" s="170" t="s">
        <v>34</v>
      </c>
      <c r="C17" s="415" t="s">
        <v>35</v>
      </c>
      <c r="D17" s="415"/>
      <c r="E17" s="415"/>
      <c r="F17" s="171" t="s">
        <v>36</v>
      </c>
      <c r="G17" s="173" t="s">
        <v>37</v>
      </c>
    </row>
    <row r="18" spans="1:7" x14ac:dyDescent="0.45">
      <c r="A18" s="162"/>
      <c r="B18" s="416"/>
      <c r="C18" s="417"/>
      <c r="D18" s="417"/>
      <c r="E18" s="418"/>
      <c r="F18" s="162" t="s">
        <v>38</v>
      </c>
      <c r="G18" s="173" t="s">
        <v>39</v>
      </c>
    </row>
    <row r="19" spans="1:7" x14ac:dyDescent="0.45">
      <c r="A19" s="162"/>
      <c r="B19" s="412" t="s">
        <v>40</v>
      </c>
      <c r="C19" s="413"/>
      <c r="D19" s="413"/>
      <c r="E19" s="414"/>
      <c r="F19" s="162" t="s">
        <v>41</v>
      </c>
      <c r="G19" s="173" t="s">
        <v>42</v>
      </c>
    </row>
    <row r="20" spans="1:7" ht="8" customHeight="1" x14ac:dyDescent="0.45">
      <c r="A20" s="169"/>
      <c r="B20" s="180"/>
      <c r="C20" s="180"/>
      <c r="D20" s="180"/>
      <c r="E20" s="180"/>
      <c r="F20" s="171"/>
      <c r="G20" s="173"/>
    </row>
    <row r="21" spans="1:7" ht="17.75" customHeight="1" x14ac:dyDescent="0.45">
      <c r="A21" s="169" t="s">
        <v>43</v>
      </c>
      <c r="B21" s="410" t="s">
        <v>44</v>
      </c>
      <c r="C21" s="408" t="s">
        <v>45</v>
      </c>
      <c r="D21" s="408"/>
      <c r="E21" s="408"/>
      <c r="F21" s="171" t="s">
        <v>46</v>
      </c>
      <c r="G21" s="173" t="s">
        <v>47</v>
      </c>
    </row>
    <row r="22" spans="1:7" ht="17.75" customHeight="1" x14ac:dyDescent="0.45">
      <c r="A22" s="169"/>
      <c r="B22" s="410"/>
      <c r="C22" s="407" t="s">
        <v>48</v>
      </c>
      <c r="D22" s="407"/>
      <c r="E22" s="407"/>
      <c r="F22" s="174"/>
      <c r="G22" s="173"/>
    </row>
    <row r="23" spans="1:7" ht="17.75" customHeight="1" x14ac:dyDescent="0.45">
      <c r="A23" s="179"/>
      <c r="B23" s="410"/>
      <c r="C23" s="408" t="s">
        <v>49</v>
      </c>
      <c r="D23" s="408"/>
      <c r="E23" s="408"/>
      <c r="G23" s="173"/>
    </row>
    <row r="24" spans="1:7" ht="17.75" customHeight="1" x14ac:dyDescent="0.45">
      <c r="B24" s="410"/>
      <c r="C24" s="420" t="s">
        <v>50</v>
      </c>
      <c r="D24" s="420"/>
      <c r="E24" s="420"/>
      <c r="G24" s="173"/>
    </row>
    <row r="25" spans="1:7" ht="17.75" customHeight="1" x14ac:dyDescent="0.45">
      <c r="B25" s="410"/>
      <c r="C25" s="409" t="s">
        <v>51</v>
      </c>
      <c r="D25" s="409"/>
      <c r="E25" s="409"/>
    </row>
    <row r="26" spans="1:7" ht="17.75" customHeight="1" x14ac:dyDescent="0.45">
      <c r="B26" s="410"/>
      <c r="C26" s="407" t="s">
        <v>52</v>
      </c>
      <c r="D26" s="407"/>
      <c r="E26" s="407"/>
    </row>
    <row r="27" spans="1:7" ht="17.75" customHeight="1" x14ac:dyDescent="0.45">
      <c r="B27" s="410"/>
      <c r="C27" s="409" t="s">
        <v>53</v>
      </c>
      <c r="D27" s="409"/>
      <c r="E27" s="409"/>
    </row>
    <row r="28" spans="1:7" ht="17.75" customHeight="1" x14ac:dyDescent="0.45">
      <c r="B28" s="410"/>
      <c r="C28" s="407" t="s">
        <v>54</v>
      </c>
      <c r="D28" s="407"/>
      <c r="E28" s="407"/>
    </row>
    <row r="29" spans="1:7" ht="17.75" customHeight="1" x14ac:dyDescent="0.45">
      <c r="B29" s="410"/>
      <c r="C29" s="408" t="s">
        <v>55</v>
      </c>
      <c r="D29" s="408"/>
      <c r="E29" s="408"/>
    </row>
    <row r="30" spans="1:7" ht="17.75" customHeight="1" x14ac:dyDescent="0.45">
      <c r="B30" s="410"/>
      <c r="C30" s="407" t="s">
        <v>56</v>
      </c>
      <c r="D30" s="407"/>
      <c r="E30" s="407"/>
    </row>
    <row r="31" spans="1:7" ht="17.75" customHeight="1" x14ac:dyDescent="0.45">
      <c r="B31" s="410"/>
      <c r="C31" s="408" t="s">
        <v>57</v>
      </c>
      <c r="D31" s="408"/>
      <c r="E31" s="408"/>
    </row>
    <row r="32" spans="1:7" ht="17.75" customHeight="1" x14ac:dyDescent="0.45">
      <c r="B32" s="410"/>
      <c r="C32" s="407" t="s">
        <v>58</v>
      </c>
      <c r="D32" s="407"/>
      <c r="E32" s="407"/>
    </row>
    <row r="33" spans="2:5" ht="17.75" customHeight="1" x14ac:dyDescent="0.45">
      <c r="B33" s="410"/>
      <c r="C33" s="408" t="s">
        <v>59</v>
      </c>
      <c r="D33" s="408"/>
      <c r="E33" s="408"/>
    </row>
    <row r="34" spans="2:5" ht="17.75" customHeight="1" x14ac:dyDescent="0.45">
      <c r="B34" s="410"/>
      <c r="C34" s="407" t="s">
        <v>60</v>
      </c>
      <c r="D34" s="407"/>
      <c r="E34" s="407"/>
    </row>
    <row r="35" spans="2:5" ht="17.75" customHeight="1" x14ac:dyDescent="0.45">
      <c r="B35" s="410"/>
      <c r="C35" s="409" t="s">
        <v>61</v>
      </c>
      <c r="D35" s="409"/>
      <c r="E35" s="409"/>
    </row>
    <row r="36" spans="2:5" ht="17.75" customHeight="1" x14ac:dyDescent="0.45">
      <c r="B36" s="406" t="s">
        <v>62</v>
      </c>
      <c r="C36" s="407" t="s">
        <v>63</v>
      </c>
      <c r="D36" s="407"/>
      <c r="E36" s="407"/>
    </row>
    <row r="37" spans="2:5" ht="22.4" customHeight="1" x14ac:dyDescent="0.45">
      <c r="B37" s="406"/>
      <c r="C37" s="408" t="s">
        <v>64</v>
      </c>
      <c r="D37" s="408"/>
      <c r="E37" s="408"/>
    </row>
    <row r="38" spans="2:5" ht="17.75" customHeight="1" x14ac:dyDescent="0.45">
      <c r="B38" s="406"/>
      <c r="C38" s="407" t="s">
        <v>65</v>
      </c>
      <c r="D38" s="407"/>
      <c r="E38" s="407"/>
    </row>
    <row r="39" spans="2:5" ht="23.75" customHeight="1" x14ac:dyDescent="0.45">
      <c r="B39" s="419" t="s">
        <v>66</v>
      </c>
      <c r="C39" s="421" t="s">
        <v>67</v>
      </c>
      <c r="D39" s="421"/>
      <c r="E39" s="421"/>
    </row>
    <row r="40" spans="2:5" ht="23.75" customHeight="1" x14ac:dyDescent="0.45">
      <c r="B40" s="419"/>
      <c r="C40" s="422" t="s">
        <v>68</v>
      </c>
      <c r="D40" s="422"/>
      <c r="E40" s="422"/>
    </row>
    <row r="41" spans="2:5" x14ac:dyDescent="0.45"/>
    <row r="42" spans="2:5" x14ac:dyDescent="0.45"/>
  </sheetData>
  <mergeCells count="35">
    <mergeCell ref="B3:E3"/>
    <mergeCell ref="B5:E5"/>
    <mergeCell ref="B6:E6"/>
    <mergeCell ref="B9:E9"/>
    <mergeCell ref="C11:E11"/>
    <mergeCell ref="C8:E8"/>
    <mergeCell ref="B39:B40"/>
    <mergeCell ref="C24:E24"/>
    <mergeCell ref="C27:E27"/>
    <mergeCell ref="C28:E28"/>
    <mergeCell ref="C29:E29"/>
    <mergeCell ref="C30:E30"/>
    <mergeCell ref="C31:E31"/>
    <mergeCell ref="C32:E32"/>
    <mergeCell ref="C33:E33"/>
    <mergeCell ref="C34:E34"/>
    <mergeCell ref="C35:E35"/>
    <mergeCell ref="C36:E36"/>
    <mergeCell ref="C37:E37"/>
    <mergeCell ref="C38:E38"/>
    <mergeCell ref="C39:E39"/>
    <mergeCell ref="C40:E40"/>
    <mergeCell ref="B12:E12"/>
    <mergeCell ref="B19:E19"/>
    <mergeCell ref="C14:E14"/>
    <mergeCell ref="B15:E15"/>
    <mergeCell ref="C17:E17"/>
    <mergeCell ref="B18:E18"/>
    <mergeCell ref="B36:B38"/>
    <mergeCell ref="C26:E26"/>
    <mergeCell ref="C22:E22"/>
    <mergeCell ref="C23:E23"/>
    <mergeCell ref="C25:E25"/>
    <mergeCell ref="B21:B35"/>
    <mergeCell ref="C21:E21"/>
  </mergeCells>
  <pageMargins left="0.7" right="0.7" top="0.75" bottom="0.75" header="0.3" footer="0.3"/>
  <pageSetup orientation="landscape"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566D5-A128-454F-98E5-9054C64A7939}">
  <sheetPr codeName="Foglio3">
    <tabColor theme="0" tint="-0.34998626667073579"/>
  </sheetPr>
  <dimension ref="A1:J196"/>
  <sheetViews>
    <sheetView showGridLines="0" zoomScale="77" zoomScaleNormal="80" workbookViewId="0">
      <pane ySplit="4" topLeftCell="A5" activePane="bottomLeft" state="frozen"/>
      <selection pane="bottomLeft" activeCell="F19" sqref="F19"/>
    </sheetView>
  </sheetViews>
  <sheetFormatPr defaultColWidth="0" defaultRowHeight="17" zeroHeight="1" x14ac:dyDescent="0.5"/>
  <cols>
    <col min="1" max="1" width="6.36328125" style="1" customWidth="1"/>
    <col min="2" max="2" width="21.36328125" style="31" customWidth="1"/>
    <col min="3" max="3" width="20" style="31" customWidth="1"/>
    <col min="4" max="4" width="17.453125" style="31" customWidth="1"/>
    <col min="5" max="5" width="68.54296875" style="1" customWidth="1"/>
    <col min="6" max="6" width="66.453125" style="1" customWidth="1"/>
    <col min="7" max="7" width="22.453125" style="16" customWidth="1"/>
    <col min="8" max="10" width="8.6328125" style="1" customWidth="1"/>
    <col min="11" max="16384" width="8.6328125" style="1" hidden="1"/>
  </cols>
  <sheetData>
    <row r="1" spans="2:7" ht="107.75" customHeight="1" x14ac:dyDescent="0.5"/>
    <row r="2" spans="2:7" x14ac:dyDescent="0.5"/>
    <row r="3" spans="2:7" x14ac:dyDescent="0.5"/>
    <row r="4" spans="2:7" x14ac:dyDescent="0.5">
      <c r="B4" s="247" t="s">
        <v>69</v>
      </c>
      <c r="C4" s="247" t="s">
        <v>70</v>
      </c>
      <c r="D4" s="247" t="s">
        <v>71</v>
      </c>
      <c r="E4" s="247" t="s">
        <v>72</v>
      </c>
      <c r="F4" s="247" t="s">
        <v>73</v>
      </c>
      <c r="G4" s="247" t="s">
        <v>74</v>
      </c>
    </row>
    <row r="5" spans="2:7" s="251" customFormat="1" ht="42.65" customHeight="1" x14ac:dyDescent="0.35">
      <c r="B5" s="248" t="s">
        <v>75</v>
      </c>
      <c r="C5" s="249" t="s">
        <v>45</v>
      </c>
      <c r="D5" s="248" t="s">
        <v>76</v>
      </c>
      <c r="E5" s="250" t="s">
        <v>77</v>
      </c>
      <c r="F5" s="250" t="s">
        <v>78</v>
      </c>
      <c r="G5" s="248"/>
    </row>
    <row r="6" spans="2:7" s="251" customFormat="1" ht="29" x14ac:dyDescent="0.35">
      <c r="B6" s="248" t="s">
        <v>75</v>
      </c>
      <c r="C6" s="249" t="s">
        <v>48</v>
      </c>
      <c r="D6" s="248" t="s">
        <v>79</v>
      </c>
      <c r="E6" s="250" t="s">
        <v>80</v>
      </c>
      <c r="F6" s="250"/>
      <c r="G6" s="248"/>
    </row>
    <row r="7" spans="2:7" s="251" customFormat="1" x14ac:dyDescent="0.35">
      <c r="B7" s="248" t="s">
        <v>75</v>
      </c>
      <c r="C7" s="249" t="s">
        <v>48</v>
      </c>
      <c r="D7" s="248" t="s">
        <v>79</v>
      </c>
      <c r="E7" s="250" t="s">
        <v>81</v>
      </c>
      <c r="F7" s="250"/>
      <c r="G7" s="248"/>
    </row>
    <row r="8" spans="2:7" s="251" customFormat="1" x14ac:dyDescent="0.35">
      <c r="B8" s="248" t="s">
        <v>75</v>
      </c>
      <c r="C8" s="249" t="s">
        <v>48</v>
      </c>
      <c r="D8" s="248" t="s">
        <v>79</v>
      </c>
      <c r="E8" s="250" t="s">
        <v>82</v>
      </c>
      <c r="F8" s="250"/>
      <c r="G8" s="248"/>
    </row>
    <row r="9" spans="2:7" s="251" customFormat="1" ht="43.5" x14ac:dyDescent="0.35">
      <c r="B9" s="248" t="s">
        <v>75</v>
      </c>
      <c r="C9" s="249" t="s">
        <v>48</v>
      </c>
      <c r="D9" s="248" t="s">
        <v>79</v>
      </c>
      <c r="E9" s="250" t="s">
        <v>83</v>
      </c>
      <c r="F9" s="250"/>
      <c r="G9" s="248"/>
    </row>
    <row r="10" spans="2:7" s="251" customFormat="1" x14ac:dyDescent="0.35">
      <c r="B10" s="248" t="s">
        <v>75</v>
      </c>
      <c r="C10" s="249" t="s">
        <v>48</v>
      </c>
      <c r="D10" s="248" t="s">
        <v>79</v>
      </c>
      <c r="E10" s="250" t="s">
        <v>84</v>
      </c>
      <c r="F10" s="250"/>
      <c r="G10" s="248"/>
    </row>
    <row r="11" spans="2:7" s="251" customFormat="1" ht="29" x14ac:dyDescent="0.35">
      <c r="B11" s="248" t="s">
        <v>75</v>
      </c>
      <c r="C11" s="249" t="s">
        <v>48</v>
      </c>
      <c r="D11" s="248" t="s">
        <v>79</v>
      </c>
      <c r="E11" s="250" t="s">
        <v>85</v>
      </c>
      <c r="F11" s="250"/>
      <c r="G11" s="248"/>
    </row>
    <row r="12" spans="2:7" s="251" customFormat="1" x14ac:dyDescent="0.35">
      <c r="B12" s="248" t="s">
        <v>75</v>
      </c>
      <c r="C12" s="249" t="s">
        <v>48</v>
      </c>
      <c r="D12" s="248" t="s">
        <v>79</v>
      </c>
      <c r="E12" s="250" t="s">
        <v>86</v>
      </c>
      <c r="F12" s="250"/>
      <c r="G12" s="248"/>
    </row>
    <row r="13" spans="2:7" s="251" customFormat="1" ht="43.5" x14ac:dyDescent="0.35">
      <c r="B13" s="248" t="s">
        <v>75</v>
      </c>
      <c r="C13" s="249" t="s">
        <v>48</v>
      </c>
      <c r="D13" s="248" t="s">
        <v>79</v>
      </c>
      <c r="E13" s="250" t="s">
        <v>87</v>
      </c>
      <c r="F13" s="250"/>
      <c r="G13" s="248"/>
    </row>
    <row r="14" spans="2:7" s="251" customFormat="1" ht="35" customHeight="1" x14ac:dyDescent="0.35">
      <c r="B14" s="248" t="s">
        <v>75</v>
      </c>
      <c r="C14" s="249" t="s">
        <v>48</v>
      </c>
      <c r="D14" s="248" t="s">
        <v>79</v>
      </c>
      <c r="E14" s="250" t="s">
        <v>88</v>
      </c>
      <c r="F14" s="250"/>
      <c r="G14" s="252" t="s">
        <v>89</v>
      </c>
    </row>
    <row r="15" spans="2:7" s="251" customFormat="1" ht="29" x14ac:dyDescent="0.35">
      <c r="B15" s="248" t="s">
        <v>75</v>
      </c>
      <c r="C15" s="249" t="s">
        <v>48</v>
      </c>
      <c r="D15" s="248" t="s">
        <v>79</v>
      </c>
      <c r="E15" s="250" t="s">
        <v>90</v>
      </c>
      <c r="F15" s="250"/>
      <c r="G15" s="248"/>
    </row>
    <row r="16" spans="2:7" s="251" customFormat="1" ht="25.4" customHeight="1" x14ac:dyDescent="0.35">
      <c r="B16" s="248" t="s">
        <v>75</v>
      </c>
      <c r="C16" s="249" t="s">
        <v>48</v>
      </c>
      <c r="D16" s="248" t="s">
        <v>79</v>
      </c>
      <c r="E16" s="250" t="s">
        <v>91</v>
      </c>
      <c r="F16" s="250"/>
      <c r="G16" s="248"/>
    </row>
    <row r="17" spans="2:7" s="251" customFormat="1" x14ac:dyDescent="0.35">
      <c r="B17" s="248" t="s">
        <v>75</v>
      </c>
      <c r="C17" s="249" t="s">
        <v>48</v>
      </c>
      <c r="D17" s="248" t="s">
        <v>79</v>
      </c>
      <c r="E17" s="250" t="s">
        <v>92</v>
      </c>
      <c r="F17" s="250"/>
      <c r="G17" s="248"/>
    </row>
    <row r="18" spans="2:7" s="251" customFormat="1" x14ac:dyDescent="0.35">
      <c r="B18" s="248" t="s">
        <v>75</v>
      </c>
      <c r="C18" s="249" t="s">
        <v>48</v>
      </c>
      <c r="D18" s="248" t="s">
        <v>79</v>
      </c>
      <c r="E18" s="250" t="s">
        <v>93</v>
      </c>
      <c r="F18" s="250"/>
      <c r="G18" s="248"/>
    </row>
    <row r="19" spans="2:7" s="251" customFormat="1" ht="29" x14ac:dyDescent="0.35">
      <c r="B19" s="248" t="s">
        <v>75</v>
      </c>
      <c r="C19" s="249" t="s">
        <v>48</v>
      </c>
      <c r="D19" s="248" t="s">
        <v>79</v>
      </c>
      <c r="E19" s="250" t="s">
        <v>94</v>
      </c>
      <c r="F19" s="250" t="s">
        <v>95</v>
      </c>
      <c r="G19" s="248"/>
    </row>
    <row r="20" spans="2:7" s="251" customFormat="1" ht="42" customHeight="1" x14ac:dyDescent="0.35">
      <c r="B20" s="248" t="s">
        <v>75</v>
      </c>
      <c r="C20" s="249" t="s">
        <v>48</v>
      </c>
      <c r="D20" s="248" t="s">
        <v>79</v>
      </c>
      <c r="E20" s="250" t="s">
        <v>96</v>
      </c>
      <c r="F20" s="253" t="s">
        <v>97</v>
      </c>
      <c r="G20" s="248"/>
    </row>
    <row r="21" spans="2:7" s="251" customFormat="1" ht="29" x14ac:dyDescent="0.35">
      <c r="B21" s="248" t="s">
        <v>75</v>
      </c>
      <c r="C21" s="249" t="s">
        <v>48</v>
      </c>
      <c r="D21" s="248" t="s">
        <v>79</v>
      </c>
      <c r="E21" s="250" t="s">
        <v>98</v>
      </c>
      <c r="F21" s="250"/>
      <c r="G21" s="248"/>
    </row>
    <row r="22" spans="2:7" s="251" customFormat="1" ht="43.5" x14ac:dyDescent="0.35">
      <c r="B22" s="248" t="s">
        <v>75</v>
      </c>
      <c r="C22" s="249" t="s">
        <v>48</v>
      </c>
      <c r="D22" s="248" t="s">
        <v>79</v>
      </c>
      <c r="E22" s="250" t="s">
        <v>99</v>
      </c>
      <c r="F22" s="250"/>
      <c r="G22" s="248"/>
    </row>
    <row r="23" spans="2:7" s="251" customFormat="1" ht="29" x14ac:dyDescent="0.35">
      <c r="B23" s="248" t="s">
        <v>75</v>
      </c>
      <c r="C23" s="249" t="s">
        <v>48</v>
      </c>
      <c r="D23" s="248" t="s">
        <v>79</v>
      </c>
      <c r="E23" s="250" t="s">
        <v>100</v>
      </c>
      <c r="F23" s="250"/>
      <c r="G23" s="248"/>
    </row>
    <row r="24" spans="2:7" s="251" customFormat="1" ht="72.5" x14ac:dyDescent="0.35">
      <c r="B24" s="248" t="s">
        <v>75</v>
      </c>
      <c r="C24" s="249" t="s">
        <v>48</v>
      </c>
      <c r="D24" s="248" t="s">
        <v>79</v>
      </c>
      <c r="E24" s="250" t="s">
        <v>101</v>
      </c>
      <c r="F24" s="250"/>
      <c r="G24" s="248"/>
    </row>
    <row r="25" spans="2:7" s="251" customFormat="1" ht="29" x14ac:dyDescent="0.35">
      <c r="B25" s="248" t="s">
        <v>75</v>
      </c>
      <c r="C25" s="249" t="s">
        <v>48</v>
      </c>
      <c r="D25" s="248" t="s">
        <v>79</v>
      </c>
      <c r="E25" s="250" t="s">
        <v>102</v>
      </c>
      <c r="F25" s="250"/>
      <c r="G25" s="248"/>
    </row>
    <row r="26" spans="2:7" s="251" customFormat="1" ht="29" x14ac:dyDescent="0.35">
      <c r="B26" s="248" t="s">
        <v>75</v>
      </c>
      <c r="C26" s="249" t="s">
        <v>48</v>
      </c>
      <c r="D26" s="248" t="s">
        <v>79</v>
      </c>
      <c r="E26" s="250" t="s">
        <v>103</v>
      </c>
      <c r="F26" s="250"/>
      <c r="G26" s="248"/>
    </row>
    <row r="27" spans="2:7" s="251" customFormat="1" ht="29" x14ac:dyDescent="0.35">
      <c r="B27" s="248" t="s">
        <v>75</v>
      </c>
      <c r="C27" s="249" t="s">
        <v>48</v>
      </c>
      <c r="D27" s="248" t="s">
        <v>79</v>
      </c>
      <c r="E27" s="254" t="s">
        <v>104</v>
      </c>
      <c r="F27" s="250"/>
      <c r="G27" s="248"/>
    </row>
    <row r="28" spans="2:7" s="251" customFormat="1" ht="29" x14ac:dyDescent="0.35">
      <c r="B28" s="248" t="s">
        <v>75</v>
      </c>
      <c r="C28" s="249" t="s">
        <v>48</v>
      </c>
      <c r="D28" s="248" t="s">
        <v>105</v>
      </c>
      <c r="E28" s="254" t="s">
        <v>106</v>
      </c>
      <c r="F28" s="250"/>
      <c r="G28" s="248"/>
    </row>
    <row r="29" spans="2:7" s="251" customFormat="1" ht="29" x14ac:dyDescent="0.35">
      <c r="B29" s="248" t="s">
        <v>75</v>
      </c>
      <c r="C29" s="249" t="s">
        <v>48</v>
      </c>
      <c r="D29" s="248" t="s">
        <v>105</v>
      </c>
      <c r="E29" s="254" t="s">
        <v>107</v>
      </c>
      <c r="F29" s="250"/>
      <c r="G29" s="248"/>
    </row>
    <row r="30" spans="2:7" s="251" customFormat="1" ht="43.5" x14ac:dyDescent="0.35">
      <c r="B30" s="248" t="s">
        <v>75</v>
      </c>
      <c r="C30" s="249" t="s">
        <v>48</v>
      </c>
      <c r="D30" s="248" t="s">
        <v>105</v>
      </c>
      <c r="E30" s="254" t="s">
        <v>108</v>
      </c>
      <c r="F30" s="250"/>
      <c r="G30" s="248"/>
    </row>
    <row r="31" spans="2:7" s="251" customFormat="1" ht="72.5" x14ac:dyDescent="0.35">
      <c r="B31" s="248" t="s">
        <v>75</v>
      </c>
      <c r="C31" s="249" t="s">
        <v>48</v>
      </c>
      <c r="D31" s="248" t="s">
        <v>109</v>
      </c>
      <c r="E31" s="254" t="s">
        <v>110</v>
      </c>
      <c r="F31" s="250" t="s">
        <v>111</v>
      </c>
      <c r="G31" s="252" t="s">
        <v>112</v>
      </c>
    </row>
    <row r="32" spans="2:7" s="251" customFormat="1" ht="72.5" x14ac:dyDescent="0.35">
      <c r="B32" s="248" t="s">
        <v>75</v>
      </c>
      <c r="C32" s="249" t="s">
        <v>48</v>
      </c>
      <c r="D32" s="248" t="s">
        <v>109</v>
      </c>
      <c r="E32" s="254" t="s">
        <v>113</v>
      </c>
      <c r="F32" s="250" t="s">
        <v>111</v>
      </c>
      <c r="G32" s="252" t="s">
        <v>112</v>
      </c>
    </row>
    <row r="33" spans="2:7" s="251" customFormat="1" ht="87" x14ac:dyDescent="0.35">
      <c r="B33" s="248" t="s">
        <v>75</v>
      </c>
      <c r="C33" s="249" t="s">
        <v>48</v>
      </c>
      <c r="D33" s="248" t="s">
        <v>109</v>
      </c>
      <c r="E33" s="254" t="s">
        <v>114</v>
      </c>
      <c r="F33" s="250" t="s">
        <v>111</v>
      </c>
      <c r="G33" s="252" t="s">
        <v>112</v>
      </c>
    </row>
    <row r="34" spans="2:7" s="251" customFormat="1" ht="72.5" x14ac:dyDescent="0.35">
      <c r="B34" s="248" t="s">
        <v>75</v>
      </c>
      <c r="C34" s="249" t="s">
        <v>48</v>
      </c>
      <c r="D34" s="248" t="s">
        <v>109</v>
      </c>
      <c r="E34" s="254" t="s">
        <v>115</v>
      </c>
      <c r="F34" s="250" t="s">
        <v>111</v>
      </c>
      <c r="G34" s="252" t="s">
        <v>112</v>
      </c>
    </row>
    <row r="35" spans="2:7" s="251" customFormat="1" ht="29" x14ac:dyDescent="0.35">
      <c r="B35" s="248" t="s">
        <v>75</v>
      </c>
      <c r="C35" s="249" t="s">
        <v>49</v>
      </c>
      <c r="D35" s="248" t="s">
        <v>116</v>
      </c>
      <c r="E35" s="254" t="s">
        <v>117</v>
      </c>
      <c r="F35" s="250"/>
      <c r="G35" s="255"/>
    </row>
    <row r="36" spans="2:7" s="251" customFormat="1" ht="29" x14ac:dyDescent="0.35">
      <c r="B36" s="248" t="s">
        <v>75</v>
      </c>
      <c r="C36" s="249" t="s">
        <v>49</v>
      </c>
      <c r="D36" s="248" t="s">
        <v>118</v>
      </c>
      <c r="E36" s="254" t="s">
        <v>119</v>
      </c>
      <c r="F36" s="17"/>
      <c r="G36" s="248"/>
    </row>
    <row r="37" spans="2:7" s="251" customFormat="1" x14ac:dyDescent="0.35">
      <c r="B37" s="248" t="s">
        <v>75</v>
      </c>
      <c r="C37" s="249" t="s">
        <v>49</v>
      </c>
      <c r="D37" s="248" t="s">
        <v>120</v>
      </c>
      <c r="E37" s="254" t="s">
        <v>121</v>
      </c>
      <c r="F37" s="17"/>
      <c r="G37" s="248"/>
    </row>
    <row r="38" spans="2:7" s="251" customFormat="1" x14ac:dyDescent="0.35">
      <c r="B38" s="248" t="s">
        <v>75</v>
      </c>
      <c r="C38" s="249" t="s">
        <v>49</v>
      </c>
      <c r="D38" s="248" t="s">
        <v>122</v>
      </c>
      <c r="E38" s="254" t="s">
        <v>123</v>
      </c>
      <c r="F38" s="17"/>
      <c r="G38" s="248"/>
    </row>
    <row r="39" spans="2:7" s="251" customFormat="1" ht="29" x14ac:dyDescent="0.35">
      <c r="B39" s="248" t="s">
        <v>75</v>
      </c>
      <c r="C39" s="249" t="s">
        <v>49</v>
      </c>
      <c r="D39" s="248" t="s">
        <v>0</v>
      </c>
      <c r="E39" s="254" t="s">
        <v>124</v>
      </c>
      <c r="F39" s="17"/>
      <c r="G39" s="248"/>
    </row>
    <row r="40" spans="2:7" s="251" customFormat="1" ht="58" x14ac:dyDescent="0.35">
      <c r="B40" s="248" t="s">
        <v>75</v>
      </c>
      <c r="C40" s="249" t="s">
        <v>49</v>
      </c>
      <c r="D40" s="248" t="s">
        <v>125</v>
      </c>
      <c r="E40" s="254" t="s">
        <v>126</v>
      </c>
      <c r="F40" s="17" t="s">
        <v>127</v>
      </c>
      <c r="G40" s="248"/>
    </row>
    <row r="41" spans="2:7" s="251" customFormat="1" ht="29" x14ac:dyDescent="0.35">
      <c r="B41" s="248" t="s">
        <v>75</v>
      </c>
      <c r="C41" s="249" t="s">
        <v>49</v>
      </c>
      <c r="D41" s="248" t="s">
        <v>33</v>
      </c>
      <c r="E41" s="254" t="s">
        <v>128</v>
      </c>
      <c r="F41" s="17"/>
      <c r="G41" s="248"/>
    </row>
    <row r="42" spans="2:7" s="251" customFormat="1" ht="101.5" x14ac:dyDescent="0.35">
      <c r="B42" s="248" t="s">
        <v>75</v>
      </c>
      <c r="C42" s="249" t="s">
        <v>49</v>
      </c>
      <c r="D42" s="248" t="s">
        <v>129</v>
      </c>
      <c r="E42" s="254" t="s">
        <v>130</v>
      </c>
      <c r="F42" s="17" t="s">
        <v>131</v>
      </c>
      <c r="G42" s="248"/>
    </row>
    <row r="43" spans="2:7" s="251" customFormat="1" ht="28.4" customHeight="1" x14ac:dyDescent="0.35">
      <c r="B43" s="248" t="s">
        <v>75</v>
      </c>
      <c r="C43" s="249" t="s">
        <v>49</v>
      </c>
      <c r="D43" s="248" t="s">
        <v>132</v>
      </c>
      <c r="E43" s="254" t="s">
        <v>133</v>
      </c>
      <c r="F43" s="17"/>
      <c r="G43" s="248"/>
    </row>
    <row r="44" spans="2:7" s="251" customFormat="1" ht="29" x14ac:dyDescent="0.35">
      <c r="B44" s="248" t="s">
        <v>75</v>
      </c>
      <c r="C44" s="249" t="s">
        <v>49</v>
      </c>
      <c r="D44" s="248" t="s">
        <v>73</v>
      </c>
      <c r="E44" s="254" t="s">
        <v>134</v>
      </c>
      <c r="F44" s="17"/>
      <c r="G44" s="248"/>
    </row>
    <row r="45" spans="2:7" s="251" customFormat="1" ht="29" x14ac:dyDescent="0.35">
      <c r="B45" s="248" t="s">
        <v>75</v>
      </c>
      <c r="C45" s="249" t="s">
        <v>50</v>
      </c>
      <c r="D45" s="248" t="s">
        <v>116</v>
      </c>
      <c r="E45" s="254" t="s">
        <v>117</v>
      </c>
      <c r="F45" s="17"/>
      <c r="G45" s="248"/>
    </row>
    <row r="46" spans="2:7" s="251" customFormat="1" ht="29" x14ac:dyDescent="0.35">
      <c r="B46" s="248" t="s">
        <v>75</v>
      </c>
      <c r="C46" s="249" t="s">
        <v>50</v>
      </c>
      <c r="D46" s="248" t="s">
        <v>135</v>
      </c>
      <c r="E46" s="254" t="s">
        <v>119</v>
      </c>
      <c r="F46" s="17"/>
      <c r="G46" s="248"/>
    </row>
    <row r="47" spans="2:7" s="251" customFormat="1" ht="87" x14ac:dyDescent="0.35">
      <c r="B47" s="248" t="s">
        <v>75</v>
      </c>
      <c r="C47" s="249" t="s">
        <v>50</v>
      </c>
      <c r="D47" s="248" t="s">
        <v>136</v>
      </c>
      <c r="E47" s="254" t="s">
        <v>137</v>
      </c>
      <c r="F47" s="17"/>
      <c r="G47" s="248"/>
    </row>
    <row r="48" spans="2:7" s="251" customFormat="1" x14ac:dyDescent="0.35">
      <c r="B48" s="248" t="s">
        <v>75</v>
      </c>
      <c r="C48" s="249" t="s">
        <v>50</v>
      </c>
      <c r="D48" s="248" t="s">
        <v>138</v>
      </c>
      <c r="E48" s="254" t="s">
        <v>139</v>
      </c>
      <c r="F48" s="17"/>
      <c r="G48" s="248"/>
    </row>
    <row r="49" spans="2:7" s="251" customFormat="1" x14ac:dyDescent="0.35">
      <c r="B49" s="248" t="s">
        <v>75</v>
      </c>
      <c r="C49" s="249" t="s">
        <v>50</v>
      </c>
      <c r="D49" s="248" t="s">
        <v>140</v>
      </c>
      <c r="E49" s="254" t="s">
        <v>141</v>
      </c>
      <c r="F49" s="17"/>
      <c r="G49" s="248"/>
    </row>
    <row r="50" spans="2:7" s="251" customFormat="1" x14ac:dyDescent="0.35">
      <c r="B50" s="248" t="s">
        <v>75</v>
      </c>
      <c r="C50" s="249" t="s">
        <v>50</v>
      </c>
      <c r="D50" s="248" t="s">
        <v>142</v>
      </c>
      <c r="E50" s="254" t="s">
        <v>143</v>
      </c>
      <c r="F50" s="17"/>
      <c r="G50" s="248"/>
    </row>
    <row r="51" spans="2:7" s="251" customFormat="1" ht="29" x14ac:dyDescent="0.35">
      <c r="B51" s="248" t="s">
        <v>75</v>
      </c>
      <c r="C51" s="249" t="s">
        <v>50</v>
      </c>
      <c r="D51" s="248" t="s">
        <v>73</v>
      </c>
      <c r="E51" s="254" t="s">
        <v>144</v>
      </c>
      <c r="F51" s="17"/>
      <c r="G51" s="248"/>
    </row>
    <row r="52" spans="2:7" s="251" customFormat="1" ht="29" x14ac:dyDescent="0.35">
      <c r="B52" s="248" t="s">
        <v>75</v>
      </c>
      <c r="C52" s="249" t="s">
        <v>51</v>
      </c>
      <c r="D52" s="248" t="s">
        <v>116</v>
      </c>
      <c r="E52" s="254" t="s">
        <v>117</v>
      </c>
      <c r="F52" s="17"/>
      <c r="G52" s="248"/>
    </row>
    <row r="53" spans="2:7" s="251" customFormat="1" ht="26" customHeight="1" x14ac:dyDescent="0.35">
      <c r="B53" s="248" t="s">
        <v>75</v>
      </c>
      <c r="C53" s="249" t="s">
        <v>51</v>
      </c>
      <c r="D53" s="248" t="s">
        <v>118</v>
      </c>
      <c r="E53" s="254" t="s">
        <v>145</v>
      </c>
      <c r="F53" s="17"/>
      <c r="G53" s="248"/>
    </row>
    <row r="54" spans="2:7" s="251" customFormat="1" ht="23.75" customHeight="1" x14ac:dyDescent="0.35">
      <c r="B54" s="248" t="s">
        <v>75</v>
      </c>
      <c r="C54" s="249" t="s">
        <v>51</v>
      </c>
      <c r="D54" s="248" t="s">
        <v>120</v>
      </c>
      <c r="E54" s="254" t="s">
        <v>145</v>
      </c>
      <c r="F54" s="17" t="s">
        <v>146</v>
      </c>
      <c r="G54" s="248"/>
    </row>
    <row r="55" spans="2:7" s="251" customFormat="1" ht="33" customHeight="1" x14ac:dyDescent="0.35">
      <c r="B55" s="248" t="s">
        <v>75</v>
      </c>
      <c r="C55" s="249" t="s">
        <v>51</v>
      </c>
      <c r="D55" s="248" t="s">
        <v>147</v>
      </c>
      <c r="E55" s="254" t="s">
        <v>148</v>
      </c>
      <c r="F55" s="17"/>
      <c r="G55" s="248"/>
    </row>
    <row r="56" spans="2:7" s="251" customFormat="1" ht="29" x14ac:dyDescent="0.35">
      <c r="B56" s="248" t="s">
        <v>75</v>
      </c>
      <c r="C56" s="249" t="s">
        <v>51</v>
      </c>
      <c r="D56" s="248" t="s">
        <v>149</v>
      </c>
      <c r="E56" s="254" t="s">
        <v>150</v>
      </c>
      <c r="F56" s="256" t="s">
        <v>151</v>
      </c>
      <c r="G56" s="248"/>
    </row>
    <row r="57" spans="2:7" s="251" customFormat="1" ht="29" x14ac:dyDescent="0.35">
      <c r="B57" s="248" t="s">
        <v>75</v>
      </c>
      <c r="C57" s="249" t="s">
        <v>51</v>
      </c>
      <c r="D57" s="248" t="s">
        <v>152</v>
      </c>
      <c r="E57" s="254" t="s">
        <v>153</v>
      </c>
      <c r="F57" s="256" t="s">
        <v>151</v>
      </c>
      <c r="G57" s="248"/>
    </row>
    <row r="58" spans="2:7" s="251" customFormat="1" ht="169.4" customHeight="1" x14ac:dyDescent="0.35">
      <c r="B58" s="248" t="s">
        <v>75</v>
      </c>
      <c r="C58" s="249" t="s">
        <v>51</v>
      </c>
      <c r="D58" s="248" t="s">
        <v>154</v>
      </c>
      <c r="E58" s="254" t="s">
        <v>155</v>
      </c>
      <c r="F58" s="256" t="s">
        <v>156</v>
      </c>
      <c r="G58" s="248"/>
    </row>
    <row r="59" spans="2:7" s="251" customFormat="1" ht="29" x14ac:dyDescent="0.35">
      <c r="B59" s="248" t="s">
        <v>75</v>
      </c>
      <c r="C59" s="249" t="s">
        <v>51</v>
      </c>
      <c r="D59" s="248" t="s">
        <v>157</v>
      </c>
      <c r="E59" s="254" t="s">
        <v>158</v>
      </c>
      <c r="F59" s="256" t="s">
        <v>159</v>
      </c>
      <c r="G59" s="248"/>
    </row>
    <row r="60" spans="2:7" s="251" customFormat="1" ht="43.5" x14ac:dyDescent="0.35">
      <c r="B60" s="248" t="s">
        <v>75</v>
      </c>
      <c r="C60" s="249" t="s">
        <v>51</v>
      </c>
      <c r="D60" s="248" t="s">
        <v>160</v>
      </c>
      <c r="E60" s="254" t="s">
        <v>161</v>
      </c>
      <c r="F60" s="256" t="s">
        <v>159</v>
      </c>
      <c r="G60" s="248"/>
    </row>
    <row r="61" spans="2:7" s="251" customFormat="1" ht="29" x14ac:dyDescent="0.35">
      <c r="B61" s="248" t="s">
        <v>75</v>
      </c>
      <c r="C61" s="249" t="s">
        <v>51</v>
      </c>
      <c r="D61" s="248" t="s">
        <v>73</v>
      </c>
      <c r="E61" s="254" t="s">
        <v>162</v>
      </c>
      <c r="F61" s="17"/>
      <c r="G61" s="248"/>
    </row>
    <row r="62" spans="2:7" s="251" customFormat="1" ht="29" x14ac:dyDescent="0.35">
      <c r="B62" s="248" t="s">
        <v>75</v>
      </c>
      <c r="C62" s="249" t="s">
        <v>52</v>
      </c>
      <c r="D62" s="248" t="s">
        <v>116</v>
      </c>
      <c r="E62" s="254" t="s">
        <v>117</v>
      </c>
      <c r="F62" s="256" t="s">
        <v>163</v>
      </c>
      <c r="G62" s="248"/>
    </row>
    <row r="63" spans="2:7" s="251" customFormat="1" x14ac:dyDescent="0.35">
      <c r="B63" s="248" t="s">
        <v>75</v>
      </c>
      <c r="C63" s="249" t="s">
        <v>52</v>
      </c>
      <c r="D63" s="248" t="s">
        <v>164</v>
      </c>
      <c r="E63" s="254" t="s">
        <v>165</v>
      </c>
      <c r="F63" s="17"/>
      <c r="G63" s="248"/>
    </row>
    <row r="64" spans="2:7" s="251" customFormat="1" x14ac:dyDescent="0.35">
      <c r="B64" s="248" t="s">
        <v>75</v>
      </c>
      <c r="C64" s="249" t="s">
        <v>52</v>
      </c>
      <c r="D64" s="248" t="s">
        <v>166</v>
      </c>
      <c r="E64" s="254" t="s">
        <v>167</v>
      </c>
      <c r="F64" s="17"/>
      <c r="G64" s="248"/>
    </row>
    <row r="65" spans="2:7" s="251" customFormat="1" ht="130.5" x14ac:dyDescent="0.35">
      <c r="B65" s="248" t="s">
        <v>75</v>
      </c>
      <c r="C65" s="249" t="s">
        <v>52</v>
      </c>
      <c r="D65" s="248" t="s">
        <v>168</v>
      </c>
      <c r="E65" s="254" t="s">
        <v>169</v>
      </c>
      <c r="F65" s="256" t="s">
        <v>170</v>
      </c>
      <c r="G65" s="248"/>
    </row>
    <row r="66" spans="2:7" s="251" customFormat="1" x14ac:dyDescent="0.35">
      <c r="B66" s="248" t="s">
        <v>75</v>
      </c>
      <c r="C66" s="249" t="s">
        <v>52</v>
      </c>
      <c r="D66" s="248" t="s">
        <v>171</v>
      </c>
      <c r="E66" s="254" t="s">
        <v>172</v>
      </c>
      <c r="F66" s="17"/>
      <c r="G66" s="248"/>
    </row>
    <row r="67" spans="2:7" s="251" customFormat="1" x14ac:dyDescent="0.35">
      <c r="B67" s="248" t="s">
        <v>75</v>
      </c>
      <c r="C67" s="249" t="s">
        <v>52</v>
      </c>
      <c r="D67" s="248" t="s">
        <v>142</v>
      </c>
      <c r="E67" s="254" t="s">
        <v>173</v>
      </c>
      <c r="F67" s="17"/>
      <c r="G67" s="248"/>
    </row>
    <row r="68" spans="2:7" s="251" customFormat="1" x14ac:dyDescent="0.35">
      <c r="B68" s="248" t="s">
        <v>75</v>
      </c>
      <c r="C68" s="249" t="s">
        <v>52</v>
      </c>
      <c r="D68" s="248" t="s">
        <v>174</v>
      </c>
      <c r="E68" s="254" t="s">
        <v>175</v>
      </c>
      <c r="F68" s="17"/>
      <c r="G68" s="248"/>
    </row>
    <row r="69" spans="2:7" s="251" customFormat="1" x14ac:dyDescent="0.35">
      <c r="B69" s="248" t="s">
        <v>75</v>
      </c>
      <c r="C69" s="249" t="s">
        <v>52</v>
      </c>
      <c r="D69" s="248" t="s">
        <v>176</v>
      </c>
      <c r="E69" s="254" t="s">
        <v>177</v>
      </c>
      <c r="F69" s="17"/>
      <c r="G69" s="248"/>
    </row>
    <row r="70" spans="2:7" s="251" customFormat="1" ht="43.5" x14ac:dyDescent="0.35">
      <c r="B70" s="248" t="s">
        <v>75</v>
      </c>
      <c r="C70" s="249" t="s">
        <v>52</v>
      </c>
      <c r="D70" s="248" t="s">
        <v>178</v>
      </c>
      <c r="E70" s="254" t="s">
        <v>179</v>
      </c>
      <c r="F70" s="17"/>
      <c r="G70" s="248"/>
    </row>
    <row r="71" spans="2:7" s="251" customFormat="1" ht="29" x14ac:dyDescent="0.35">
      <c r="B71" s="248" t="s">
        <v>75</v>
      </c>
      <c r="C71" s="249" t="s">
        <v>52</v>
      </c>
      <c r="D71" s="248" t="s">
        <v>180</v>
      </c>
      <c r="E71" s="254" t="s">
        <v>181</v>
      </c>
      <c r="F71" s="17"/>
      <c r="G71" s="248"/>
    </row>
    <row r="72" spans="2:7" s="251" customFormat="1" ht="29" x14ac:dyDescent="0.35">
      <c r="B72" s="248" t="s">
        <v>75</v>
      </c>
      <c r="C72" s="249" t="s">
        <v>53</v>
      </c>
      <c r="D72" s="248" t="s">
        <v>116</v>
      </c>
      <c r="E72" s="254" t="s">
        <v>117</v>
      </c>
      <c r="F72" s="17"/>
      <c r="G72" s="248"/>
    </row>
    <row r="73" spans="2:7" s="251" customFormat="1" ht="29" x14ac:dyDescent="0.35">
      <c r="B73" s="248" t="s">
        <v>75</v>
      </c>
      <c r="C73" s="249" t="s">
        <v>53</v>
      </c>
      <c r="D73" s="248" t="s">
        <v>182</v>
      </c>
      <c r="E73" s="254" t="s">
        <v>183</v>
      </c>
      <c r="F73" s="17"/>
      <c r="G73" s="248"/>
    </row>
    <row r="74" spans="2:7" s="251" customFormat="1" ht="21" customHeight="1" x14ac:dyDescent="0.35">
      <c r="B74" s="248" t="s">
        <v>75</v>
      </c>
      <c r="C74" s="249" t="s">
        <v>53</v>
      </c>
      <c r="D74" s="248" t="s">
        <v>184</v>
      </c>
      <c r="E74" s="254" t="s">
        <v>185</v>
      </c>
      <c r="F74" s="17"/>
      <c r="G74" s="248"/>
    </row>
    <row r="75" spans="2:7" s="251" customFormat="1" ht="29" x14ac:dyDescent="0.35">
      <c r="B75" s="248" t="s">
        <v>75</v>
      </c>
      <c r="C75" s="249" t="s">
        <v>53</v>
      </c>
      <c r="D75" s="248" t="s">
        <v>186</v>
      </c>
      <c r="E75" s="254" t="s">
        <v>187</v>
      </c>
      <c r="F75" s="17"/>
      <c r="G75" s="248"/>
    </row>
    <row r="76" spans="2:7" s="251" customFormat="1" ht="34" x14ac:dyDescent="0.35">
      <c r="B76" s="248" t="s">
        <v>75</v>
      </c>
      <c r="C76" s="249" t="s">
        <v>53</v>
      </c>
      <c r="D76" s="248" t="s">
        <v>188</v>
      </c>
      <c r="E76" s="254" t="s">
        <v>189</v>
      </c>
      <c r="F76" s="17" t="s">
        <v>190</v>
      </c>
      <c r="G76" s="257" t="s">
        <v>191</v>
      </c>
    </row>
    <row r="77" spans="2:7" s="251" customFormat="1" ht="43.5" x14ac:dyDescent="0.35">
      <c r="B77" s="248" t="s">
        <v>75</v>
      </c>
      <c r="C77" s="249" t="s">
        <v>53</v>
      </c>
      <c r="D77" s="248" t="s">
        <v>192</v>
      </c>
      <c r="E77" s="254" t="s">
        <v>193</v>
      </c>
      <c r="F77" s="17" t="s">
        <v>190</v>
      </c>
      <c r="G77" s="248"/>
    </row>
    <row r="78" spans="2:7" s="251" customFormat="1" ht="29" x14ac:dyDescent="0.35">
      <c r="B78" s="248" t="s">
        <v>75</v>
      </c>
      <c r="C78" s="249" t="s">
        <v>53</v>
      </c>
      <c r="D78" s="248" t="s">
        <v>194</v>
      </c>
      <c r="E78" s="254" t="s">
        <v>195</v>
      </c>
      <c r="F78" s="17" t="s">
        <v>190</v>
      </c>
      <c r="G78" s="248"/>
    </row>
    <row r="79" spans="2:7" s="251" customFormat="1" ht="29" customHeight="1" x14ac:dyDescent="0.35">
      <c r="B79" s="248" t="s">
        <v>75</v>
      </c>
      <c r="C79" s="249" t="s">
        <v>53</v>
      </c>
      <c r="D79" s="248" t="s">
        <v>196</v>
      </c>
      <c r="E79" s="254" t="s">
        <v>197</v>
      </c>
      <c r="F79" s="17" t="s">
        <v>190</v>
      </c>
      <c r="G79" s="248"/>
    </row>
    <row r="80" spans="2:7" s="251" customFormat="1" x14ac:dyDescent="0.35">
      <c r="B80" s="248" t="s">
        <v>75</v>
      </c>
      <c r="C80" s="249" t="s">
        <v>53</v>
      </c>
      <c r="D80" s="248" t="s">
        <v>198</v>
      </c>
      <c r="E80" s="254" t="s">
        <v>199</v>
      </c>
      <c r="F80" s="17" t="s">
        <v>190</v>
      </c>
      <c r="G80" s="248"/>
    </row>
    <row r="81" spans="2:7" s="251" customFormat="1" ht="29" x14ac:dyDescent="0.35">
      <c r="B81" s="248" t="s">
        <v>75</v>
      </c>
      <c r="C81" s="249" t="s">
        <v>53</v>
      </c>
      <c r="D81" s="248" t="s">
        <v>200</v>
      </c>
      <c r="E81" s="254" t="s">
        <v>201</v>
      </c>
      <c r="F81" s="17"/>
      <c r="G81" s="252" t="s">
        <v>202</v>
      </c>
    </row>
    <row r="82" spans="2:7" s="251" customFormat="1" ht="43.5" x14ac:dyDescent="0.35">
      <c r="B82" s="248" t="s">
        <v>75</v>
      </c>
      <c r="C82" s="249" t="s">
        <v>53</v>
      </c>
      <c r="D82" s="248" t="s">
        <v>129</v>
      </c>
      <c r="E82" s="254" t="s">
        <v>203</v>
      </c>
      <c r="F82" s="17" t="s">
        <v>204</v>
      </c>
      <c r="G82" s="248"/>
    </row>
    <row r="83" spans="2:7" s="251" customFormat="1" ht="30" customHeight="1" x14ac:dyDescent="0.35">
      <c r="B83" s="248" t="s">
        <v>75</v>
      </c>
      <c r="C83" s="249" t="s">
        <v>53</v>
      </c>
      <c r="D83" s="248" t="s">
        <v>205</v>
      </c>
      <c r="E83" s="254" t="s">
        <v>206</v>
      </c>
      <c r="F83" s="17"/>
      <c r="G83" s="248"/>
    </row>
    <row r="84" spans="2:7" s="251" customFormat="1" ht="58" x14ac:dyDescent="0.35">
      <c r="B84" s="248" t="s">
        <v>75</v>
      </c>
      <c r="C84" s="249" t="s">
        <v>53</v>
      </c>
      <c r="D84" s="248" t="s">
        <v>207</v>
      </c>
      <c r="E84" s="254" t="s">
        <v>208</v>
      </c>
      <c r="F84" s="17"/>
      <c r="G84" s="248"/>
    </row>
    <row r="85" spans="2:7" s="251" customFormat="1" ht="29" x14ac:dyDescent="0.35">
      <c r="B85" s="248" t="s">
        <v>75</v>
      </c>
      <c r="C85" s="249" t="s">
        <v>53</v>
      </c>
      <c r="D85" s="248" t="s">
        <v>209</v>
      </c>
      <c r="E85" s="254" t="s">
        <v>210</v>
      </c>
      <c r="F85" s="17"/>
      <c r="G85" s="248"/>
    </row>
    <row r="86" spans="2:7" s="251" customFormat="1" ht="29" x14ac:dyDescent="0.35">
      <c r="B86" s="248" t="s">
        <v>75</v>
      </c>
      <c r="C86" s="249" t="s">
        <v>53</v>
      </c>
      <c r="D86" s="248" t="s">
        <v>211</v>
      </c>
      <c r="E86" s="254" t="s">
        <v>212</v>
      </c>
      <c r="F86" s="17"/>
      <c r="G86" s="248"/>
    </row>
    <row r="87" spans="2:7" s="251" customFormat="1" ht="31.4" customHeight="1" x14ac:dyDescent="0.35">
      <c r="B87" s="248" t="s">
        <v>75</v>
      </c>
      <c r="C87" s="249" t="s">
        <v>53</v>
      </c>
      <c r="D87" s="248" t="s">
        <v>213</v>
      </c>
      <c r="E87" s="254" t="s">
        <v>214</v>
      </c>
      <c r="F87" s="17"/>
      <c r="G87" s="248"/>
    </row>
    <row r="88" spans="2:7" s="251" customFormat="1" ht="29" x14ac:dyDescent="0.35">
      <c r="B88" s="248" t="s">
        <v>75</v>
      </c>
      <c r="C88" s="249" t="s">
        <v>53</v>
      </c>
      <c r="D88" s="248" t="s">
        <v>215</v>
      </c>
      <c r="E88" s="254" t="s">
        <v>216</v>
      </c>
      <c r="F88" s="17"/>
      <c r="G88" s="248"/>
    </row>
    <row r="89" spans="2:7" s="251" customFormat="1" ht="29" x14ac:dyDescent="0.35">
      <c r="B89" s="248" t="s">
        <v>75</v>
      </c>
      <c r="C89" s="249" t="s">
        <v>53</v>
      </c>
      <c r="D89" s="248" t="s">
        <v>217</v>
      </c>
      <c r="E89" s="254" t="s">
        <v>218</v>
      </c>
      <c r="F89" s="17"/>
      <c r="G89" s="248"/>
    </row>
    <row r="90" spans="2:7" s="251" customFormat="1" ht="29" x14ac:dyDescent="0.35">
      <c r="B90" s="248" t="s">
        <v>75</v>
      </c>
      <c r="C90" s="249" t="s">
        <v>53</v>
      </c>
      <c r="D90" s="248" t="s">
        <v>219</v>
      </c>
      <c r="E90" s="254" t="s">
        <v>220</v>
      </c>
      <c r="F90" s="17"/>
      <c r="G90" s="248"/>
    </row>
    <row r="91" spans="2:7" s="251" customFormat="1" ht="32" customHeight="1" x14ac:dyDescent="0.35">
      <c r="B91" s="248" t="s">
        <v>75</v>
      </c>
      <c r="C91" s="249" t="s">
        <v>53</v>
      </c>
      <c r="D91" s="248" t="s">
        <v>73</v>
      </c>
      <c r="E91" s="254" t="s">
        <v>221</v>
      </c>
      <c r="F91" s="17"/>
      <c r="G91" s="248"/>
    </row>
    <row r="92" spans="2:7" s="251" customFormat="1" ht="29" x14ac:dyDescent="0.35">
      <c r="B92" s="248" t="s">
        <v>75</v>
      </c>
      <c r="C92" s="249" t="s">
        <v>54</v>
      </c>
      <c r="D92" s="248" t="s">
        <v>116</v>
      </c>
      <c r="E92" s="254" t="s">
        <v>117</v>
      </c>
      <c r="F92" s="17"/>
      <c r="G92" s="248"/>
    </row>
    <row r="93" spans="2:7" s="251" customFormat="1" ht="53.75" customHeight="1" x14ac:dyDescent="0.35">
      <c r="B93" s="248" t="s">
        <v>75</v>
      </c>
      <c r="C93" s="249" t="s">
        <v>54</v>
      </c>
      <c r="D93" s="248" t="s">
        <v>222</v>
      </c>
      <c r="E93" s="17" t="s">
        <v>223</v>
      </c>
      <c r="F93" s="17"/>
      <c r="G93" s="248"/>
    </row>
    <row r="94" spans="2:7" s="251" customFormat="1" ht="43.5" x14ac:dyDescent="0.35">
      <c r="B94" s="248" t="s">
        <v>75</v>
      </c>
      <c r="C94" s="249" t="s">
        <v>54</v>
      </c>
      <c r="D94" s="248" t="s">
        <v>0</v>
      </c>
      <c r="E94" s="17" t="s">
        <v>224</v>
      </c>
      <c r="F94" s="17"/>
      <c r="G94" s="248"/>
    </row>
    <row r="95" spans="2:7" s="251" customFormat="1" ht="43.5" x14ac:dyDescent="0.35">
      <c r="B95" s="248" t="s">
        <v>75</v>
      </c>
      <c r="C95" s="249" t="s">
        <v>54</v>
      </c>
      <c r="D95" s="248" t="s">
        <v>225</v>
      </c>
      <c r="E95" s="17" t="s">
        <v>226</v>
      </c>
      <c r="F95" s="17"/>
      <c r="G95" s="248"/>
    </row>
    <row r="96" spans="2:7" s="251" customFormat="1" ht="43.5" x14ac:dyDescent="0.35">
      <c r="B96" s="248" t="s">
        <v>75</v>
      </c>
      <c r="C96" s="249" t="s">
        <v>54</v>
      </c>
      <c r="D96" s="248" t="s">
        <v>227</v>
      </c>
      <c r="E96" s="17" t="s">
        <v>228</v>
      </c>
      <c r="F96" s="17"/>
      <c r="G96" s="252" t="s">
        <v>229</v>
      </c>
    </row>
    <row r="97" spans="2:7" s="251" customFormat="1" x14ac:dyDescent="0.35">
      <c r="B97" s="248" t="s">
        <v>75</v>
      </c>
      <c r="C97" s="249" t="s">
        <v>54</v>
      </c>
      <c r="D97" s="248" t="s">
        <v>230</v>
      </c>
      <c r="E97" s="17" t="s">
        <v>231</v>
      </c>
      <c r="F97" s="17"/>
      <c r="G97" s="248"/>
    </row>
    <row r="98" spans="2:7" s="251" customFormat="1" ht="116" x14ac:dyDescent="0.35">
      <c r="B98" s="248" t="s">
        <v>75</v>
      </c>
      <c r="C98" s="249" t="s">
        <v>54</v>
      </c>
      <c r="D98" s="248" t="s">
        <v>129</v>
      </c>
      <c r="E98" s="17" t="s">
        <v>232</v>
      </c>
      <c r="F98" s="17" t="s">
        <v>233</v>
      </c>
      <c r="G98" s="248"/>
    </row>
    <row r="99" spans="2:7" s="251" customFormat="1" ht="116" x14ac:dyDescent="0.35">
      <c r="B99" s="248" t="s">
        <v>75</v>
      </c>
      <c r="C99" s="249" t="s">
        <v>54</v>
      </c>
      <c r="D99" s="248" t="s">
        <v>234</v>
      </c>
      <c r="E99" s="17" t="s">
        <v>235</v>
      </c>
      <c r="F99" s="17" t="s">
        <v>233</v>
      </c>
      <c r="G99" s="248"/>
    </row>
    <row r="100" spans="2:7" s="251" customFormat="1" ht="29" x14ac:dyDescent="0.35">
      <c r="B100" s="248" t="s">
        <v>75</v>
      </c>
      <c r="C100" s="249" t="s">
        <v>54</v>
      </c>
      <c r="D100" s="248" t="s">
        <v>236</v>
      </c>
      <c r="E100" s="17" t="s">
        <v>237</v>
      </c>
      <c r="F100" s="17"/>
      <c r="G100" s="248"/>
    </row>
    <row r="101" spans="2:7" s="251" customFormat="1" ht="43.5" x14ac:dyDescent="0.35">
      <c r="B101" s="248" t="s">
        <v>75</v>
      </c>
      <c r="C101" s="249" t="s">
        <v>54</v>
      </c>
      <c r="D101" s="248" t="s">
        <v>209</v>
      </c>
      <c r="E101" s="254" t="s">
        <v>238</v>
      </c>
      <c r="F101" s="17"/>
      <c r="G101" s="248"/>
    </row>
    <row r="102" spans="2:7" s="251" customFormat="1" x14ac:dyDescent="0.35">
      <c r="B102" s="248" t="s">
        <v>75</v>
      </c>
      <c r="C102" s="249" t="s">
        <v>54</v>
      </c>
      <c r="D102" s="248" t="s">
        <v>239</v>
      </c>
      <c r="E102" s="17" t="s">
        <v>240</v>
      </c>
      <c r="F102" s="17"/>
      <c r="G102" s="248"/>
    </row>
    <row r="103" spans="2:7" s="251" customFormat="1" ht="29" x14ac:dyDescent="0.35">
      <c r="B103" s="248" t="s">
        <v>75</v>
      </c>
      <c r="C103" s="249" t="s">
        <v>54</v>
      </c>
      <c r="D103" s="248" t="s">
        <v>241</v>
      </c>
      <c r="E103" s="17" t="s">
        <v>242</v>
      </c>
      <c r="F103" s="17"/>
      <c r="G103" s="248"/>
    </row>
    <row r="104" spans="2:7" s="251" customFormat="1" ht="29" x14ac:dyDescent="0.35">
      <c r="B104" s="248" t="s">
        <v>75</v>
      </c>
      <c r="C104" s="249" t="s">
        <v>54</v>
      </c>
      <c r="D104" s="248" t="s">
        <v>243</v>
      </c>
      <c r="E104" s="17" t="s">
        <v>244</v>
      </c>
      <c r="F104" s="17"/>
      <c r="G104" s="248"/>
    </row>
    <row r="105" spans="2:7" s="251" customFormat="1" x14ac:dyDescent="0.35">
      <c r="B105" s="248" t="s">
        <v>75</v>
      </c>
      <c r="C105" s="249" t="s">
        <v>54</v>
      </c>
      <c r="D105" s="248" t="s">
        <v>245</v>
      </c>
      <c r="E105" s="17" t="s">
        <v>246</v>
      </c>
      <c r="F105" s="17"/>
      <c r="G105" s="248"/>
    </row>
    <row r="106" spans="2:7" s="251" customFormat="1" ht="29" x14ac:dyDescent="0.35">
      <c r="B106" s="248" t="s">
        <v>75</v>
      </c>
      <c r="C106" s="249" t="s">
        <v>54</v>
      </c>
      <c r="D106" s="248" t="s">
        <v>247</v>
      </c>
      <c r="E106" s="17" t="s">
        <v>248</v>
      </c>
      <c r="F106" s="17" t="s">
        <v>249</v>
      </c>
      <c r="G106" s="248"/>
    </row>
    <row r="107" spans="2:7" s="251" customFormat="1" x14ac:dyDescent="0.35">
      <c r="B107" s="248" t="s">
        <v>75</v>
      </c>
      <c r="C107" s="249" t="s">
        <v>54</v>
      </c>
      <c r="D107" s="248" t="s">
        <v>250</v>
      </c>
      <c r="E107" s="17" t="s">
        <v>251</v>
      </c>
      <c r="F107" s="17"/>
      <c r="G107" s="248"/>
    </row>
    <row r="108" spans="2:7" s="251" customFormat="1" x14ac:dyDescent="0.35">
      <c r="B108" s="248" t="s">
        <v>75</v>
      </c>
      <c r="C108" s="249" t="s">
        <v>54</v>
      </c>
      <c r="D108" s="248" t="s">
        <v>252</v>
      </c>
      <c r="E108" s="17" t="s">
        <v>253</v>
      </c>
      <c r="F108" s="17"/>
      <c r="G108" s="248"/>
    </row>
    <row r="109" spans="2:7" s="251" customFormat="1" ht="29" x14ac:dyDescent="0.35">
      <c r="B109" s="248" t="s">
        <v>75</v>
      </c>
      <c r="C109" s="249" t="s">
        <v>54</v>
      </c>
      <c r="D109" s="248" t="s">
        <v>254</v>
      </c>
      <c r="E109" s="17" t="s">
        <v>255</v>
      </c>
      <c r="F109" s="17"/>
      <c r="G109" s="248"/>
    </row>
    <row r="110" spans="2:7" s="251" customFormat="1" ht="29" x14ac:dyDescent="0.35">
      <c r="B110" s="248" t="s">
        <v>75</v>
      </c>
      <c r="C110" s="249" t="s">
        <v>54</v>
      </c>
      <c r="D110" s="248" t="s">
        <v>73</v>
      </c>
      <c r="E110" s="17" t="s">
        <v>256</v>
      </c>
      <c r="F110" s="17"/>
      <c r="G110" s="248"/>
    </row>
    <row r="111" spans="2:7" s="251" customFormat="1" ht="29" x14ac:dyDescent="0.35">
      <c r="B111" s="248" t="s">
        <v>75</v>
      </c>
      <c r="C111" s="249" t="s">
        <v>55</v>
      </c>
      <c r="D111" s="248" t="s">
        <v>116</v>
      </c>
      <c r="E111" s="254" t="s">
        <v>117</v>
      </c>
      <c r="F111" s="17"/>
      <c r="G111" s="248"/>
    </row>
    <row r="112" spans="2:7" s="251" customFormat="1" ht="72.5" x14ac:dyDescent="0.35">
      <c r="B112" s="248" t="s">
        <v>75</v>
      </c>
      <c r="C112" s="249" t="s">
        <v>55</v>
      </c>
      <c r="D112" s="248" t="s">
        <v>257</v>
      </c>
      <c r="E112" s="17" t="s">
        <v>258</v>
      </c>
      <c r="F112" s="17" t="s">
        <v>259</v>
      </c>
      <c r="G112" s="248"/>
    </row>
    <row r="113" spans="2:7" s="251" customFormat="1" ht="43.5" x14ac:dyDescent="0.35">
      <c r="B113" s="248" t="s">
        <v>75</v>
      </c>
      <c r="C113" s="249" t="s">
        <v>55</v>
      </c>
      <c r="D113" s="248" t="s">
        <v>0</v>
      </c>
      <c r="E113" s="17" t="s">
        <v>260</v>
      </c>
      <c r="F113" s="17"/>
      <c r="G113" s="248"/>
    </row>
    <row r="114" spans="2:7" s="251" customFormat="1" ht="58" x14ac:dyDescent="0.35">
      <c r="B114" s="248" t="s">
        <v>75</v>
      </c>
      <c r="C114" s="249" t="s">
        <v>55</v>
      </c>
      <c r="D114" s="248" t="s">
        <v>261</v>
      </c>
      <c r="E114" s="17" t="s">
        <v>262</v>
      </c>
      <c r="F114" s="17"/>
      <c r="G114" s="248"/>
    </row>
    <row r="115" spans="2:7" s="251" customFormat="1" ht="43.5" x14ac:dyDescent="0.35">
      <c r="B115" s="248" t="s">
        <v>75</v>
      </c>
      <c r="C115" s="249" t="s">
        <v>55</v>
      </c>
      <c r="D115" s="248" t="s">
        <v>227</v>
      </c>
      <c r="E115" s="17" t="s">
        <v>263</v>
      </c>
      <c r="F115" s="17"/>
      <c r="G115" s="252" t="s">
        <v>229</v>
      </c>
    </row>
    <row r="116" spans="2:7" s="251" customFormat="1" ht="26" customHeight="1" x14ac:dyDescent="0.35">
      <c r="B116" s="248" t="s">
        <v>75</v>
      </c>
      <c r="C116" s="249" t="s">
        <v>55</v>
      </c>
      <c r="D116" s="248" t="s">
        <v>264</v>
      </c>
      <c r="E116" s="17" t="s">
        <v>265</v>
      </c>
      <c r="F116" s="17"/>
      <c r="G116" s="248"/>
    </row>
    <row r="117" spans="2:7" s="251" customFormat="1" ht="29" x14ac:dyDescent="0.35">
      <c r="B117" s="248" t="s">
        <v>75</v>
      </c>
      <c r="C117" s="249" t="s">
        <v>55</v>
      </c>
      <c r="D117" s="248" t="s">
        <v>73</v>
      </c>
      <c r="E117" s="17" t="s">
        <v>266</v>
      </c>
      <c r="F117" s="17"/>
      <c r="G117" s="248"/>
    </row>
    <row r="118" spans="2:7" s="251" customFormat="1" ht="29" x14ac:dyDescent="0.35">
      <c r="B118" s="248" t="s">
        <v>75</v>
      </c>
      <c r="C118" s="249" t="s">
        <v>56</v>
      </c>
      <c r="D118" s="248" t="s">
        <v>116</v>
      </c>
      <c r="E118" s="254" t="s">
        <v>117</v>
      </c>
      <c r="F118" s="17"/>
      <c r="G118" s="248"/>
    </row>
    <row r="119" spans="2:7" s="251" customFormat="1" ht="29" x14ac:dyDescent="0.35">
      <c r="B119" s="248" t="s">
        <v>75</v>
      </c>
      <c r="C119" s="249" t="s">
        <v>56</v>
      </c>
      <c r="D119" s="248" t="s">
        <v>267</v>
      </c>
      <c r="E119" s="17" t="s">
        <v>268</v>
      </c>
      <c r="F119" s="17"/>
      <c r="G119" s="248"/>
    </row>
    <row r="120" spans="2:7" s="251" customFormat="1" ht="43.5" x14ac:dyDescent="0.35">
      <c r="B120" s="248" t="s">
        <v>75</v>
      </c>
      <c r="C120" s="249" t="s">
        <v>56</v>
      </c>
      <c r="D120" s="248" t="s">
        <v>227</v>
      </c>
      <c r="E120" s="17" t="s">
        <v>269</v>
      </c>
      <c r="F120" s="17"/>
      <c r="G120" s="252" t="s">
        <v>229</v>
      </c>
    </row>
    <row r="121" spans="2:7" s="251" customFormat="1" ht="29" x14ac:dyDescent="0.35">
      <c r="B121" s="248" t="s">
        <v>75</v>
      </c>
      <c r="C121" s="249" t="s">
        <v>56</v>
      </c>
      <c r="D121" s="248" t="s">
        <v>270</v>
      </c>
      <c r="E121" s="17" t="s">
        <v>271</v>
      </c>
      <c r="F121" s="17"/>
      <c r="G121" s="248"/>
    </row>
    <row r="122" spans="2:7" s="251" customFormat="1" ht="29" x14ac:dyDescent="0.35">
      <c r="B122" s="248" t="s">
        <v>75</v>
      </c>
      <c r="C122" s="249" t="s">
        <v>56</v>
      </c>
      <c r="D122" s="248" t="s">
        <v>272</v>
      </c>
      <c r="E122" s="17" t="s">
        <v>273</v>
      </c>
      <c r="F122" s="17"/>
      <c r="G122" s="248"/>
    </row>
    <row r="123" spans="2:7" s="251" customFormat="1" ht="58" x14ac:dyDescent="0.35">
      <c r="B123" s="248" t="s">
        <v>75</v>
      </c>
      <c r="C123" s="249" t="s">
        <v>56</v>
      </c>
      <c r="D123" s="248" t="s">
        <v>274</v>
      </c>
      <c r="E123" s="17" t="s">
        <v>275</v>
      </c>
      <c r="F123" s="17"/>
      <c r="G123" s="248"/>
    </row>
    <row r="124" spans="2:7" s="251" customFormat="1" ht="29" x14ac:dyDescent="0.35">
      <c r="B124" s="248" t="s">
        <v>75</v>
      </c>
      <c r="C124" s="249" t="s">
        <v>56</v>
      </c>
      <c r="D124" s="248" t="s">
        <v>73</v>
      </c>
      <c r="E124" s="17" t="s">
        <v>276</v>
      </c>
      <c r="F124" s="17"/>
      <c r="G124" s="248"/>
    </row>
    <row r="125" spans="2:7" s="251" customFormat="1" ht="29" x14ac:dyDescent="0.35">
      <c r="B125" s="248" t="s">
        <v>75</v>
      </c>
      <c r="C125" s="249" t="s">
        <v>57</v>
      </c>
      <c r="D125" s="248" t="s">
        <v>116</v>
      </c>
      <c r="E125" s="254" t="s">
        <v>117</v>
      </c>
      <c r="F125" s="17"/>
      <c r="G125" s="248"/>
    </row>
    <row r="126" spans="2:7" s="251" customFormat="1" ht="159.5" x14ac:dyDescent="0.35">
      <c r="B126" s="248" t="s">
        <v>75</v>
      </c>
      <c r="C126" s="249" t="s">
        <v>57</v>
      </c>
      <c r="D126" s="248" t="s">
        <v>277</v>
      </c>
      <c r="E126" s="17" t="s">
        <v>278</v>
      </c>
      <c r="F126" s="17" t="s">
        <v>279</v>
      </c>
      <c r="G126" s="248"/>
    </row>
    <row r="127" spans="2:7" s="251" customFormat="1" ht="29" x14ac:dyDescent="0.35">
      <c r="B127" s="248" t="s">
        <v>75</v>
      </c>
      <c r="C127" s="249" t="s">
        <v>57</v>
      </c>
      <c r="D127" s="248" t="s">
        <v>0</v>
      </c>
      <c r="E127" s="17" t="s">
        <v>280</v>
      </c>
      <c r="F127" s="17"/>
      <c r="G127" s="248"/>
    </row>
    <row r="128" spans="2:7" s="251" customFormat="1" x14ac:dyDescent="0.35">
      <c r="B128" s="248" t="s">
        <v>75</v>
      </c>
      <c r="C128" s="249" t="s">
        <v>57</v>
      </c>
      <c r="D128" s="248" t="s">
        <v>239</v>
      </c>
      <c r="E128" s="17" t="s">
        <v>281</v>
      </c>
      <c r="F128" s="17"/>
      <c r="G128" s="248"/>
    </row>
    <row r="129" spans="2:7" s="251" customFormat="1" ht="43.5" x14ac:dyDescent="0.35">
      <c r="B129" s="248" t="s">
        <v>75</v>
      </c>
      <c r="C129" s="249" t="s">
        <v>57</v>
      </c>
      <c r="D129" s="248" t="s">
        <v>227</v>
      </c>
      <c r="E129" s="17" t="s">
        <v>282</v>
      </c>
      <c r="F129" s="17"/>
      <c r="G129" s="252" t="s">
        <v>229</v>
      </c>
    </row>
    <row r="130" spans="2:7" s="251" customFormat="1" ht="29" x14ac:dyDescent="0.35">
      <c r="B130" s="248" t="s">
        <v>75</v>
      </c>
      <c r="C130" s="249" t="s">
        <v>57</v>
      </c>
      <c r="D130" s="248" t="s">
        <v>129</v>
      </c>
      <c r="E130" s="17" t="s">
        <v>283</v>
      </c>
      <c r="F130" s="17"/>
      <c r="G130" s="248"/>
    </row>
    <row r="131" spans="2:7" s="251" customFormat="1" ht="29" x14ac:dyDescent="0.35">
      <c r="B131" s="248" t="s">
        <v>75</v>
      </c>
      <c r="C131" s="249" t="s">
        <v>57</v>
      </c>
      <c r="D131" s="248" t="s">
        <v>234</v>
      </c>
      <c r="E131" s="17" t="s">
        <v>284</v>
      </c>
      <c r="F131" s="17"/>
      <c r="G131" s="248"/>
    </row>
    <row r="132" spans="2:7" s="251" customFormat="1" ht="29" x14ac:dyDescent="0.35">
      <c r="B132" s="248" t="s">
        <v>75</v>
      </c>
      <c r="C132" s="249" t="s">
        <v>57</v>
      </c>
      <c r="D132" s="248" t="s">
        <v>241</v>
      </c>
      <c r="E132" s="17" t="s">
        <v>285</v>
      </c>
      <c r="F132" s="17"/>
      <c r="G132" s="248"/>
    </row>
    <row r="133" spans="2:7" s="251" customFormat="1" ht="43.5" x14ac:dyDescent="0.35">
      <c r="B133" s="248" t="s">
        <v>75</v>
      </c>
      <c r="C133" s="249" t="s">
        <v>57</v>
      </c>
      <c r="D133" s="248" t="s">
        <v>286</v>
      </c>
      <c r="E133" s="17" t="s">
        <v>287</v>
      </c>
      <c r="F133" s="17"/>
      <c r="G133" s="248"/>
    </row>
    <row r="134" spans="2:7" s="251" customFormat="1" x14ac:dyDescent="0.35">
      <c r="B134" s="248" t="s">
        <v>75</v>
      </c>
      <c r="C134" s="249" t="s">
        <v>57</v>
      </c>
      <c r="D134" s="248" t="s">
        <v>288</v>
      </c>
      <c r="E134" s="17" t="s">
        <v>251</v>
      </c>
      <c r="F134" s="17"/>
      <c r="G134" s="248"/>
    </row>
    <row r="135" spans="2:7" s="251" customFormat="1" x14ac:dyDescent="0.35">
      <c r="B135" s="248" t="s">
        <v>75</v>
      </c>
      <c r="C135" s="249" t="s">
        <v>57</v>
      </c>
      <c r="D135" s="248" t="s">
        <v>252</v>
      </c>
      <c r="E135" s="17" t="s">
        <v>253</v>
      </c>
      <c r="F135" s="17"/>
      <c r="G135" s="248"/>
    </row>
    <row r="136" spans="2:7" s="251" customFormat="1" ht="29" x14ac:dyDescent="0.35">
      <c r="B136" s="248" t="s">
        <v>75</v>
      </c>
      <c r="C136" s="249" t="s">
        <v>57</v>
      </c>
      <c r="D136" s="248" t="s">
        <v>254</v>
      </c>
      <c r="E136" s="17" t="s">
        <v>255</v>
      </c>
      <c r="F136" s="17"/>
      <c r="G136" s="248"/>
    </row>
    <row r="137" spans="2:7" s="251" customFormat="1" x14ac:dyDescent="0.35">
      <c r="B137" s="248" t="s">
        <v>75</v>
      </c>
      <c r="C137" s="249" t="s">
        <v>57</v>
      </c>
      <c r="D137" s="248" t="s">
        <v>73</v>
      </c>
      <c r="E137" s="17" t="s">
        <v>289</v>
      </c>
      <c r="F137" s="17"/>
      <c r="G137" s="248"/>
    </row>
    <row r="138" spans="2:7" s="251" customFormat="1" ht="29" x14ac:dyDescent="0.35">
      <c r="B138" s="248" t="s">
        <v>75</v>
      </c>
      <c r="C138" s="249" t="s">
        <v>58</v>
      </c>
      <c r="D138" s="248" t="s">
        <v>116</v>
      </c>
      <c r="E138" s="254" t="s">
        <v>117</v>
      </c>
      <c r="F138" s="17"/>
      <c r="G138" s="248"/>
    </row>
    <row r="139" spans="2:7" s="251" customFormat="1" ht="72.5" x14ac:dyDescent="0.35">
      <c r="B139" s="248" t="s">
        <v>75</v>
      </c>
      <c r="C139" s="249" t="s">
        <v>58</v>
      </c>
      <c r="D139" s="248" t="s">
        <v>290</v>
      </c>
      <c r="E139" s="254" t="s">
        <v>291</v>
      </c>
      <c r="F139" s="17" t="s">
        <v>292</v>
      </c>
      <c r="G139" s="248"/>
    </row>
    <row r="140" spans="2:7" s="251" customFormat="1" x14ac:dyDescent="0.35">
      <c r="B140" s="248" t="s">
        <v>75</v>
      </c>
      <c r="C140" s="249" t="s">
        <v>58</v>
      </c>
      <c r="D140" s="248" t="s">
        <v>293</v>
      </c>
      <c r="E140" s="254" t="s">
        <v>294</v>
      </c>
      <c r="F140" s="17"/>
      <c r="G140" s="248"/>
    </row>
    <row r="141" spans="2:7" s="251" customFormat="1" ht="43.5" x14ac:dyDescent="0.35">
      <c r="B141" s="248" t="s">
        <v>75</v>
      </c>
      <c r="C141" s="249" t="s">
        <v>58</v>
      </c>
      <c r="D141" s="248" t="s">
        <v>295</v>
      </c>
      <c r="E141" s="254" t="s">
        <v>296</v>
      </c>
      <c r="F141" s="17"/>
      <c r="G141" s="248"/>
    </row>
    <row r="142" spans="2:7" s="251" customFormat="1" ht="43.5" x14ac:dyDescent="0.35">
      <c r="B142" s="248" t="s">
        <v>75</v>
      </c>
      <c r="C142" s="249" t="s">
        <v>58</v>
      </c>
      <c r="D142" s="248" t="s">
        <v>227</v>
      </c>
      <c r="E142" s="17" t="s">
        <v>297</v>
      </c>
      <c r="F142" s="17"/>
      <c r="G142" s="252" t="s">
        <v>229</v>
      </c>
    </row>
    <row r="143" spans="2:7" s="251" customFormat="1" ht="43.5" x14ac:dyDescent="0.35">
      <c r="B143" s="248" t="s">
        <v>75</v>
      </c>
      <c r="C143" s="249" t="s">
        <v>58</v>
      </c>
      <c r="D143" s="248" t="s">
        <v>298</v>
      </c>
      <c r="E143" s="17" t="s">
        <v>299</v>
      </c>
      <c r="F143" s="17"/>
      <c r="G143" s="248"/>
    </row>
    <row r="144" spans="2:7" s="251" customFormat="1" ht="29" x14ac:dyDescent="0.35">
      <c r="B144" s="248" t="s">
        <v>75</v>
      </c>
      <c r="C144" s="249" t="s">
        <v>58</v>
      </c>
      <c r="D144" s="248" t="s">
        <v>300</v>
      </c>
      <c r="E144" s="17" t="s">
        <v>301</v>
      </c>
      <c r="F144" s="17"/>
      <c r="G144" s="248"/>
    </row>
    <row r="145" spans="2:7" s="251" customFormat="1" ht="29" x14ac:dyDescent="0.35">
      <c r="B145" s="248" t="s">
        <v>75</v>
      </c>
      <c r="C145" s="249" t="s">
        <v>58</v>
      </c>
      <c r="D145" s="248" t="s">
        <v>302</v>
      </c>
      <c r="E145" s="17" t="s">
        <v>303</v>
      </c>
      <c r="F145" s="17"/>
      <c r="G145" s="248"/>
    </row>
    <row r="146" spans="2:7" s="251" customFormat="1" ht="29" x14ac:dyDescent="0.35">
      <c r="B146" s="248" t="s">
        <v>75</v>
      </c>
      <c r="C146" s="249" t="s">
        <v>58</v>
      </c>
      <c r="D146" s="248" t="s">
        <v>304</v>
      </c>
      <c r="E146" s="17" t="s">
        <v>305</v>
      </c>
      <c r="F146" s="17"/>
      <c r="G146" s="248"/>
    </row>
    <row r="147" spans="2:7" s="251" customFormat="1" ht="22.4" customHeight="1" x14ac:dyDescent="0.35">
      <c r="B147" s="248" t="s">
        <v>75</v>
      </c>
      <c r="C147" s="249" t="s">
        <v>58</v>
      </c>
      <c r="D147" s="248" t="s">
        <v>306</v>
      </c>
      <c r="E147" s="17" t="s">
        <v>307</v>
      </c>
      <c r="F147" s="17"/>
      <c r="G147" s="248"/>
    </row>
    <row r="148" spans="2:7" s="251" customFormat="1" ht="29" x14ac:dyDescent="0.35">
      <c r="B148" s="248" t="s">
        <v>75</v>
      </c>
      <c r="C148" s="249" t="s">
        <v>58</v>
      </c>
      <c r="D148" s="248" t="s">
        <v>73</v>
      </c>
      <c r="E148" s="17" t="s">
        <v>308</v>
      </c>
      <c r="F148" s="17"/>
      <c r="G148" s="248"/>
    </row>
    <row r="149" spans="2:7" s="251" customFormat="1" ht="29" x14ac:dyDescent="0.35">
      <c r="B149" s="248" t="s">
        <v>75</v>
      </c>
      <c r="C149" s="249" t="s">
        <v>59</v>
      </c>
      <c r="D149" s="248" t="s">
        <v>116</v>
      </c>
      <c r="E149" s="254" t="s">
        <v>117</v>
      </c>
      <c r="F149" s="17"/>
      <c r="G149" s="248"/>
    </row>
    <row r="150" spans="2:7" s="251" customFormat="1" x14ac:dyDescent="0.35">
      <c r="B150" s="248" t="s">
        <v>75</v>
      </c>
      <c r="C150" s="249" t="s">
        <v>59</v>
      </c>
      <c r="D150" s="248" t="s">
        <v>309</v>
      </c>
      <c r="E150" s="17" t="s">
        <v>310</v>
      </c>
      <c r="F150" s="17"/>
      <c r="G150" s="248"/>
    </row>
    <row r="151" spans="2:7" s="251" customFormat="1" x14ac:dyDescent="0.35">
      <c r="B151" s="248" t="s">
        <v>75</v>
      </c>
      <c r="C151" s="249" t="s">
        <v>59</v>
      </c>
      <c r="D151" s="248" t="s">
        <v>311</v>
      </c>
      <c r="E151" s="17" t="s">
        <v>312</v>
      </c>
      <c r="F151" s="17"/>
      <c r="G151" s="248"/>
    </row>
    <row r="152" spans="2:7" s="251" customFormat="1" x14ac:dyDescent="0.35">
      <c r="B152" s="248" t="s">
        <v>75</v>
      </c>
      <c r="C152" s="249" t="s">
        <v>59</v>
      </c>
      <c r="D152" s="248" t="s">
        <v>313</v>
      </c>
      <c r="E152" s="17" t="s">
        <v>314</v>
      </c>
      <c r="F152" s="17"/>
      <c r="G152" s="248"/>
    </row>
    <row r="153" spans="2:7" s="251" customFormat="1" ht="29" x14ac:dyDescent="0.35">
      <c r="B153" s="248" t="s">
        <v>75</v>
      </c>
      <c r="C153" s="249" t="s">
        <v>59</v>
      </c>
      <c r="D153" s="248" t="s">
        <v>315</v>
      </c>
      <c r="E153" s="17" t="s">
        <v>316</v>
      </c>
      <c r="F153" s="17"/>
      <c r="G153" s="248"/>
    </row>
    <row r="154" spans="2:7" s="251" customFormat="1" x14ac:dyDescent="0.35">
      <c r="B154" s="248" t="s">
        <v>75</v>
      </c>
      <c r="C154" s="249" t="s">
        <v>59</v>
      </c>
      <c r="D154" s="248" t="s">
        <v>317</v>
      </c>
      <c r="E154" s="17" t="s">
        <v>318</v>
      </c>
      <c r="F154" s="17"/>
      <c r="G154" s="248"/>
    </row>
    <row r="155" spans="2:7" s="251" customFormat="1" x14ac:dyDescent="0.35">
      <c r="B155" s="248" t="s">
        <v>75</v>
      </c>
      <c r="C155" s="249" t="s">
        <v>59</v>
      </c>
      <c r="D155" s="248" t="s">
        <v>319</v>
      </c>
      <c r="E155" s="17" t="s">
        <v>320</v>
      </c>
      <c r="F155" s="17"/>
      <c r="G155" s="248"/>
    </row>
    <row r="156" spans="2:7" s="251" customFormat="1" x14ac:dyDescent="0.35">
      <c r="B156" s="248" t="s">
        <v>75</v>
      </c>
      <c r="C156" s="249" t="s">
        <v>59</v>
      </c>
      <c r="D156" s="248" t="s">
        <v>321</v>
      </c>
      <c r="E156" s="17" t="s">
        <v>322</v>
      </c>
      <c r="F156" s="17"/>
      <c r="G156" s="248"/>
    </row>
    <row r="157" spans="2:7" s="251" customFormat="1" x14ac:dyDescent="0.35">
      <c r="B157" s="248" t="s">
        <v>75</v>
      </c>
      <c r="C157" s="249" t="s">
        <v>59</v>
      </c>
      <c r="D157" s="248" t="s">
        <v>323</v>
      </c>
      <c r="E157" s="17" t="s">
        <v>324</v>
      </c>
      <c r="F157" s="17"/>
      <c r="G157" s="248"/>
    </row>
    <row r="158" spans="2:7" s="251" customFormat="1" x14ac:dyDescent="0.35">
      <c r="B158" s="248" t="s">
        <v>75</v>
      </c>
      <c r="C158" s="249" t="s">
        <v>59</v>
      </c>
      <c r="D158" s="248" t="s">
        <v>325</v>
      </c>
      <c r="E158" s="17" t="s">
        <v>326</v>
      </c>
      <c r="F158" s="17"/>
      <c r="G158" s="248"/>
    </row>
    <row r="159" spans="2:7" s="251" customFormat="1" ht="43.5" x14ac:dyDescent="0.35">
      <c r="B159" s="248" t="s">
        <v>75</v>
      </c>
      <c r="C159" s="249" t="s">
        <v>59</v>
      </c>
      <c r="D159" s="248" t="s">
        <v>327</v>
      </c>
      <c r="E159" s="17" t="s">
        <v>328</v>
      </c>
      <c r="F159" s="17"/>
      <c r="G159" s="248"/>
    </row>
    <row r="160" spans="2:7" s="251" customFormat="1" ht="29" x14ac:dyDescent="0.35">
      <c r="B160" s="248" t="s">
        <v>75</v>
      </c>
      <c r="C160" s="249" t="s">
        <v>60</v>
      </c>
      <c r="D160" s="248" t="s">
        <v>116</v>
      </c>
      <c r="E160" s="254" t="s">
        <v>117</v>
      </c>
      <c r="F160" s="17"/>
      <c r="G160" s="248"/>
    </row>
    <row r="161" spans="2:7" s="251" customFormat="1" x14ac:dyDescent="0.35">
      <c r="B161" s="248" t="s">
        <v>75</v>
      </c>
      <c r="C161" s="249" t="s">
        <v>60</v>
      </c>
      <c r="D161" s="248" t="s">
        <v>329</v>
      </c>
      <c r="E161" s="17" t="s">
        <v>330</v>
      </c>
      <c r="F161" s="17"/>
      <c r="G161" s="248"/>
    </row>
    <row r="162" spans="2:7" s="251" customFormat="1" x14ac:dyDescent="0.35">
      <c r="B162" s="248" t="s">
        <v>75</v>
      </c>
      <c r="C162" s="249" t="s">
        <v>60</v>
      </c>
      <c r="D162" s="248" t="s">
        <v>331</v>
      </c>
      <c r="E162" s="17" t="s">
        <v>332</v>
      </c>
      <c r="F162" s="17"/>
      <c r="G162" s="248"/>
    </row>
    <row r="163" spans="2:7" s="251" customFormat="1" ht="261" x14ac:dyDescent="0.35">
      <c r="B163" s="248" t="s">
        <v>75</v>
      </c>
      <c r="C163" s="249" t="s">
        <v>60</v>
      </c>
      <c r="D163" s="248" t="s">
        <v>333</v>
      </c>
      <c r="E163" s="17" t="s">
        <v>334</v>
      </c>
      <c r="F163" s="256" t="s">
        <v>335</v>
      </c>
      <c r="G163" s="248"/>
    </row>
    <row r="164" spans="2:7" s="251" customFormat="1" ht="43.5" x14ac:dyDescent="0.35">
      <c r="B164" s="248" t="s">
        <v>75</v>
      </c>
      <c r="C164" s="249" t="s">
        <v>60</v>
      </c>
      <c r="D164" s="248" t="s">
        <v>336</v>
      </c>
      <c r="E164" s="17" t="s">
        <v>337</v>
      </c>
      <c r="F164" s="17"/>
      <c r="G164" s="252" t="s">
        <v>338</v>
      </c>
    </row>
    <row r="165" spans="2:7" s="251" customFormat="1" ht="87" x14ac:dyDescent="0.35">
      <c r="B165" s="248" t="s">
        <v>75</v>
      </c>
      <c r="C165" s="249" t="s">
        <v>60</v>
      </c>
      <c r="D165" s="248" t="s">
        <v>339</v>
      </c>
      <c r="E165" s="17" t="s">
        <v>340</v>
      </c>
      <c r="F165" s="17" t="s">
        <v>341</v>
      </c>
      <c r="G165" s="248"/>
    </row>
    <row r="166" spans="2:7" s="251" customFormat="1" ht="65" x14ac:dyDescent="0.35">
      <c r="B166" s="248" t="s">
        <v>75</v>
      </c>
      <c r="C166" s="249" t="s">
        <v>60</v>
      </c>
      <c r="D166" s="248" t="s">
        <v>129</v>
      </c>
      <c r="E166" s="17" t="s">
        <v>342</v>
      </c>
      <c r="F166" s="258" t="s">
        <v>343</v>
      </c>
      <c r="G166" s="248"/>
    </row>
    <row r="167" spans="2:7" s="251" customFormat="1" ht="65" x14ac:dyDescent="0.35">
      <c r="B167" s="248" t="s">
        <v>75</v>
      </c>
      <c r="C167" s="249" t="s">
        <v>60</v>
      </c>
      <c r="D167" s="248" t="s">
        <v>234</v>
      </c>
      <c r="E167" s="17" t="s">
        <v>344</v>
      </c>
      <c r="F167" s="258" t="s">
        <v>345</v>
      </c>
      <c r="G167" s="248"/>
    </row>
    <row r="168" spans="2:7" s="251" customFormat="1" ht="101.5" x14ac:dyDescent="0.35">
      <c r="B168" s="248" t="s">
        <v>75</v>
      </c>
      <c r="C168" s="249" t="s">
        <v>60</v>
      </c>
      <c r="D168" s="248" t="s">
        <v>346</v>
      </c>
      <c r="E168" s="17" t="s">
        <v>347</v>
      </c>
      <c r="F168" s="256" t="s">
        <v>348</v>
      </c>
      <c r="G168" s="248"/>
    </row>
    <row r="169" spans="2:7" s="251" customFormat="1" ht="29" x14ac:dyDescent="0.35">
      <c r="B169" s="248" t="s">
        <v>75</v>
      </c>
      <c r="C169" s="249" t="s">
        <v>60</v>
      </c>
      <c r="D169" s="248" t="s">
        <v>349</v>
      </c>
      <c r="E169" s="17" t="s">
        <v>350</v>
      </c>
      <c r="F169" s="17"/>
      <c r="G169" s="248"/>
    </row>
    <row r="170" spans="2:7" s="251" customFormat="1" ht="29" x14ac:dyDescent="0.35">
      <c r="B170" s="248" t="s">
        <v>75</v>
      </c>
      <c r="C170" s="249" t="s">
        <v>61</v>
      </c>
      <c r="D170" s="248" t="s">
        <v>116</v>
      </c>
      <c r="E170" s="254" t="s">
        <v>117</v>
      </c>
      <c r="F170" s="17"/>
      <c r="G170" s="248"/>
    </row>
    <row r="171" spans="2:7" s="251" customFormat="1" ht="72.5" x14ac:dyDescent="0.35">
      <c r="B171" s="248" t="s">
        <v>75</v>
      </c>
      <c r="C171" s="249" t="s">
        <v>61</v>
      </c>
      <c r="D171" s="248" t="s">
        <v>222</v>
      </c>
      <c r="E171" s="17" t="s">
        <v>351</v>
      </c>
      <c r="F171" s="17" t="s">
        <v>352</v>
      </c>
      <c r="G171" s="252"/>
    </row>
    <row r="172" spans="2:7" s="251" customFormat="1" ht="29" x14ac:dyDescent="0.35">
      <c r="B172" s="248" t="s">
        <v>75</v>
      </c>
      <c r="C172" s="249" t="s">
        <v>61</v>
      </c>
      <c r="D172" s="248" t="s">
        <v>353</v>
      </c>
      <c r="E172" s="17" t="s">
        <v>354</v>
      </c>
      <c r="F172" s="17" t="s">
        <v>355</v>
      </c>
      <c r="G172" s="252" t="s">
        <v>112</v>
      </c>
    </row>
    <row r="173" spans="2:7" s="251" customFormat="1" ht="43.5" x14ac:dyDescent="0.35">
      <c r="B173" s="248" t="s">
        <v>75</v>
      </c>
      <c r="C173" s="249" t="s">
        <v>61</v>
      </c>
      <c r="D173" s="248" t="s">
        <v>356</v>
      </c>
      <c r="E173" s="17" t="s">
        <v>354</v>
      </c>
      <c r="F173" s="17" t="s">
        <v>357</v>
      </c>
      <c r="G173" s="252" t="s">
        <v>112</v>
      </c>
    </row>
    <row r="174" spans="2:7" s="251" customFormat="1" ht="43.5" x14ac:dyDescent="0.35">
      <c r="B174" s="248" t="s">
        <v>75</v>
      </c>
      <c r="C174" s="249" t="s">
        <v>61</v>
      </c>
      <c r="D174" s="248" t="s">
        <v>358</v>
      </c>
      <c r="E174" s="17" t="s">
        <v>354</v>
      </c>
      <c r="F174" s="17" t="s">
        <v>359</v>
      </c>
      <c r="G174" s="252" t="s">
        <v>112</v>
      </c>
    </row>
    <row r="175" spans="2:7" s="251" customFormat="1" ht="43.5" x14ac:dyDescent="0.35">
      <c r="B175" s="248" t="s">
        <v>75</v>
      </c>
      <c r="C175" s="249" t="s">
        <v>61</v>
      </c>
      <c r="D175" s="248" t="s">
        <v>360</v>
      </c>
      <c r="E175" s="17" t="s">
        <v>354</v>
      </c>
      <c r="F175" s="17" t="s">
        <v>361</v>
      </c>
      <c r="G175" s="252" t="s">
        <v>112</v>
      </c>
    </row>
    <row r="176" spans="2:7" s="251" customFormat="1" ht="43.5" x14ac:dyDescent="0.35">
      <c r="B176" s="248" t="s">
        <v>75</v>
      </c>
      <c r="C176" s="249" t="s">
        <v>61</v>
      </c>
      <c r="D176" s="248" t="s">
        <v>362</v>
      </c>
      <c r="E176" s="17" t="s">
        <v>363</v>
      </c>
      <c r="F176" s="250"/>
      <c r="G176" s="252"/>
    </row>
    <row r="177" spans="2:7" s="251" customFormat="1" ht="29" x14ac:dyDescent="0.35">
      <c r="B177" s="248" t="s">
        <v>75</v>
      </c>
      <c r="C177" s="249" t="s">
        <v>61</v>
      </c>
      <c r="D177" s="248" t="s">
        <v>364</v>
      </c>
      <c r="E177" s="17" t="s">
        <v>354</v>
      </c>
      <c r="F177" s="250" t="s">
        <v>365</v>
      </c>
      <c r="G177" s="252" t="s">
        <v>112</v>
      </c>
    </row>
    <row r="178" spans="2:7" s="251" customFormat="1" ht="43.5" x14ac:dyDescent="0.35">
      <c r="B178" s="248" t="s">
        <v>75</v>
      </c>
      <c r="C178" s="249" t="s">
        <v>61</v>
      </c>
      <c r="D178" s="248" t="s">
        <v>366</v>
      </c>
      <c r="E178" s="17" t="s">
        <v>354</v>
      </c>
      <c r="F178" s="250" t="s">
        <v>367</v>
      </c>
      <c r="G178" s="252" t="s">
        <v>112</v>
      </c>
    </row>
    <row r="179" spans="2:7" s="251" customFormat="1" ht="43.5" x14ac:dyDescent="0.35">
      <c r="B179" s="248" t="s">
        <v>75</v>
      </c>
      <c r="C179" s="249" t="s">
        <v>61</v>
      </c>
      <c r="D179" s="248" t="s">
        <v>368</v>
      </c>
      <c r="E179" s="17" t="s">
        <v>354</v>
      </c>
      <c r="F179" s="250" t="s">
        <v>369</v>
      </c>
      <c r="G179" s="252" t="s">
        <v>112</v>
      </c>
    </row>
    <row r="180" spans="2:7" s="251" customFormat="1" ht="43.5" x14ac:dyDescent="0.35">
      <c r="B180" s="248" t="s">
        <v>75</v>
      </c>
      <c r="C180" s="249" t="s">
        <v>61</v>
      </c>
      <c r="D180" s="248" t="s">
        <v>370</v>
      </c>
      <c r="E180" s="17" t="s">
        <v>354</v>
      </c>
      <c r="F180" s="250" t="s">
        <v>371</v>
      </c>
      <c r="G180" s="252" t="s">
        <v>112</v>
      </c>
    </row>
    <row r="181" spans="2:7" s="251" customFormat="1" ht="43.5" x14ac:dyDescent="0.35">
      <c r="B181" s="248" t="s">
        <v>75</v>
      </c>
      <c r="C181" s="249" t="s">
        <v>61</v>
      </c>
      <c r="D181" s="248" t="s">
        <v>372</v>
      </c>
      <c r="E181" s="17" t="s">
        <v>363</v>
      </c>
      <c r="F181" s="250"/>
      <c r="G181" s="248"/>
    </row>
    <row r="182" spans="2:7" s="251" customFormat="1" ht="43.5" x14ac:dyDescent="0.35">
      <c r="B182" s="248" t="s">
        <v>62</v>
      </c>
      <c r="C182" s="259" t="s">
        <v>63</v>
      </c>
      <c r="D182" s="260" t="s">
        <v>373</v>
      </c>
      <c r="E182" s="17" t="s">
        <v>374</v>
      </c>
      <c r="F182" s="17" t="s">
        <v>375</v>
      </c>
      <c r="G182" s="248"/>
    </row>
    <row r="183" spans="2:7" s="251" customFormat="1" ht="26.75" customHeight="1" x14ac:dyDescent="0.35">
      <c r="B183" s="248" t="s">
        <v>62</v>
      </c>
      <c r="C183" s="259" t="s">
        <v>63</v>
      </c>
      <c r="D183" s="260" t="s">
        <v>376</v>
      </c>
      <c r="E183" s="17" t="s">
        <v>377</v>
      </c>
      <c r="F183" s="17"/>
      <c r="G183" s="248"/>
    </row>
    <row r="184" spans="2:7" s="251" customFormat="1" ht="58" x14ac:dyDescent="0.35">
      <c r="B184" s="248" t="s">
        <v>62</v>
      </c>
      <c r="C184" s="259" t="s">
        <v>63</v>
      </c>
      <c r="D184" s="260" t="s">
        <v>378</v>
      </c>
      <c r="E184" s="17" t="s">
        <v>379</v>
      </c>
      <c r="F184" s="17"/>
      <c r="G184" s="248"/>
    </row>
    <row r="185" spans="2:7" s="251" customFormat="1" ht="29" x14ac:dyDescent="0.35">
      <c r="B185" s="248" t="s">
        <v>62</v>
      </c>
      <c r="C185" s="259" t="s">
        <v>63</v>
      </c>
      <c r="D185" s="260" t="s">
        <v>73</v>
      </c>
      <c r="E185" s="17" t="s">
        <v>380</v>
      </c>
      <c r="F185" s="17"/>
      <c r="G185" s="248"/>
    </row>
    <row r="186" spans="2:7" s="251" customFormat="1" ht="28.4" customHeight="1" x14ac:dyDescent="0.35">
      <c r="B186" s="248" t="s">
        <v>62</v>
      </c>
      <c r="C186" s="259" t="s">
        <v>64</v>
      </c>
      <c r="D186" s="260" t="s">
        <v>381</v>
      </c>
      <c r="E186" s="17" t="s">
        <v>382</v>
      </c>
      <c r="F186" s="17"/>
      <c r="G186" s="248"/>
    </row>
    <row r="187" spans="2:7" s="251" customFormat="1" ht="26.75" customHeight="1" x14ac:dyDescent="0.35">
      <c r="B187" s="248" t="s">
        <v>62</v>
      </c>
      <c r="C187" s="249" t="s">
        <v>65</v>
      </c>
      <c r="D187" s="260" t="s">
        <v>381</v>
      </c>
      <c r="E187" s="261" t="s">
        <v>382</v>
      </c>
      <c r="F187" s="17"/>
      <c r="G187" s="248"/>
    </row>
    <row r="188" spans="2:7" x14ac:dyDescent="0.5">
      <c r="E188" s="10"/>
    </row>
    <row r="189" spans="2:7" x14ac:dyDescent="0.5"/>
    <row r="190" spans="2:7" x14ac:dyDescent="0.5"/>
    <row r="191" spans="2:7" x14ac:dyDescent="0.5"/>
    <row r="192" spans="2:7" x14ac:dyDescent="0.5"/>
    <row r="193" x14ac:dyDescent="0.5"/>
    <row r="194" x14ac:dyDescent="0.5"/>
    <row r="195" x14ac:dyDescent="0.5"/>
    <row r="196" x14ac:dyDescent="0.5"/>
  </sheetData>
  <hyperlinks>
    <hyperlink ref="G31" location="Parametri!A1" display="Matrice degli impatti" xr:uid="{52D71D0B-D1AA-4B61-9142-60ABA84E9FBF}"/>
    <hyperlink ref="G32:G34" location="Parametri!A1" display="Matrice degli impatti" xr:uid="{99F86AE8-E9D9-4E5F-B974-CF99AFE15B34}"/>
    <hyperlink ref="G14" location="Parametri_BIA!A1" display="Tabella Tipologia Servizi" xr:uid="{0288BDE5-BE74-4882-ACDE-6F4F75168981}"/>
    <hyperlink ref="G81" location="Parametri!A1" display="Classe di rischio fornitura" xr:uid="{9E3400EE-63B5-43D9-BF84-28985BF3EF4D}"/>
    <hyperlink ref="G31:G34" location="Parametri_BIA!A1" display="Matrice degli impatti" xr:uid="{CD3AE7B3-B150-4196-B386-569C510D6DCA}"/>
    <hyperlink ref="G81" location="Parametri_BIA!A1" display="Classe di rischio fornitura" xr:uid="{42DE0277-459F-4BE3-B3C9-3E32CAF856C3}"/>
    <hyperlink ref="G96" location="Parametri_BIA!A1" display="Livello di criticità BC dell'applicativo" xr:uid="{B3B039E6-A2B1-4536-993A-FC1F638D1914}"/>
    <hyperlink ref="G115" location="Parametri_BIA!A1" display="Livello di criticità BC dell'applicativo" xr:uid="{807751B3-D955-4AEE-AC6B-68F7EBE28651}"/>
    <hyperlink ref="G120" location="Parametri_BIA!A1" display="Livello di criticità BC dell'applicativo" xr:uid="{D72F97A4-689D-4141-BE2B-22C5588BF7A2}"/>
    <hyperlink ref="G129" location="Parametri_BIA!A1" display="Livello di criticità BC dell'applicativo" xr:uid="{3AE33739-FDAF-4D68-B455-C740C43A74F0}"/>
    <hyperlink ref="G142" location="Parametri_BIA!A1" display="Livello di criticità BC dell'applicativo" xr:uid="{1769B446-949A-4B09-91E5-36DE65060976}"/>
    <hyperlink ref="G164" location="Parametri_BIA!A1" display="Opzioni soluzioni scenri BC" xr:uid="{6D0BA95A-0851-4B67-98B4-4563B9848774}"/>
    <hyperlink ref="G172:G175" location="Parametri_BIA!A1" display="Matrice degli impatti" xr:uid="{0705D9D6-6CFA-43AF-92DE-182FF7D690D1}"/>
    <hyperlink ref="G177:G180" location="Parametri_BIA!A1" display="Matrice degli impatti" xr:uid="{CE58F3F0-7D52-48B0-98D4-34D2A260B705}"/>
    <hyperlink ref="G76" location="Parametri_BIA!A1" display="Tabella parametri rischio fornitura" xr:uid="{B167E2BD-E5E6-4045-867F-F2D650471E74}"/>
  </hyperlink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2C614-F43E-421D-B001-8C4A48DD95F1}">
  <sheetPr codeName="Foglio4">
    <tabColor rgb="FF74264D"/>
  </sheetPr>
  <dimension ref="A1:F15"/>
  <sheetViews>
    <sheetView workbookViewId="0">
      <selection sqref="A1:F15"/>
    </sheetView>
  </sheetViews>
  <sheetFormatPr defaultColWidth="0" defaultRowHeight="14.5" zeroHeight="1" x14ac:dyDescent="0.35"/>
  <cols>
    <col min="1" max="6" width="8.6328125" customWidth="1"/>
    <col min="7" max="16384" width="8.6328125" hidden="1"/>
  </cols>
  <sheetData>
    <row r="1" spans="1:6" x14ac:dyDescent="0.35">
      <c r="A1" s="426" t="s">
        <v>383</v>
      </c>
      <c r="B1" s="426"/>
      <c r="C1" s="426"/>
      <c r="D1" s="426"/>
      <c r="E1" s="426"/>
      <c r="F1" s="426"/>
    </row>
    <row r="2" spans="1:6" x14ac:dyDescent="0.35">
      <c r="A2" s="426"/>
      <c r="B2" s="426"/>
      <c r="C2" s="426"/>
      <c r="D2" s="426"/>
      <c r="E2" s="426"/>
      <c r="F2" s="426"/>
    </row>
    <row r="3" spans="1:6" x14ac:dyDescent="0.35">
      <c r="A3" s="426"/>
      <c r="B3" s="426"/>
      <c r="C3" s="426"/>
      <c r="D3" s="426"/>
      <c r="E3" s="426"/>
      <c r="F3" s="426"/>
    </row>
    <row r="4" spans="1:6" x14ac:dyDescent="0.35">
      <c r="A4" s="426"/>
      <c r="B4" s="426"/>
      <c r="C4" s="426"/>
      <c r="D4" s="426"/>
      <c r="E4" s="426"/>
      <c r="F4" s="426"/>
    </row>
    <row r="5" spans="1:6" x14ac:dyDescent="0.35">
      <c r="A5" s="426"/>
      <c r="B5" s="426"/>
      <c r="C5" s="426"/>
      <c r="D5" s="426"/>
      <c r="E5" s="426"/>
      <c r="F5" s="426"/>
    </row>
    <row r="6" spans="1:6" x14ac:dyDescent="0.35">
      <c r="A6" s="426"/>
      <c r="B6" s="426"/>
      <c r="C6" s="426"/>
      <c r="D6" s="426"/>
      <c r="E6" s="426"/>
      <c r="F6" s="426"/>
    </row>
    <row r="7" spans="1:6" x14ac:dyDescent="0.35">
      <c r="A7" s="426"/>
      <c r="B7" s="426"/>
      <c r="C7" s="426"/>
      <c r="D7" s="426"/>
      <c r="E7" s="426"/>
      <c r="F7" s="426"/>
    </row>
    <row r="8" spans="1:6" x14ac:dyDescent="0.35">
      <c r="A8" s="426"/>
      <c r="B8" s="426"/>
      <c r="C8" s="426"/>
      <c r="D8" s="426"/>
      <c r="E8" s="426"/>
      <c r="F8" s="426"/>
    </row>
    <row r="9" spans="1:6" x14ac:dyDescent="0.35">
      <c r="A9" s="426"/>
      <c r="B9" s="426"/>
      <c r="C9" s="426"/>
      <c r="D9" s="426"/>
      <c r="E9" s="426"/>
      <c r="F9" s="426"/>
    </row>
    <row r="10" spans="1:6" x14ac:dyDescent="0.35">
      <c r="A10" s="426"/>
      <c r="B10" s="426"/>
      <c r="C10" s="426"/>
      <c r="D10" s="426"/>
      <c r="E10" s="426"/>
      <c r="F10" s="426"/>
    </row>
    <row r="11" spans="1:6" x14ac:dyDescent="0.35">
      <c r="A11" s="426"/>
      <c r="B11" s="426"/>
      <c r="C11" s="426"/>
      <c r="D11" s="426"/>
      <c r="E11" s="426"/>
      <c r="F11" s="426"/>
    </row>
    <row r="12" spans="1:6" x14ac:dyDescent="0.35">
      <c r="A12" s="426"/>
      <c r="B12" s="426"/>
      <c r="C12" s="426"/>
      <c r="D12" s="426"/>
      <c r="E12" s="426"/>
      <c r="F12" s="426"/>
    </row>
    <row r="13" spans="1:6" x14ac:dyDescent="0.35">
      <c r="A13" s="426"/>
      <c r="B13" s="426"/>
      <c r="C13" s="426"/>
      <c r="D13" s="426"/>
      <c r="E13" s="426"/>
      <c r="F13" s="426"/>
    </row>
    <row r="14" spans="1:6" x14ac:dyDescent="0.35">
      <c r="A14" s="426"/>
      <c r="B14" s="426"/>
      <c r="C14" s="426"/>
      <c r="D14" s="426"/>
      <c r="E14" s="426"/>
      <c r="F14" s="426"/>
    </row>
    <row r="15" spans="1:6" x14ac:dyDescent="0.35">
      <c r="A15" s="426"/>
      <c r="B15" s="426"/>
      <c r="C15" s="426"/>
      <c r="D15" s="426"/>
      <c r="E15" s="426"/>
      <c r="F15" s="426"/>
    </row>
  </sheetData>
  <mergeCells count="1">
    <mergeCell ref="A1:F1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6E020-9589-46D3-A6D6-29EA3AA7AE72}">
  <sheetPr codeName="Foglio11">
    <tabColor rgb="FFC34986"/>
  </sheetPr>
  <dimension ref="A1:J35"/>
  <sheetViews>
    <sheetView showGridLines="0" zoomScaleNormal="100" workbookViewId="0">
      <pane ySplit="3" topLeftCell="A17" activePane="bottomLeft" state="frozen"/>
      <selection pane="bottomLeft" activeCell="C31" sqref="C31"/>
    </sheetView>
  </sheetViews>
  <sheetFormatPr defaultColWidth="0" defaultRowHeight="17" zeroHeight="1" x14ac:dyDescent="0.5"/>
  <cols>
    <col min="1" max="1" width="8.6328125" style="1" customWidth="1"/>
    <col min="2" max="2" width="15.54296875" style="31" customWidth="1"/>
    <col min="3" max="3" width="23.36328125" style="65" customWidth="1"/>
    <col min="4" max="4" width="74.453125" style="3" customWidth="1"/>
    <col min="5" max="5" width="14.6328125" style="31" customWidth="1"/>
    <col min="6" max="6" width="64.54296875" style="3" customWidth="1"/>
    <col min="7" max="7" width="15.453125" style="1" customWidth="1"/>
    <col min="8" max="10" width="13.36328125" style="1" hidden="1" customWidth="1"/>
    <col min="11" max="16384" width="8.6328125" style="1" hidden="1"/>
  </cols>
  <sheetData>
    <row r="1" spans="2:6" ht="38.75" customHeight="1" x14ac:dyDescent="0.5"/>
    <row r="2" spans="2:6" ht="40.25" customHeight="1" x14ac:dyDescent="0.5">
      <c r="B2" s="427" t="s">
        <v>384</v>
      </c>
      <c r="C2" s="427"/>
      <c r="D2" s="427"/>
      <c r="E2" s="427"/>
      <c r="F2" s="427"/>
    </row>
    <row r="3" spans="2:6" x14ac:dyDescent="0.5">
      <c r="B3" s="295" t="s">
        <v>116</v>
      </c>
      <c r="C3" s="296" t="s">
        <v>385</v>
      </c>
      <c r="D3" s="296" t="s">
        <v>386</v>
      </c>
      <c r="E3" s="296" t="s">
        <v>387</v>
      </c>
      <c r="F3" s="297" t="s">
        <v>73</v>
      </c>
    </row>
    <row r="4" spans="2:6" s="34" customFormat="1" ht="34" x14ac:dyDescent="0.35">
      <c r="B4" s="206">
        <f>'Appoggio_BIA Servizio'!$B$5</f>
        <v>0</v>
      </c>
      <c r="C4" s="298" t="s">
        <v>388</v>
      </c>
      <c r="D4" s="299" t="s">
        <v>389</v>
      </c>
      <c r="E4" s="300"/>
      <c r="F4" s="301"/>
    </row>
    <row r="5" spans="2:6" s="34" customFormat="1" ht="68" x14ac:dyDescent="0.35">
      <c r="B5" s="206">
        <f>'Appoggio_BIA Servizio'!$B$5</f>
        <v>0</v>
      </c>
      <c r="C5" s="298" t="s">
        <v>390</v>
      </c>
      <c r="D5" s="299" t="s">
        <v>391</v>
      </c>
      <c r="E5" s="300"/>
      <c r="F5" s="301"/>
    </row>
    <row r="6" spans="2:6" s="34" customFormat="1" ht="34" x14ac:dyDescent="0.35">
      <c r="B6" s="206">
        <f>'Appoggio_BIA Servizio'!$B$5</f>
        <v>0</v>
      </c>
      <c r="C6" s="298" t="s">
        <v>392</v>
      </c>
      <c r="D6" s="299" t="s">
        <v>393</v>
      </c>
      <c r="E6" s="300"/>
      <c r="F6" s="301"/>
    </row>
    <row r="7" spans="2:6" s="34" customFormat="1" x14ac:dyDescent="0.35">
      <c r="B7" s="206">
        <f>'Appoggio_BIA Servizio'!$B$5</f>
        <v>0</v>
      </c>
      <c r="C7" s="298" t="s">
        <v>394</v>
      </c>
      <c r="D7" s="299" t="s">
        <v>395</v>
      </c>
      <c r="E7" s="300"/>
      <c r="F7" s="301"/>
    </row>
    <row r="8" spans="2:6" s="34" customFormat="1" x14ac:dyDescent="0.35">
      <c r="B8" s="206">
        <f>'Appoggio_BIA Servizio'!$B$5</f>
        <v>0</v>
      </c>
      <c r="C8" s="298" t="s">
        <v>396</v>
      </c>
      <c r="D8" s="299" t="s">
        <v>397</v>
      </c>
      <c r="E8" s="300"/>
      <c r="F8" s="301"/>
    </row>
    <row r="9" spans="2:6" s="34" customFormat="1" x14ac:dyDescent="0.35">
      <c r="B9" s="206">
        <f>'Appoggio_BIA Servizio'!$B$5</f>
        <v>0</v>
      </c>
      <c r="C9" s="298" t="s">
        <v>398</v>
      </c>
      <c r="D9" s="299" t="s">
        <v>399</v>
      </c>
      <c r="E9" s="300"/>
      <c r="F9" s="301"/>
    </row>
    <row r="10" spans="2:6" s="34" customFormat="1" ht="119" x14ac:dyDescent="0.35">
      <c r="B10" s="206">
        <f>'Appoggio_BIA Servizio'!$B$5</f>
        <v>0</v>
      </c>
      <c r="C10" s="298" t="s">
        <v>400</v>
      </c>
      <c r="D10" s="299" t="s">
        <v>401</v>
      </c>
      <c r="E10" s="300"/>
      <c r="F10" s="301"/>
    </row>
    <row r="11" spans="2:6" s="34" customFormat="1" ht="34" x14ac:dyDescent="0.35">
      <c r="B11" s="206">
        <f>'Appoggio_BIA Servizio'!$B$5</f>
        <v>0</v>
      </c>
      <c r="C11" s="298" t="s">
        <v>402</v>
      </c>
      <c r="D11" s="299" t="s">
        <v>403</v>
      </c>
      <c r="E11" s="300"/>
      <c r="F11" s="301"/>
    </row>
    <row r="12" spans="2:6" s="34" customFormat="1" ht="68" x14ac:dyDescent="0.35">
      <c r="B12" s="206">
        <f>'Appoggio_BIA Servizio'!$B$5</f>
        <v>0</v>
      </c>
      <c r="C12" s="298" t="s">
        <v>404</v>
      </c>
      <c r="D12" s="299" t="s">
        <v>405</v>
      </c>
      <c r="E12" s="300"/>
      <c r="F12" s="301"/>
    </row>
    <row r="13" spans="2:6" s="34" customFormat="1" ht="119" x14ac:dyDescent="0.35">
      <c r="B13" s="206">
        <f>'Appoggio_BIA Servizio'!$B$5</f>
        <v>0</v>
      </c>
      <c r="C13" s="298" t="s">
        <v>406</v>
      </c>
      <c r="D13" s="299" t="s">
        <v>407</v>
      </c>
      <c r="E13" s="300"/>
      <c r="F13" s="301"/>
    </row>
    <row r="14" spans="2:6" s="34" customFormat="1" ht="34" x14ac:dyDescent="0.35">
      <c r="B14" s="206">
        <f>'Appoggio_BIA Servizio'!$B$5</f>
        <v>0</v>
      </c>
      <c r="C14" s="298" t="s">
        <v>408</v>
      </c>
      <c r="D14" s="299" t="s">
        <v>409</v>
      </c>
      <c r="E14" s="300"/>
      <c r="F14" s="301"/>
    </row>
    <row r="15" spans="2:6" s="34" customFormat="1" x14ac:dyDescent="0.35">
      <c r="B15" s="206">
        <f>'Appoggio_BIA Servizio'!$B$5</f>
        <v>0</v>
      </c>
      <c r="C15" s="298" t="s">
        <v>410</v>
      </c>
      <c r="D15" s="299" t="s">
        <v>411</v>
      </c>
      <c r="E15" s="300"/>
      <c r="F15" s="301"/>
    </row>
    <row r="16" spans="2:6" s="34" customFormat="1" ht="34" x14ac:dyDescent="0.35">
      <c r="B16" s="206">
        <f>'Appoggio_BIA Servizio'!$B$5</f>
        <v>0</v>
      </c>
      <c r="C16" s="298" t="s">
        <v>412</v>
      </c>
      <c r="D16" s="299" t="s">
        <v>413</v>
      </c>
      <c r="E16" s="300"/>
      <c r="F16" s="301"/>
    </row>
    <row r="17" spans="2:6" s="34" customFormat="1" ht="34" x14ac:dyDescent="0.35">
      <c r="B17" s="206">
        <f>'Appoggio_BIA Servizio'!$B$5</f>
        <v>0</v>
      </c>
      <c r="C17" s="298" t="s">
        <v>414</v>
      </c>
      <c r="D17" s="299" t="s">
        <v>415</v>
      </c>
      <c r="E17" s="300"/>
      <c r="F17" s="301"/>
    </row>
    <row r="18" spans="2:6" s="34" customFormat="1" ht="34" x14ac:dyDescent="0.35">
      <c r="B18" s="206">
        <f>'Appoggio_BIA Servizio'!$B$5</f>
        <v>0</v>
      </c>
      <c r="C18" s="298" t="s">
        <v>416</v>
      </c>
      <c r="D18" s="299" t="s">
        <v>417</v>
      </c>
      <c r="E18" s="300"/>
      <c r="F18" s="301"/>
    </row>
    <row r="19" spans="2:6" s="34" customFormat="1" ht="34" x14ac:dyDescent="0.35">
      <c r="B19" s="206">
        <f>'Appoggio_BIA Servizio'!$B$5</f>
        <v>0</v>
      </c>
      <c r="C19" s="298" t="s">
        <v>418</v>
      </c>
      <c r="D19" s="299" t="s">
        <v>419</v>
      </c>
      <c r="E19" s="300"/>
      <c r="F19" s="301"/>
    </row>
    <row r="20" spans="2:6" s="34" customFormat="1" ht="34" x14ac:dyDescent="0.35">
      <c r="B20" s="206">
        <f>'Appoggio_BIA Servizio'!$B$5</f>
        <v>0</v>
      </c>
      <c r="C20" s="298" t="s">
        <v>420</v>
      </c>
      <c r="D20" s="299" t="s">
        <v>421</v>
      </c>
      <c r="E20" s="300"/>
      <c r="F20" s="301"/>
    </row>
    <row r="21" spans="2:6" s="34" customFormat="1" ht="51" x14ac:dyDescent="0.35">
      <c r="B21" s="206">
        <f>'Appoggio_BIA Servizio'!$B$5</f>
        <v>0</v>
      </c>
      <c r="C21" s="298" t="s">
        <v>422</v>
      </c>
      <c r="D21" s="299" t="s">
        <v>423</v>
      </c>
      <c r="E21" s="300"/>
      <c r="F21" s="301"/>
    </row>
    <row r="22" spans="2:6" s="34" customFormat="1" x14ac:dyDescent="0.35">
      <c r="B22" s="206">
        <f>'Appoggio_BIA Servizio'!$B$5</f>
        <v>0</v>
      </c>
      <c r="C22" s="298" t="s">
        <v>424</v>
      </c>
      <c r="D22" s="299" t="s">
        <v>425</v>
      </c>
      <c r="E22" s="300"/>
      <c r="F22" s="301"/>
    </row>
    <row r="23" spans="2:6" s="34" customFormat="1" ht="34" x14ac:dyDescent="0.35">
      <c r="B23" s="206">
        <f>'Appoggio_BIA Servizio'!$B$5</f>
        <v>0</v>
      </c>
      <c r="C23" s="298" t="s">
        <v>426</v>
      </c>
      <c r="D23" s="299" t="s">
        <v>427</v>
      </c>
      <c r="E23" s="300"/>
      <c r="F23" s="301"/>
    </row>
    <row r="24" spans="2:6" s="34" customFormat="1" x14ac:dyDescent="0.35">
      <c r="B24" s="206">
        <f>'Appoggio_BIA Servizio'!$B$5</f>
        <v>0</v>
      </c>
      <c r="C24" s="298" t="s">
        <v>428</v>
      </c>
      <c r="D24" s="299" t="s">
        <v>429</v>
      </c>
      <c r="E24" s="300"/>
      <c r="F24" s="301"/>
    </row>
    <row r="25" spans="2:6" s="34" customFormat="1" ht="34" x14ac:dyDescent="0.35">
      <c r="B25" s="206">
        <f>'Appoggio_BIA Servizio'!$B$5</f>
        <v>0</v>
      </c>
      <c r="C25" s="298" t="s">
        <v>430</v>
      </c>
      <c r="D25" s="299" t="s">
        <v>431</v>
      </c>
      <c r="E25" s="300"/>
      <c r="F25" s="301"/>
    </row>
    <row r="26" spans="2:6" s="34" customFormat="1" x14ac:dyDescent="0.35">
      <c r="B26" s="206">
        <f>'Appoggio_BIA Servizio'!$B$5</f>
        <v>0</v>
      </c>
      <c r="C26" s="298" t="s">
        <v>432</v>
      </c>
      <c r="D26" s="299" t="s">
        <v>433</v>
      </c>
      <c r="E26" s="300"/>
      <c r="F26" s="301"/>
    </row>
    <row r="27" spans="2:6" s="34" customFormat="1" ht="34" x14ac:dyDescent="0.35">
      <c r="B27" s="206">
        <f>'Appoggio_BIA Servizio'!$B$5</f>
        <v>0</v>
      </c>
      <c r="C27" s="298" t="s">
        <v>434</v>
      </c>
      <c r="D27" s="299" t="s">
        <v>435</v>
      </c>
      <c r="E27" s="300"/>
      <c r="F27" s="301"/>
    </row>
    <row r="28" spans="2:6" s="34" customFormat="1" ht="34" x14ac:dyDescent="0.35">
      <c r="B28" s="206">
        <f>'Appoggio_BIA Servizio'!$B$5</f>
        <v>0</v>
      </c>
      <c r="C28" s="298" t="s">
        <v>436</v>
      </c>
      <c r="D28" s="299" t="s">
        <v>437</v>
      </c>
      <c r="E28" s="300"/>
      <c r="F28" s="301"/>
    </row>
    <row r="29" spans="2:6" s="34" customFormat="1" ht="34" x14ac:dyDescent="0.35">
      <c r="B29" s="206">
        <f>'Appoggio_BIA Servizio'!$B$5</f>
        <v>0</v>
      </c>
      <c r="C29" s="298" t="s">
        <v>438</v>
      </c>
      <c r="D29" s="299" t="s">
        <v>439</v>
      </c>
      <c r="E29" s="300"/>
      <c r="F29" s="301"/>
    </row>
    <row r="30" spans="2:6" s="34" customFormat="1" ht="34" x14ac:dyDescent="0.35">
      <c r="B30" s="206">
        <f>'Appoggio_BIA Servizio'!$B$5</f>
        <v>0</v>
      </c>
      <c r="C30" s="298" t="s">
        <v>440</v>
      </c>
      <c r="D30" s="299" t="s">
        <v>441</v>
      </c>
      <c r="E30" s="300"/>
      <c r="F30" s="301"/>
    </row>
    <row r="31" spans="2:6" s="34" customFormat="1" ht="34" x14ac:dyDescent="0.35">
      <c r="B31" s="302">
        <f>'Appoggio_BIA Servizio'!$B$5</f>
        <v>0</v>
      </c>
      <c r="C31" s="303" t="s">
        <v>442</v>
      </c>
      <c r="D31" s="304" t="s">
        <v>443</v>
      </c>
      <c r="E31" s="300"/>
      <c r="F31" s="305"/>
    </row>
    <row r="32" spans="2:6" x14ac:dyDescent="0.5"/>
    <row r="33" x14ac:dyDescent="0.5"/>
    <row r="34" x14ac:dyDescent="0.5"/>
    <row r="35" x14ac:dyDescent="0.5"/>
  </sheetData>
  <mergeCells count="1">
    <mergeCell ref="B2:F2"/>
  </mergeCells>
  <conditionalFormatting sqref="F4:F31">
    <cfRule type="expression" dxfId="454" priority="1">
      <formula>IF($E4="No",TRUE,FALSE)</formula>
    </cfRule>
  </conditionalFormatting>
  <dataValidations count="1">
    <dataValidation type="list" allowBlank="1" showInputMessage="1" showErrorMessage="1" sqref="E4:E31" xr:uid="{651BA279-0251-4B66-BEB0-8FE8D4EFFA1A}">
      <formula1>"Sì,No"</formula1>
    </dataValidation>
  </dataValidation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AY11"/>
  <sheetViews>
    <sheetView showGridLines="0" tabSelected="1" zoomScale="75" zoomScaleNormal="100" zoomScaleSheetLayoutView="40" zoomScalePageLayoutView="85" workbookViewId="0">
      <selection activeCell="E5" sqref="E5"/>
    </sheetView>
  </sheetViews>
  <sheetFormatPr defaultColWidth="0" defaultRowHeight="13" zeroHeight="1" x14ac:dyDescent="0.35"/>
  <cols>
    <col min="1" max="1" width="3.36328125" style="7" customWidth="1"/>
    <col min="2" max="2" width="23.36328125" style="7" customWidth="1"/>
    <col min="3" max="3" width="19.36328125" style="8" bestFit="1" customWidth="1"/>
    <col min="4" max="4" width="34" style="8" bestFit="1" customWidth="1"/>
    <col min="5" max="5" width="20.36328125" style="8" bestFit="1" customWidth="1"/>
    <col min="6" max="6" width="25.54296875" style="8" bestFit="1" customWidth="1"/>
    <col min="7" max="7" width="23.54296875" style="8" bestFit="1" customWidth="1"/>
    <col min="8" max="8" width="27.453125" style="8" bestFit="1" customWidth="1"/>
    <col min="9" max="9" width="22.6328125" style="8" bestFit="1" customWidth="1"/>
    <col min="10" max="10" width="45.36328125" style="8" bestFit="1" customWidth="1"/>
    <col min="11" max="11" width="34.54296875" style="8" bestFit="1" customWidth="1"/>
    <col min="12" max="12" width="27.453125" style="8" bestFit="1" customWidth="1"/>
    <col min="13" max="13" width="18.54296875" style="8" bestFit="1" customWidth="1"/>
    <col min="14" max="14" width="40.54296875" style="8" bestFit="1" customWidth="1"/>
    <col min="15" max="15" width="40" style="8" bestFit="1" customWidth="1"/>
    <col min="16" max="16" width="30.54296875" style="8" bestFit="1" customWidth="1"/>
    <col min="17" max="17" width="49.54296875" style="8" bestFit="1" customWidth="1"/>
    <col min="18" max="18" width="36.6328125" style="8" bestFit="1" customWidth="1"/>
    <col min="19" max="19" width="51.6328125" style="8" bestFit="1" customWidth="1"/>
    <col min="20" max="20" width="31.453125" style="8" bestFit="1" customWidth="1"/>
    <col min="21" max="21" width="46.6328125" style="8" bestFit="1" customWidth="1"/>
    <col min="22" max="22" width="37.36328125" style="8" bestFit="1" customWidth="1"/>
    <col min="23" max="23" width="61.54296875" style="8" customWidth="1"/>
    <col min="24" max="24" width="21" style="8" customWidth="1"/>
    <col min="25" max="25" width="18.6328125" style="8" bestFit="1" customWidth="1"/>
    <col min="26" max="26" width="59.54296875" style="8" bestFit="1" customWidth="1"/>
    <col min="27" max="27" width="7" style="8" customWidth="1"/>
    <col min="28" max="29" width="7" style="8" hidden="1" customWidth="1"/>
    <col min="30" max="31" width="9.36328125" style="7" hidden="1" customWidth="1"/>
    <col min="32" max="35" width="0" style="7" hidden="1" customWidth="1"/>
    <col min="36" max="36" width="9.36328125" style="7" hidden="1" customWidth="1"/>
    <col min="37" max="37" width="0" style="7" hidden="1" customWidth="1"/>
    <col min="38" max="38" width="9.36328125" style="7" hidden="1" customWidth="1"/>
    <col min="39" max="42" width="0" style="7" hidden="1" customWidth="1"/>
    <col min="43" max="43" width="9.36328125" style="7" hidden="1" customWidth="1"/>
    <col min="44" max="47" width="0" style="7" hidden="1" customWidth="1"/>
    <col min="48" max="48" width="9.36328125" style="7" hidden="1" customWidth="1"/>
    <col min="49" max="49" width="0" style="7" hidden="1" customWidth="1"/>
    <col min="50" max="50" width="9.36328125" style="7" hidden="1" customWidth="1"/>
    <col min="51" max="51" width="0" style="7" hidden="1" customWidth="1"/>
    <col min="52" max="16384" width="9.36328125" style="7" hidden="1"/>
  </cols>
  <sheetData>
    <row r="1" spans="2:29" ht="34.4" customHeight="1" x14ac:dyDescent="0.35"/>
    <row r="2" spans="2:29" ht="16.399999999999999" customHeight="1" x14ac:dyDescent="0.35">
      <c r="B2" s="184" t="s">
        <v>444</v>
      </c>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row>
    <row r="3" spans="2:29" ht="16.399999999999999" customHeight="1" x14ac:dyDescent="0.35">
      <c r="B3" s="68"/>
      <c r="C3" s="68"/>
      <c r="D3" s="68"/>
      <c r="E3" s="68"/>
      <c r="F3" s="68"/>
      <c r="G3" s="68"/>
      <c r="H3" s="68"/>
      <c r="I3" s="68"/>
      <c r="J3" s="68"/>
      <c r="K3" s="68"/>
      <c r="L3" s="68"/>
      <c r="M3" s="68"/>
      <c r="N3" s="68"/>
      <c r="O3" s="68"/>
      <c r="P3" s="68"/>
      <c r="Q3" s="68"/>
      <c r="R3" s="68"/>
      <c r="S3" s="68"/>
      <c r="T3" s="68"/>
      <c r="U3" s="68"/>
      <c r="V3" s="68"/>
      <c r="W3" s="68"/>
      <c r="X3" s="68"/>
      <c r="Y3" s="68"/>
      <c r="Z3" s="68"/>
      <c r="AA3" s="68"/>
      <c r="AB3" s="68"/>
      <c r="AC3" s="68"/>
    </row>
    <row r="4" spans="2:29" ht="24.65" customHeight="1" x14ac:dyDescent="0.35">
      <c r="B4" s="185" t="s">
        <v>445</v>
      </c>
      <c r="C4" s="186" t="s">
        <v>446</v>
      </c>
      <c r="D4" s="186" t="s">
        <v>447</v>
      </c>
      <c r="E4" s="186" t="s">
        <v>448</v>
      </c>
      <c r="F4" s="186" t="s">
        <v>449</v>
      </c>
      <c r="G4" s="186" t="s">
        <v>450</v>
      </c>
      <c r="H4" s="186" t="s">
        <v>451</v>
      </c>
      <c r="I4" s="186" t="s">
        <v>452</v>
      </c>
      <c r="J4" s="186" t="s">
        <v>453</v>
      </c>
      <c r="K4" s="186" t="s">
        <v>454</v>
      </c>
      <c r="L4" s="186" t="s">
        <v>455</v>
      </c>
      <c r="M4" s="186" t="s">
        <v>456</v>
      </c>
      <c r="N4" s="186" t="s">
        <v>457</v>
      </c>
      <c r="O4" s="186" t="s">
        <v>458</v>
      </c>
      <c r="P4" s="186" t="s">
        <v>459</v>
      </c>
      <c r="Q4" s="186" t="s">
        <v>460</v>
      </c>
      <c r="R4" s="186" t="s">
        <v>461</v>
      </c>
      <c r="S4" s="186" t="s">
        <v>462</v>
      </c>
      <c r="T4" s="186" t="s">
        <v>463</v>
      </c>
      <c r="U4" s="186" t="s">
        <v>464</v>
      </c>
      <c r="V4" s="186" t="s">
        <v>465</v>
      </c>
      <c r="W4" s="186" t="s">
        <v>466</v>
      </c>
      <c r="X4" s="186" t="s">
        <v>467</v>
      </c>
      <c r="Y4" s="186" t="s">
        <v>468</v>
      </c>
      <c r="Z4" s="187" t="s">
        <v>469</v>
      </c>
      <c r="AA4" s="6"/>
      <c r="AB4" s="6"/>
      <c r="AC4" s="6"/>
    </row>
    <row r="5" spans="2:29" ht="160.4" customHeight="1" x14ac:dyDescent="0.35">
      <c r="B5" s="206">
        <f>'BIA Servizio'!$E$7</f>
        <v>0</v>
      </c>
      <c r="C5" s="207">
        <f>'BIA Servizio'!E8</f>
        <v>0</v>
      </c>
      <c r="D5" s="207">
        <f>'BIA Servizio'!$E$9</f>
        <v>0</v>
      </c>
      <c r="E5" s="207">
        <f>'BIA Servizio'!E10</f>
        <v>0</v>
      </c>
      <c r="F5" s="207">
        <f>'BIA Servizio'!E11</f>
        <v>0</v>
      </c>
      <c r="G5" s="207">
        <f>'BIA Servizio'!E12</f>
        <v>0</v>
      </c>
      <c r="H5" s="207">
        <f>'BIA Servizio'!E13</f>
        <v>0</v>
      </c>
      <c r="I5" s="207">
        <f>'BIA Servizio'!E14</f>
        <v>0</v>
      </c>
      <c r="J5" s="207">
        <f>'BIA Servizio'!E15</f>
        <v>0</v>
      </c>
      <c r="K5" s="207">
        <f>'BIA Servizio'!E16</f>
        <v>0</v>
      </c>
      <c r="L5" s="207">
        <f>'BIA Servizio'!N7</f>
        <v>0</v>
      </c>
      <c r="M5" s="207">
        <f>'BIA Servizio'!N8</f>
        <v>0</v>
      </c>
      <c r="N5" s="208">
        <f>'BIA Servizio'!N9</f>
        <v>0</v>
      </c>
      <c r="O5" s="208">
        <f>'BIA Servizio'!N10</f>
        <v>0</v>
      </c>
      <c r="P5" s="208">
        <f>'BIA Servizio'!N11</f>
        <v>0</v>
      </c>
      <c r="Q5" s="208">
        <f>'BIA Servizio'!N12</f>
        <v>0</v>
      </c>
      <c r="R5" s="208">
        <f>'BIA Servizio'!N13</f>
        <v>0</v>
      </c>
      <c r="S5" s="208">
        <f>'BIA Servizio'!N14</f>
        <v>0</v>
      </c>
      <c r="T5" s="208">
        <f>'BIA Servizio'!N15</f>
        <v>0</v>
      </c>
      <c r="U5" s="208">
        <f>'BIA Servizio'!N16</f>
        <v>0</v>
      </c>
      <c r="V5" s="207">
        <f>'BIA Servizio'!E6</f>
        <v>0</v>
      </c>
      <c r="W5" s="207">
        <f>'BIA Servizio'!B18</f>
        <v>0</v>
      </c>
      <c r="X5" s="207">
        <f>'BIA Servizio'!E20</f>
        <v>0</v>
      </c>
      <c r="Y5" s="207">
        <f>'BIA Servizio'!E21</f>
        <v>0</v>
      </c>
      <c r="Z5" s="209">
        <f>'BIA Servizio'!E22</f>
        <v>0</v>
      </c>
      <c r="AA5" s="6"/>
      <c r="AB5" s="6"/>
      <c r="AC5" s="6"/>
    </row>
    <row r="6" spans="2:29" ht="16.5" x14ac:dyDescent="0.35">
      <c r="B6" s="67"/>
      <c r="C6" s="67"/>
      <c r="D6" s="67"/>
      <c r="E6" s="67"/>
      <c r="F6" s="67"/>
      <c r="G6" s="67"/>
      <c r="H6" s="67"/>
      <c r="I6" s="67"/>
      <c r="J6" s="67"/>
      <c r="K6" s="67"/>
      <c r="L6" s="67"/>
      <c r="M6" s="67"/>
      <c r="N6" s="67"/>
      <c r="O6" s="67"/>
      <c r="P6" s="67"/>
      <c r="Q6" s="67"/>
      <c r="R6" s="67"/>
      <c r="S6" s="67"/>
      <c r="T6" s="67"/>
      <c r="U6" s="67"/>
      <c r="V6" s="67"/>
      <c r="W6" s="67"/>
      <c r="X6" s="67"/>
      <c r="Y6" s="67"/>
      <c r="Z6" s="67"/>
      <c r="AA6" s="67"/>
      <c r="AB6" s="67"/>
      <c r="AC6" s="67"/>
    </row>
    <row r="7" spans="2:29" ht="15" hidden="1" customHeight="1" x14ac:dyDescent="0.35">
      <c r="C7" s="7"/>
      <c r="D7" s="7"/>
      <c r="E7" s="7"/>
      <c r="F7" s="7"/>
      <c r="G7" s="7"/>
      <c r="H7" s="7"/>
      <c r="I7" s="7"/>
      <c r="J7" s="7"/>
      <c r="K7" s="7"/>
      <c r="L7" s="7"/>
      <c r="M7" s="7"/>
      <c r="N7" s="7"/>
      <c r="O7" s="7"/>
      <c r="P7" s="7"/>
      <c r="Q7" s="7"/>
      <c r="R7" s="7"/>
      <c r="S7" s="7"/>
      <c r="T7" s="7"/>
      <c r="U7" s="7"/>
      <c r="V7" s="7"/>
      <c r="W7" s="7"/>
      <c r="X7" s="7"/>
      <c r="Y7" s="7"/>
      <c r="Z7" s="7"/>
      <c r="AA7" s="7"/>
      <c r="AB7" s="7"/>
      <c r="AC7" s="7"/>
    </row>
    <row r="8" spans="2:29" hidden="1" x14ac:dyDescent="0.35">
      <c r="C8" s="7"/>
      <c r="D8" s="7"/>
      <c r="E8" s="7"/>
      <c r="F8" s="7"/>
      <c r="G8" s="7"/>
      <c r="H8" s="7"/>
      <c r="I8" s="7"/>
      <c r="J8" s="7"/>
      <c r="K8" s="7"/>
      <c r="L8" s="7"/>
      <c r="M8" s="7"/>
      <c r="N8" s="7"/>
      <c r="O8" s="7"/>
      <c r="P8" s="7"/>
      <c r="Q8" s="7"/>
      <c r="R8" s="7"/>
      <c r="S8" s="7"/>
      <c r="T8" s="7"/>
      <c r="U8" s="7"/>
      <c r="V8" s="7"/>
      <c r="W8" s="7"/>
      <c r="X8" s="7"/>
      <c r="Y8" s="7"/>
      <c r="Z8" s="7"/>
      <c r="AA8" s="7"/>
      <c r="AB8" s="7"/>
      <c r="AC8" s="7"/>
    </row>
    <row r="9" spans="2:29" hidden="1" x14ac:dyDescent="0.35">
      <c r="C9" s="7"/>
      <c r="D9" s="7"/>
      <c r="E9" s="7"/>
      <c r="F9" s="7"/>
      <c r="G9" s="7"/>
      <c r="H9" s="7"/>
      <c r="I9" s="7"/>
      <c r="J9" s="7"/>
      <c r="K9" s="7"/>
      <c r="L9" s="7"/>
      <c r="M9" s="7"/>
      <c r="N9" s="7"/>
      <c r="O9" s="7"/>
      <c r="P9" s="7"/>
      <c r="Q9" s="7"/>
      <c r="R9" s="7"/>
      <c r="S9" s="7"/>
      <c r="T9" s="7"/>
      <c r="U9" s="7"/>
      <c r="V9" s="7"/>
      <c r="W9" s="7"/>
      <c r="X9" s="7"/>
      <c r="Y9" s="7"/>
      <c r="Z9" s="7"/>
      <c r="AA9" s="7"/>
      <c r="AB9" s="7"/>
      <c r="AC9" s="7"/>
    </row>
    <row r="10" spans="2:29" hidden="1" x14ac:dyDescent="0.35">
      <c r="C10" s="7"/>
      <c r="D10" s="7"/>
      <c r="E10" s="7"/>
      <c r="F10" s="7"/>
      <c r="G10" s="7"/>
      <c r="H10" s="7"/>
      <c r="I10" s="7"/>
      <c r="J10" s="7"/>
      <c r="K10" s="7"/>
      <c r="L10" s="7"/>
      <c r="M10" s="7"/>
      <c r="N10" s="7"/>
      <c r="O10" s="7"/>
      <c r="P10" s="7"/>
      <c r="Q10" s="7"/>
      <c r="R10" s="7"/>
      <c r="S10" s="7"/>
      <c r="T10" s="7"/>
      <c r="U10" s="7"/>
      <c r="V10" s="7"/>
      <c r="W10" s="7"/>
      <c r="X10" s="7"/>
      <c r="Y10" s="7"/>
      <c r="Z10" s="7"/>
      <c r="AA10" s="7"/>
      <c r="AB10" s="7"/>
      <c r="AC10" s="7"/>
    </row>
    <row r="11" spans="2:29" hidden="1" x14ac:dyDescent="0.35">
      <c r="C11" s="7"/>
      <c r="D11" s="7"/>
      <c r="E11" s="7"/>
      <c r="F11" s="7"/>
      <c r="G11" s="7"/>
      <c r="H11" s="7"/>
      <c r="I11" s="7"/>
      <c r="J11" s="7"/>
      <c r="K11" s="7"/>
      <c r="L11" s="7"/>
      <c r="M11" s="7"/>
      <c r="N11" s="7"/>
      <c r="O11" s="7"/>
      <c r="P11" s="7"/>
      <c r="Q11" s="7"/>
      <c r="R11" s="7"/>
      <c r="S11" s="7"/>
      <c r="T11" s="7"/>
      <c r="U11" s="7"/>
      <c r="V11" s="7"/>
      <c r="W11" s="7"/>
      <c r="X11" s="7"/>
      <c r="Y11" s="7"/>
      <c r="Z11" s="7"/>
      <c r="AA11" s="7"/>
      <c r="AB11" s="7"/>
      <c r="AC11" s="7"/>
    </row>
  </sheetData>
  <phoneticPr fontId="1" type="noConversion"/>
  <dataValidations count="1">
    <dataValidation type="list" allowBlank="1" showInputMessage="1" showErrorMessage="1" sqref="AA5:AC5" xr:uid="{C603B5B5-C33F-4B0A-9103-E41BE3947A97}">
      <formula1>#REF!</formula1>
    </dataValidation>
  </dataValidations>
  <pageMargins left="0.7" right="0.7" top="0.75" bottom="0.75" header="0.3" footer="0.3"/>
  <pageSetup scale="66" orientation="landscape" r:id="rId1"/>
  <headerFooter>
    <oddHeader>&amp;L&amp;G&amp;C&amp;"Calibri"&amp;11&amp;K000000&amp;10&amp;F&amp;R&amp;10Pagina  &amp;P di &amp;N</oddHeader>
    <oddFooter>&amp;R&amp;P</oddFooter>
  </headerFooter>
  <drawing r:id="rId2"/>
  <legacyDrawingHF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7594B6-0FE4-4530-A113-414ED5307644}">
  <sheetPr codeName="Foglio14"/>
  <dimension ref="A1:AY37"/>
  <sheetViews>
    <sheetView showGridLines="0" zoomScale="75" zoomScaleNormal="100" zoomScaleSheetLayoutView="40" zoomScalePageLayoutView="85" workbookViewId="0">
      <selection activeCell="D4" sqref="D4"/>
    </sheetView>
  </sheetViews>
  <sheetFormatPr defaultColWidth="0" defaultRowHeight="0" customHeight="1" zeroHeight="1" x14ac:dyDescent="0.35"/>
  <cols>
    <col min="1" max="1" width="3.36328125" style="8" customWidth="1"/>
    <col min="2" max="2" width="17.6328125" style="8" bestFit="1" customWidth="1"/>
    <col min="3" max="3" width="23.54296875" style="8" customWidth="1"/>
    <col min="4" max="12" width="14.54296875" style="8" customWidth="1"/>
    <col min="13" max="13" width="56.453125" style="8" customWidth="1"/>
    <col min="14" max="14" width="9.36328125" style="8" customWidth="1"/>
    <col min="15" max="15" width="9.36328125" style="8" hidden="1" customWidth="1"/>
    <col min="16" max="19" width="0" style="8" hidden="1" customWidth="1"/>
    <col min="20" max="20" width="9.36328125" style="8" hidden="1" customWidth="1"/>
    <col min="21" max="21" width="0" style="8" hidden="1" customWidth="1"/>
    <col min="22" max="22" width="9.36328125" style="8" hidden="1" customWidth="1"/>
    <col min="23" max="42" width="0" style="8" hidden="1" customWidth="1"/>
    <col min="43" max="43" width="9.36328125" style="8" hidden="1" customWidth="1"/>
    <col min="44" max="47" width="0" style="8" hidden="1" customWidth="1"/>
    <col min="48" max="48" width="9.36328125" style="8" hidden="1" customWidth="1"/>
    <col min="49" max="49" width="0" style="8" hidden="1" customWidth="1"/>
    <col min="50" max="50" width="9.36328125" style="8" hidden="1" customWidth="1"/>
    <col min="51" max="51" width="0" style="8" hidden="1" customWidth="1"/>
    <col min="52" max="16384" width="9.36328125" style="8" hidden="1"/>
  </cols>
  <sheetData>
    <row r="1" spans="2:13" ht="34.4" customHeight="1" x14ac:dyDescent="0.35"/>
    <row r="2" spans="2:13" ht="16.399999999999999" customHeight="1" x14ac:dyDescent="0.35">
      <c r="B2" s="188"/>
      <c r="C2" s="188"/>
      <c r="D2" s="188"/>
      <c r="E2" s="188"/>
      <c r="F2" s="188"/>
      <c r="G2" s="188"/>
      <c r="H2" s="188"/>
      <c r="I2" s="188"/>
      <c r="J2" s="189"/>
      <c r="K2" s="190"/>
    </row>
    <row r="3" spans="2:13" ht="16.5" x14ac:dyDescent="0.35">
      <c r="B3" s="285" t="s">
        <v>445</v>
      </c>
      <c r="C3" s="191" t="s">
        <v>470</v>
      </c>
      <c r="D3" s="191" t="s">
        <v>471</v>
      </c>
      <c r="E3" s="191" t="s">
        <v>472</v>
      </c>
      <c r="F3" s="191" t="s">
        <v>473</v>
      </c>
      <c r="G3" s="191" t="s">
        <v>474</v>
      </c>
      <c r="H3" s="191" t="s">
        <v>475</v>
      </c>
      <c r="I3" s="191" t="s">
        <v>476</v>
      </c>
      <c r="J3" s="191" t="s">
        <v>477</v>
      </c>
      <c r="K3" s="191" t="s">
        <v>478</v>
      </c>
      <c r="L3" s="191" t="s">
        <v>479</v>
      </c>
      <c r="M3" s="196" t="s">
        <v>73</v>
      </c>
    </row>
    <row r="4" spans="2:13" ht="16.5" x14ac:dyDescent="0.35">
      <c r="B4" s="283">
        <f>'BIA Servizio'!$E$7</f>
        <v>0</v>
      </c>
      <c r="C4" s="192" t="s">
        <v>480</v>
      </c>
      <c r="D4" s="193">
        <f>'BIA Servizio'!E25</f>
        <v>0</v>
      </c>
      <c r="E4" s="193">
        <f>'BIA Servizio'!F25</f>
        <v>0</v>
      </c>
      <c r="F4" s="193">
        <f>'BIA Servizio'!G25</f>
        <v>0</v>
      </c>
      <c r="G4" s="193">
        <f>'BIA Servizio'!H25</f>
        <v>0</v>
      </c>
      <c r="H4" s="193">
        <f>'BIA Servizio'!I25</f>
        <v>0</v>
      </c>
      <c r="I4" s="193">
        <f>'BIA Servizio'!J25</f>
        <v>0</v>
      </c>
      <c r="J4" s="193">
        <f>'BIA Servizio'!K25</f>
        <v>0</v>
      </c>
      <c r="K4" s="193">
        <f>'BIA Servizio'!L25</f>
        <v>0</v>
      </c>
      <c r="L4" s="193">
        <f>'BIA Servizio'!M25</f>
        <v>0</v>
      </c>
      <c r="M4" s="197">
        <f>'BIA Servizio'!N25</f>
        <v>0</v>
      </c>
    </row>
    <row r="5" spans="2:13" ht="16.5" x14ac:dyDescent="0.35">
      <c r="B5" s="282">
        <f>'BIA Servizio'!$E$7</f>
        <v>0</v>
      </c>
      <c r="C5" s="194" t="s">
        <v>481</v>
      </c>
      <c r="D5" s="193">
        <f>'BIA Servizio'!E26</f>
        <v>0</v>
      </c>
      <c r="E5" s="193">
        <f>'BIA Servizio'!F26</f>
        <v>0</v>
      </c>
      <c r="F5" s="193">
        <f>'BIA Servizio'!G26</f>
        <v>0</v>
      </c>
      <c r="G5" s="193">
        <f>'BIA Servizio'!H26</f>
        <v>0</v>
      </c>
      <c r="H5" s="193">
        <f>'BIA Servizio'!I26</f>
        <v>0</v>
      </c>
      <c r="I5" s="193">
        <f>'BIA Servizio'!J26</f>
        <v>0</v>
      </c>
      <c r="J5" s="193">
        <f>'BIA Servizio'!K26</f>
        <v>0</v>
      </c>
      <c r="K5" s="193">
        <f>'BIA Servizio'!L26</f>
        <v>0</v>
      </c>
      <c r="L5" s="193">
        <f>'BIA Servizio'!M26</f>
        <v>0</v>
      </c>
      <c r="M5" s="197">
        <f>'BIA Servizio'!N26</f>
        <v>0</v>
      </c>
    </row>
    <row r="6" spans="2:13" ht="16.5" x14ac:dyDescent="0.35">
      <c r="B6" s="282">
        <f>'BIA Servizio'!$E$7</f>
        <v>0</v>
      </c>
      <c r="C6" s="194" t="s">
        <v>482</v>
      </c>
      <c r="D6" s="193">
        <f>'BIA Servizio'!E27</f>
        <v>0</v>
      </c>
      <c r="E6" s="193">
        <f>'BIA Servizio'!F27</f>
        <v>0</v>
      </c>
      <c r="F6" s="193">
        <f>'BIA Servizio'!G27</f>
        <v>0</v>
      </c>
      <c r="G6" s="193">
        <f>'BIA Servizio'!H27</f>
        <v>0</v>
      </c>
      <c r="H6" s="193">
        <f>'BIA Servizio'!I27</f>
        <v>0</v>
      </c>
      <c r="I6" s="193">
        <f>'BIA Servizio'!J27</f>
        <v>0</v>
      </c>
      <c r="J6" s="193">
        <f>'BIA Servizio'!K27</f>
        <v>0</v>
      </c>
      <c r="K6" s="193">
        <f>'BIA Servizio'!L27</f>
        <v>0</v>
      </c>
      <c r="L6" s="193">
        <f>'BIA Servizio'!M27</f>
        <v>0</v>
      </c>
      <c r="M6" s="197">
        <f>'BIA Servizio'!N27</f>
        <v>0</v>
      </c>
    </row>
    <row r="7" spans="2:13" ht="16.5" x14ac:dyDescent="0.35">
      <c r="B7" s="284">
        <f>'BIA Servizio'!$E$7</f>
        <v>0</v>
      </c>
      <c r="C7" s="194" t="s">
        <v>483</v>
      </c>
      <c r="D7" s="193">
        <f>'BIA Servizio'!E28</f>
        <v>0</v>
      </c>
      <c r="E7" s="193">
        <f>'BIA Servizio'!F28</f>
        <v>0</v>
      </c>
      <c r="F7" s="193">
        <f>'BIA Servizio'!G28</f>
        <v>0</v>
      </c>
      <c r="G7" s="193">
        <f>'BIA Servizio'!H28</f>
        <v>0</v>
      </c>
      <c r="H7" s="193">
        <f>'BIA Servizio'!I28</f>
        <v>0</v>
      </c>
      <c r="I7" s="193">
        <f>'BIA Servizio'!J28</f>
        <v>0</v>
      </c>
      <c r="J7" s="193">
        <f>'BIA Servizio'!K28</f>
        <v>0</v>
      </c>
      <c r="K7" s="193">
        <f>'BIA Servizio'!L28</f>
        <v>0</v>
      </c>
      <c r="L7" s="193">
        <f>'BIA Servizio'!M28</f>
        <v>0</v>
      </c>
      <c r="M7" s="197">
        <f>'BIA Servizio'!N28</f>
        <v>0</v>
      </c>
    </row>
    <row r="8" spans="2:13" ht="28.4" customHeight="1" x14ac:dyDescent="0.35">
      <c r="B8" s="195"/>
      <c r="C8" s="195"/>
      <c r="D8" s="195"/>
      <c r="E8" s="195"/>
      <c r="F8" s="195"/>
      <c r="G8" s="195"/>
      <c r="H8" s="195"/>
      <c r="I8" s="195"/>
    </row>
    <row r="9" spans="2:13" ht="13.4" hidden="1" customHeight="1" x14ac:dyDescent="0.35"/>
    <row r="10" spans="2:13" ht="13.4" hidden="1" customHeight="1" x14ac:dyDescent="0.35"/>
    <row r="11" spans="2:13" ht="13.4" hidden="1" customHeight="1" x14ac:dyDescent="0.35"/>
    <row r="12" spans="2:13" ht="13.4" hidden="1" customHeight="1" x14ac:dyDescent="0.35"/>
    <row r="13" spans="2:13" ht="13.4" hidden="1" customHeight="1" x14ac:dyDescent="0.35"/>
    <row r="14" spans="2:13" ht="13.4" hidden="1" customHeight="1" x14ac:dyDescent="0.35"/>
    <row r="15" spans="2:13" ht="13.4" hidden="1" customHeight="1" x14ac:dyDescent="0.35"/>
    <row r="16" spans="2:13" ht="13.4" hidden="1" customHeight="1" x14ac:dyDescent="0.35"/>
    <row r="17" ht="13.4" hidden="1" customHeight="1" x14ac:dyDescent="0.35"/>
    <row r="18" ht="13.4" hidden="1" customHeight="1" x14ac:dyDescent="0.35"/>
    <row r="19" ht="13.4" hidden="1" customHeight="1" x14ac:dyDescent="0.35"/>
    <row r="20" ht="13.4" hidden="1" customHeight="1" x14ac:dyDescent="0.35"/>
    <row r="21" ht="13.4" hidden="1" customHeight="1" x14ac:dyDescent="0.35"/>
    <row r="22" ht="13.4" hidden="1" customHeight="1" x14ac:dyDescent="0.35"/>
    <row r="23" ht="13.4" hidden="1" customHeight="1" x14ac:dyDescent="0.35"/>
    <row r="24" ht="13.4" hidden="1" customHeight="1" x14ac:dyDescent="0.35"/>
    <row r="25" ht="13.4" hidden="1" customHeight="1" x14ac:dyDescent="0.35"/>
    <row r="26" ht="13.4" hidden="1" customHeight="1" x14ac:dyDescent="0.35"/>
    <row r="27" ht="13.4" hidden="1" customHeight="1" x14ac:dyDescent="0.35"/>
    <row r="28" ht="13.4" hidden="1" customHeight="1" x14ac:dyDescent="0.35"/>
    <row r="29" ht="13.4" hidden="1" customHeight="1" x14ac:dyDescent="0.35"/>
    <row r="30" ht="13.4" hidden="1" customHeight="1" x14ac:dyDescent="0.35"/>
    <row r="31" ht="13.4" hidden="1" customHeight="1" x14ac:dyDescent="0.35"/>
    <row r="32" ht="13.4" hidden="1" customHeight="1" x14ac:dyDescent="0.35"/>
    <row r="33" ht="13.4" hidden="1" customHeight="1" x14ac:dyDescent="0.35"/>
    <row r="34" ht="13.4" hidden="1" customHeight="1" x14ac:dyDescent="0.35"/>
    <row r="35" ht="13.4" hidden="1" customHeight="1" x14ac:dyDescent="0.35"/>
    <row r="36" ht="13.4" hidden="1" customHeight="1" x14ac:dyDescent="0.35"/>
    <row r="37" ht="13.4" hidden="1" customHeight="1" x14ac:dyDescent="0.35"/>
  </sheetData>
  <conditionalFormatting sqref="D4:M7">
    <cfRule type="cellIs" dxfId="443" priority="1" operator="equal">
      <formula>"Estremo"</formula>
    </cfRule>
    <cfRule type="cellIs" dxfId="442" priority="2" operator="equal">
      <formula>"Trascurabile"</formula>
    </cfRule>
    <cfRule type="cellIs" dxfId="441" priority="3" operator="equal">
      <formula>"Contenuto"</formula>
    </cfRule>
    <cfRule type="cellIs" dxfId="440" priority="4" operator="equal">
      <formula>"Significativo"</formula>
    </cfRule>
    <cfRule type="cellIs" dxfId="439" priority="5" operator="equal">
      <formula>"Alto"</formula>
    </cfRule>
  </conditionalFormatting>
  <pageMargins left="0.7" right="0.7" top="0.75" bottom="0.75" header="0.3" footer="0.3"/>
  <pageSetup scale="66" orientation="landscape" r:id="rId1"/>
  <headerFooter>
    <oddHeader>&amp;L&amp;G&amp;C&amp;"Calibri"&amp;11&amp;K000000&amp;10&amp;F&amp;R&amp;10Pagina  &amp;P di &amp;N</oddHeader>
    <oddFooter>&amp;R&amp;P</oddFooter>
  </headerFooter>
  <drawing r:id="rId2"/>
  <legacyDrawingHF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68782-F047-4E6E-BE37-6D2F44DA4CDE}">
  <sheetPr codeName="Foglio12">
    <tabColor rgb="FFC34986"/>
  </sheetPr>
  <dimension ref="A1:T30"/>
  <sheetViews>
    <sheetView showGridLines="0" zoomScale="90" zoomScaleNormal="90" zoomScaleSheetLayoutView="40" zoomScalePageLayoutView="85" workbookViewId="0">
      <selection activeCell="H27" sqref="H27"/>
    </sheetView>
  </sheetViews>
  <sheetFormatPr defaultColWidth="0" defaultRowHeight="16.5" zeroHeight="1" x14ac:dyDescent="0.35"/>
  <cols>
    <col min="1" max="1" width="3.6328125" style="66" customWidth="1"/>
    <col min="2" max="2" width="2.453125" style="66" customWidth="1"/>
    <col min="3" max="3" width="2.6328125" style="66" customWidth="1"/>
    <col min="4" max="4" width="28.6328125" style="66" customWidth="1"/>
    <col min="5" max="5" width="13.453125" style="66" customWidth="1"/>
    <col min="6" max="6" width="15.36328125" style="205" customWidth="1"/>
    <col min="7" max="7" width="15.36328125" style="66" customWidth="1"/>
    <col min="8" max="9" width="10.453125" style="66" customWidth="1"/>
    <col min="10" max="10" width="14.36328125" style="66" customWidth="1"/>
    <col min="11" max="11" width="18" style="66" customWidth="1"/>
    <col min="12" max="12" width="13.453125" style="66" customWidth="1"/>
    <col min="13" max="13" width="19.453125" style="66" customWidth="1"/>
    <col min="14" max="14" width="22.453125" style="66" customWidth="1"/>
    <col min="15" max="15" width="14" style="66" customWidth="1"/>
    <col min="16" max="16" width="25.36328125" style="66" customWidth="1"/>
    <col min="17" max="17" width="26.36328125" style="66" customWidth="1"/>
    <col min="18" max="18" width="9.36328125" style="66" customWidth="1"/>
    <col min="19" max="20" width="0" style="66" hidden="1" customWidth="1"/>
    <col min="21" max="16384" width="9.36328125" style="66" hidden="1"/>
  </cols>
  <sheetData>
    <row r="1" spans="2:20" ht="28.4" customHeight="1" x14ac:dyDescent="0.35"/>
    <row r="2" spans="2:20" x14ac:dyDescent="0.35"/>
    <row r="3" spans="2:20" ht="16.399999999999999" customHeight="1" x14ac:dyDescent="0.35">
      <c r="B3" s="447" t="s">
        <v>444</v>
      </c>
      <c r="C3" s="447"/>
      <c r="D3" s="447"/>
      <c r="E3" s="447"/>
      <c r="F3" s="447"/>
      <c r="G3" s="447"/>
      <c r="H3" s="447"/>
      <c r="I3" s="447"/>
      <c r="J3" s="447"/>
      <c r="K3" s="447"/>
      <c r="L3" s="447"/>
      <c r="M3" s="447"/>
      <c r="N3" s="447"/>
      <c r="O3" s="447"/>
      <c r="P3" s="447"/>
      <c r="Q3" s="447"/>
    </row>
    <row r="4" spans="2:20" x14ac:dyDescent="0.35"/>
    <row r="5" spans="2:20" ht="16.5" customHeight="1" x14ac:dyDescent="0.35">
      <c r="B5" s="442" t="s">
        <v>484</v>
      </c>
      <c r="C5" s="443"/>
      <c r="D5" s="443"/>
      <c r="E5" s="443"/>
      <c r="F5" s="443"/>
      <c r="G5" s="443"/>
      <c r="H5" s="443"/>
      <c r="I5" s="443"/>
      <c r="J5" s="443"/>
      <c r="K5" s="443"/>
      <c r="L5" s="443"/>
      <c r="M5" s="443"/>
      <c r="N5" s="443"/>
      <c r="O5" s="443"/>
      <c r="P5" s="443"/>
      <c r="Q5" s="444"/>
      <c r="R5" s="198" t="s">
        <v>485</v>
      </c>
      <c r="T5" s="198" t="s">
        <v>486</v>
      </c>
    </row>
    <row r="6" spans="2:20" ht="16.5" customHeight="1" x14ac:dyDescent="0.35">
      <c r="B6" s="199" t="s">
        <v>465</v>
      </c>
      <c r="C6" s="200"/>
      <c r="D6" s="201"/>
      <c r="E6" s="446"/>
      <c r="F6" s="446"/>
      <c r="G6" s="446"/>
      <c r="H6" s="446"/>
      <c r="I6" s="446"/>
      <c r="J6" s="446"/>
      <c r="K6" s="446"/>
      <c r="L6" s="446"/>
      <c r="M6" s="446"/>
      <c r="N6" s="446"/>
      <c r="O6" s="446"/>
      <c r="P6" s="446"/>
      <c r="Q6" s="446"/>
      <c r="R6" s="198" t="s">
        <v>487</v>
      </c>
      <c r="T6" s="198" t="s">
        <v>488</v>
      </c>
    </row>
    <row r="7" spans="2:20" ht="11.25" customHeight="1" x14ac:dyDescent="0.35">
      <c r="B7" s="436" t="s">
        <v>445</v>
      </c>
      <c r="C7" s="437"/>
      <c r="D7" s="438"/>
      <c r="E7" s="431"/>
      <c r="F7" s="431"/>
      <c r="G7" s="431"/>
      <c r="H7" s="431"/>
      <c r="I7" s="431"/>
      <c r="J7" s="431"/>
      <c r="K7" s="434" t="s">
        <v>455</v>
      </c>
      <c r="L7" s="434"/>
      <c r="M7" s="434"/>
      <c r="N7" s="445"/>
      <c r="O7" s="445"/>
      <c r="P7" s="445"/>
      <c r="Q7" s="445"/>
      <c r="R7" s="198" t="s">
        <v>489</v>
      </c>
      <c r="T7" s="198" t="s">
        <v>490</v>
      </c>
    </row>
    <row r="8" spans="2:20" ht="11.25" customHeight="1" x14ac:dyDescent="0.35">
      <c r="B8" s="436" t="s">
        <v>446</v>
      </c>
      <c r="C8" s="437"/>
      <c r="D8" s="438"/>
      <c r="E8" s="431"/>
      <c r="F8" s="431"/>
      <c r="G8" s="431"/>
      <c r="H8" s="431"/>
      <c r="I8" s="431"/>
      <c r="J8" s="431"/>
      <c r="K8" s="434" t="s">
        <v>456</v>
      </c>
      <c r="L8" s="434"/>
      <c r="M8" s="434"/>
      <c r="N8" s="432"/>
      <c r="O8" s="431"/>
      <c r="P8" s="431"/>
      <c r="Q8" s="431"/>
      <c r="R8" s="198" t="s">
        <v>491</v>
      </c>
      <c r="T8" s="198" t="s">
        <v>492</v>
      </c>
    </row>
    <row r="9" spans="2:20" ht="11.25" customHeight="1" x14ac:dyDescent="0.35">
      <c r="B9" s="436" t="s">
        <v>447</v>
      </c>
      <c r="C9" s="437"/>
      <c r="D9" s="438"/>
      <c r="E9" s="445"/>
      <c r="F9" s="445"/>
      <c r="G9" s="445"/>
      <c r="H9" s="445"/>
      <c r="I9" s="445"/>
      <c r="J9" s="445"/>
      <c r="K9" s="434" t="s">
        <v>457</v>
      </c>
      <c r="L9" s="434"/>
      <c r="M9" s="434"/>
      <c r="N9" s="435"/>
      <c r="O9" s="435"/>
      <c r="P9" s="435"/>
      <c r="Q9" s="435"/>
      <c r="R9" s="198" t="s">
        <v>493</v>
      </c>
      <c r="T9" s="198" t="s">
        <v>494</v>
      </c>
    </row>
    <row r="10" spans="2:20" ht="11.25" customHeight="1" x14ac:dyDescent="0.35">
      <c r="B10" s="436" t="s">
        <v>448</v>
      </c>
      <c r="C10" s="437"/>
      <c r="D10" s="438"/>
      <c r="E10" s="445"/>
      <c r="F10" s="445"/>
      <c r="G10" s="445"/>
      <c r="H10" s="445"/>
      <c r="I10" s="445"/>
      <c r="J10" s="445"/>
      <c r="K10" s="434" t="s">
        <v>458</v>
      </c>
      <c r="L10" s="434"/>
      <c r="M10" s="434"/>
      <c r="N10" s="435"/>
      <c r="O10" s="435"/>
      <c r="P10" s="435"/>
      <c r="Q10" s="435"/>
      <c r="R10" s="198" t="s">
        <v>495</v>
      </c>
      <c r="T10" s="198"/>
    </row>
    <row r="11" spans="2:20" ht="11.25" customHeight="1" x14ac:dyDescent="0.35">
      <c r="B11" s="436" t="s">
        <v>449</v>
      </c>
      <c r="C11" s="437"/>
      <c r="D11" s="438"/>
      <c r="E11" s="445"/>
      <c r="F11" s="445"/>
      <c r="G11" s="445"/>
      <c r="H11" s="445"/>
      <c r="I11" s="445"/>
      <c r="J11" s="445"/>
      <c r="K11" s="434" t="s">
        <v>459</v>
      </c>
      <c r="L11" s="434"/>
      <c r="M11" s="434"/>
      <c r="N11" s="435"/>
      <c r="O11" s="435"/>
      <c r="P11" s="435"/>
      <c r="Q11" s="435"/>
      <c r="R11" s="198" t="s">
        <v>496</v>
      </c>
      <c r="T11" s="198"/>
    </row>
    <row r="12" spans="2:20" ht="11.25" customHeight="1" x14ac:dyDescent="0.35">
      <c r="B12" s="436" t="s">
        <v>450</v>
      </c>
      <c r="C12" s="437"/>
      <c r="D12" s="438"/>
      <c r="E12" s="445"/>
      <c r="F12" s="445"/>
      <c r="G12" s="445"/>
      <c r="H12" s="445"/>
      <c r="I12" s="445"/>
      <c r="J12" s="445"/>
      <c r="K12" s="434" t="s">
        <v>460</v>
      </c>
      <c r="L12" s="434"/>
      <c r="M12" s="434"/>
      <c r="N12" s="435"/>
      <c r="O12" s="435"/>
      <c r="P12" s="435"/>
      <c r="Q12" s="435"/>
      <c r="R12" s="198" t="s">
        <v>497</v>
      </c>
    </row>
    <row r="13" spans="2:20" ht="11.25" customHeight="1" x14ac:dyDescent="0.35">
      <c r="B13" s="436" t="s">
        <v>451</v>
      </c>
      <c r="C13" s="437"/>
      <c r="D13" s="438"/>
      <c r="E13" s="431"/>
      <c r="F13" s="431"/>
      <c r="G13" s="431"/>
      <c r="H13" s="431"/>
      <c r="I13" s="431"/>
      <c r="J13" s="431"/>
      <c r="K13" s="434" t="s">
        <v>461</v>
      </c>
      <c r="L13" s="434"/>
      <c r="M13" s="434"/>
      <c r="N13" s="435"/>
      <c r="O13" s="435"/>
      <c r="P13" s="435"/>
      <c r="Q13" s="435"/>
      <c r="R13" s="198" t="s">
        <v>498</v>
      </c>
    </row>
    <row r="14" spans="2:20" ht="11.25" customHeight="1" x14ac:dyDescent="0.35">
      <c r="B14" s="436" t="s">
        <v>452</v>
      </c>
      <c r="C14" s="437"/>
      <c r="D14" s="438"/>
      <c r="E14" s="431"/>
      <c r="F14" s="431"/>
      <c r="G14" s="431"/>
      <c r="H14" s="431"/>
      <c r="I14" s="431"/>
      <c r="J14" s="431"/>
      <c r="K14" s="434" t="s">
        <v>499</v>
      </c>
      <c r="L14" s="434"/>
      <c r="M14" s="434"/>
      <c r="N14" s="435"/>
      <c r="O14" s="435"/>
      <c r="P14" s="435"/>
      <c r="Q14" s="435"/>
      <c r="R14" s="198" t="s">
        <v>500</v>
      </c>
    </row>
    <row r="15" spans="2:20" ht="11.25" customHeight="1" x14ac:dyDescent="0.35">
      <c r="B15" s="436" t="s">
        <v>453</v>
      </c>
      <c r="C15" s="437"/>
      <c r="D15" s="438"/>
      <c r="E15" s="431"/>
      <c r="F15" s="431"/>
      <c r="G15" s="431"/>
      <c r="H15" s="431"/>
      <c r="I15" s="431"/>
      <c r="J15" s="431"/>
      <c r="K15" s="434" t="s">
        <v>463</v>
      </c>
      <c r="L15" s="434"/>
      <c r="M15" s="434"/>
      <c r="N15" s="435"/>
      <c r="O15" s="435"/>
      <c r="P15" s="435"/>
      <c r="Q15" s="435"/>
      <c r="R15" s="198" t="s">
        <v>501</v>
      </c>
    </row>
    <row r="16" spans="2:20" ht="11.25" customHeight="1" x14ac:dyDescent="0.35">
      <c r="B16" s="436" t="s">
        <v>454</v>
      </c>
      <c r="C16" s="437"/>
      <c r="D16" s="438"/>
      <c r="E16" s="431"/>
      <c r="F16" s="431"/>
      <c r="G16" s="431"/>
      <c r="H16" s="431"/>
      <c r="I16" s="431"/>
      <c r="J16" s="431"/>
      <c r="K16" s="434" t="s">
        <v>464</v>
      </c>
      <c r="L16" s="434"/>
      <c r="M16" s="434"/>
      <c r="N16" s="435"/>
      <c r="O16" s="435"/>
      <c r="P16" s="435"/>
      <c r="Q16" s="435"/>
      <c r="R16" s="198" t="s">
        <v>502</v>
      </c>
    </row>
    <row r="17" spans="2:18" ht="15" customHeight="1" x14ac:dyDescent="0.35">
      <c r="B17" s="428" t="s">
        <v>503</v>
      </c>
      <c r="C17" s="428"/>
      <c r="D17" s="428"/>
      <c r="E17" s="428"/>
      <c r="F17" s="428"/>
      <c r="G17" s="428"/>
      <c r="H17" s="428"/>
      <c r="I17" s="428"/>
      <c r="J17" s="428"/>
      <c r="K17" s="428"/>
      <c r="L17" s="428"/>
      <c r="M17" s="428"/>
      <c r="N17" s="428"/>
      <c r="O17" s="428"/>
      <c r="P17" s="428"/>
      <c r="Q17" s="428"/>
      <c r="R17" s="198" t="s">
        <v>504</v>
      </c>
    </row>
    <row r="18" spans="2:18" ht="176.4" customHeight="1" x14ac:dyDescent="0.35">
      <c r="B18" s="439"/>
      <c r="C18" s="440"/>
      <c r="D18" s="440"/>
      <c r="E18" s="440"/>
      <c r="F18" s="440"/>
      <c r="G18" s="440"/>
      <c r="H18" s="440"/>
      <c r="I18" s="440"/>
      <c r="J18" s="440"/>
      <c r="K18" s="440"/>
      <c r="L18" s="440"/>
      <c r="M18" s="440"/>
      <c r="N18" s="440"/>
      <c r="O18" s="440"/>
      <c r="P18" s="440"/>
      <c r="Q18" s="441"/>
      <c r="R18" s="198" t="s">
        <v>505</v>
      </c>
    </row>
    <row r="19" spans="2:18" x14ac:dyDescent="0.35">
      <c r="B19" s="428" t="s">
        <v>506</v>
      </c>
      <c r="C19" s="428"/>
      <c r="D19" s="428"/>
      <c r="E19" s="428"/>
      <c r="F19" s="428"/>
      <c r="G19" s="428"/>
      <c r="H19" s="428"/>
      <c r="I19" s="428"/>
      <c r="J19" s="428"/>
      <c r="K19" s="428"/>
      <c r="L19" s="428"/>
      <c r="M19" s="428"/>
      <c r="N19" s="428"/>
      <c r="O19" s="428"/>
      <c r="P19" s="428"/>
      <c r="Q19" s="428"/>
      <c r="R19" s="198" t="s">
        <v>507</v>
      </c>
    </row>
    <row r="20" spans="2:18" ht="27.5" customHeight="1" x14ac:dyDescent="0.35">
      <c r="B20" s="429" t="s">
        <v>467</v>
      </c>
      <c r="C20" s="429"/>
      <c r="D20" s="429"/>
      <c r="E20" s="431"/>
      <c r="F20" s="431"/>
      <c r="G20" s="431"/>
      <c r="H20" s="431"/>
      <c r="I20" s="431"/>
      <c r="J20" s="431"/>
      <c r="K20" s="431"/>
      <c r="L20" s="431"/>
      <c r="M20" s="431"/>
      <c r="N20" s="431"/>
      <c r="O20" s="431"/>
      <c r="P20" s="431"/>
      <c r="Q20" s="431"/>
      <c r="R20" s="198" t="s">
        <v>508</v>
      </c>
    </row>
    <row r="21" spans="2:18" ht="27.5" customHeight="1" x14ac:dyDescent="0.35">
      <c r="B21" s="429" t="s">
        <v>468</v>
      </c>
      <c r="C21" s="429"/>
      <c r="D21" s="429"/>
      <c r="E21" s="431"/>
      <c r="F21" s="431"/>
      <c r="G21" s="431"/>
      <c r="H21" s="431"/>
      <c r="I21" s="431"/>
      <c r="J21" s="431"/>
      <c r="K21" s="431"/>
      <c r="L21" s="431"/>
      <c r="M21" s="431"/>
      <c r="N21" s="431"/>
      <c r="O21" s="431"/>
      <c r="P21" s="431"/>
      <c r="Q21" s="431"/>
    </row>
    <row r="22" spans="2:18" ht="27.5" customHeight="1" x14ac:dyDescent="0.35">
      <c r="B22" s="433" t="s">
        <v>469</v>
      </c>
      <c r="C22" s="433"/>
      <c r="D22" s="433"/>
      <c r="E22" s="431"/>
      <c r="F22" s="431"/>
      <c r="G22" s="431"/>
      <c r="H22" s="431"/>
      <c r="I22" s="431"/>
      <c r="J22" s="431"/>
      <c r="K22" s="431"/>
      <c r="L22" s="431"/>
      <c r="M22" s="431"/>
      <c r="N22" s="431"/>
      <c r="O22" s="431"/>
      <c r="P22" s="431"/>
      <c r="Q22" s="431"/>
    </row>
    <row r="23" spans="2:18" x14ac:dyDescent="0.35">
      <c r="B23" s="428" t="s">
        <v>509</v>
      </c>
      <c r="C23" s="428"/>
      <c r="D23" s="428"/>
      <c r="E23" s="428"/>
      <c r="F23" s="428"/>
      <c r="G23" s="428"/>
      <c r="H23" s="428"/>
      <c r="I23" s="428"/>
      <c r="J23" s="428"/>
      <c r="K23" s="428"/>
      <c r="L23" s="428"/>
      <c r="M23" s="428"/>
      <c r="N23" s="428"/>
      <c r="O23" s="428"/>
      <c r="P23" s="428"/>
      <c r="Q23" s="428"/>
    </row>
    <row r="24" spans="2:18" ht="20" customHeight="1" x14ac:dyDescent="0.35">
      <c r="B24" s="429" t="s">
        <v>470</v>
      </c>
      <c r="C24" s="429"/>
      <c r="D24" s="429"/>
      <c r="E24" s="202" t="s">
        <v>471</v>
      </c>
      <c r="F24" s="203" t="s">
        <v>472</v>
      </c>
      <c r="G24" s="202" t="s">
        <v>473</v>
      </c>
      <c r="H24" s="202" t="s">
        <v>474</v>
      </c>
      <c r="I24" s="202" t="s">
        <v>475</v>
      </c>
      <c r="J24" s="202" t="s">
        <v>476</v>
      </c>
      <c r="K24" s="202" t="s">
        <v>477</v>
      </c>
      <c r="L24" s="202" t="s">
        <v>478</v>
      </c>
      <c r="M24" s="202" t="s">
        <v>479</v>
      </c>
      <c r="N24" s="430" t="s">
        <v>73</v>
      </c>
      <c r="O24" s="430"/>
      <c r="P24" s="430"/>
      <c r="Q24" s="430"/>
    </row>
    <row r="25" spans="2:18" ht="52.25" customHeight="1" x14ac:dyDescent="0.35">
      <c r="B25" s="429" t="s">
        <v>480</v>
      </c>
      <c r="C25" s="429"/>
      <c r="D25" s="429"/>
      <c r="E25" s="204"/>
      <c r="F25" s="204"/>
      <c r="G25" s="204"/>
      <c r="H25" s="204"/>
      <c r="I25" s="204"/>
      <c r="J25" s="204"/>
      <c r="K25" s="204"/>
      <c r="L25" s="204"/>
      <c r="M25" s="204"/>
      <c r="N25" s="432"/>
      <c r="O25" s="432"/>
      <c r="P25" s="432"/>
      <c r="Q25" s="432"/>
    </row>
    <row r="26" spans="2:18" ht="93.65" customHeight="1" x14ac:dyDescent="0.35">
      <c r="B26" s="429" t="s">
        <v>481</v>
      </c>
      <c r="C26" s="429"/>
      <c r="D26" s="429"/>
      <c r="E26" s="204"/>
      <c r="F26" s="204"/>
      <c r="G26" s="204"/>
      <c r="H26" s="204"/>
      <c r="I26" s="204"/>
      <c r="J26" s="204"/>
      <c r="K26" s="204"/>
      <c r="L26" s="204"/>
      <c r="M26" s="204"/>
      <c r="N26" s="432"/>
      <c r="O26" s="432"/>
      <c r="P26" s="432"/>
      <c r="Q26" s="432"/>
    </row>
    <row r="27" spans="2:18" ht="87" customHeight="1" x14ac:dyDescent="0.35">
      <c r="B27" s="429" t="s">
        <v>482</v>
      </c>
      <c r="C27" s="429"/>
      <c r="D27" s="429"/>
      <c r="E27" s="204"/>
      <c r="F27" s="204"/>
      <c r="G27" s="204"/>
      <c r="H27" s="204"/>
      <c r="I27" s="204"/>
      <c r="J27" s="204"/>
      <c r="K27" s="204"/>
      <c r="L27" s="204"/>
      <c r="M27" s="204"/>
      <c r="N27" s="432"/>
      <c r="O27" s="432"/>
      <c r="P27" s="432"/>
      <c r="Q27" s="432"/>
    </row>
    <row r="28" spans="2:18" ht="68.75" customHeight="1" x14ac:dyDescent="0.35">
      <c r="B28" s="429" t="s">
        <v>483</v>
      </c>
      <c r="C28" s="429"/>
      <c r="D28" s="429"/>
      <c r="E28" s="204"/>
      <c r="F28" s="204"/>
      <c r="G28" s="204"/>
      <c r="H28" s="204"/>
      <c r="I28" s="204"/>
      <c r="J28" s="204"/>
      <c r="K28" s="204"/>
      <c r="L28" s="204"/>
      <c r="M28" s="204"/>
      <c r="N28" s="432"/>
      <c r="O28" s="432"/>
      <c r="P28" s="432"/>
      <c r="Q28" s="432"/>
    </row>
    <row r="29" spans="2:18" x14ac:dyDescent="0.35"/>
    <row r="30" spans="2:18" x14ac:dyDescent="0.35"/>
  </sheetData>
  <mergeCells count="63">
    <mergeCell ref="B3:Q3"/>
    <mergeCell ref="B10:D10"/>
    <mergeCell ref="B11:D11"/>
    <mergeCell ref="B12:D12"/>
    <mergeCell ref="B13:D13"/>
    <mergeCell ref="K9:M9"/>
    <mergeCell ref="N9:Q9"/>
    <mergeCell ref="E10:J10"/>
    <mergeCell ref="K10:M10"/>
    <mergeCell ref="N10:Q10"/>
    <mergeCell ref="E12:J12"/>
    <mergeCell ref="K12:M12"/>
    <mergeCell ref="N12:Q12"/>
    <mergeCell ref="E13:J13"/>
    <mergeCell ref="K13:M13"/>
    <mergeCell ref="N13:Q13"/>
    <mergeCell ref="B5:Q5"/>
    <mergeCell ref="B7:D7"/>
    <mergeCell ref="B8:D8"/>
    <mergeCell ref="B9:D9"/>
    <mergeCell ref="E11:J11"/>
    <mergeCell ref="K11:M11"/>
    <mergeCell ref="N11:Q11"/>
    <mergeCell ref="E6:Q6"/>
    <mergeCell ref="E7:J7"/>
    <mergeCell ref="K7:M7"/>
    <mergeCell ref="N7:Q7"/>
    <mergeCell ref="E8:J8"/>
    <mergeCell ref="K8:M8"/>
    <mergeCell ref="N8:Q8"/>
    <mergeCell ref="E9:J9"/>
    <mergeCell ref="B19:Q19"/>
    <mergeCell ref="E14:J14"/>
    <mergeCell ref="K14:M14"/>
    <mergeCell ref="N14:Q14"/>
    <mergeCell ref="E15:J15"/>
    <mergeCell ref="K15:M15"/>
    <mergeCell ref="N15:Q15"/>
    <mergeCell ref="B15:D15"/>
    <mergeCell ref="B16:D16"/>
    <mergeCell ref="B18:Q18"/>
    <mergeCell ref="E16:J16"/>
    <mergeCell ref="K16:M16"/>
    <mergeCell ref="N16:Q16"/>
    <mergeCell ref="B17:Q17"/>
    <mergeCell ref="B14:D14"/>
    <mergeCell ref="B20:D20"/>
    <mergeCell ref="B21:D21"/>
    <mergeCell ref="E21:Q21"/>
    <mergeCell ref="E20:Q20"/>
    <mergeCell ref="B22:D22"/>
    <mergeCell ref="B23:Q23"/>
    <mergeCell ref="B24:D24"/>
    <mergeCell ref="N24:Q24"/>
    <mergeCell ref="E22:Q22"/>
    <mergeCell ref="B28:D28"/>
    <mergeCell ref="N28:Q28"/>
    <mergeCell ref="B25:D25"/>
    <mergeCell ref="N25:Q25"/>
    <mergeCell ref="B26:D26"/>
    <mergeCell ref="N26:Q26"/>
    <mergeCell ref="B27:D27"/>
    <mergeCell ref="N27:Q27"/>
  </mergeCells>
  <conditionalFormatting sqref="E25:M28">
    <cfRule type="cellIs" dxfId="424" priority="1" operator="equal">
      <formula>"Estremo"</formula>
    </cfRule>
    <cfRule type="cellIs" dxfId="423" priority="2" operator="equal">
      <formula>"Trascurabile"</formula>
    </cfRule>
    <cfRule type="cellIs" dxfId="422" priority="3" operator="equal">
      <formula>"Contenuto"</formula>
    </cfRule>
    <cfRule type="cellIs" dxfId="421" priority="4" operator="equal">
      <formula>"Significativo"</formula>
    </cfRule>
    <cfRule type="cellIs" dxfId="420" priority="5" operator="equal">
      <formula>"Alto"</formula>
    </cfRule>
  </conditionalFormatting>
  <dataValidations count="6">
    <dataValidation type="list" allowBlank="1" showInputMessage="1" showErrorMessage="1" sqref="E14:J14" xr:uid="{D606A013-DD9D-4195-8E50-5D00BFB4A305}">
      <formula1>$R$5:$R$20</formula1>
    </dataValidation>
    <dataValidation type="list" allowBlank="1" showInputMessage="1" showErrorMessage="1" sqref="E13:J13" xr:uid="{74B79839-1BC8-4BB3-8CDD-416722F79DF5}">
      <formula1>"Servizio esterno con RTO contrattualizzato,Servizio esterno senza RTO contrattualizzato,Servizio interno"</formula1>
    </dataValidation>
    <dataValidation type="list" allowBlank="1" showInputMessage="1" showErrorMessage="1" sqref="E6:Q6" xr:uid="{7D4559CA-8963-4183-A50B-4696D179969B}">
      <formula1>$T$5:$T$9</formula1>
    </dataValidation>
    <dataValidation type="list" allowBlank="1" showInputMessage="1" showErrorMessage="1" sqref="N12:Q12" xr:uid="{4D80611F-7F9E-41C2-8ACD-2136A69AE278}">
      <formula1>"DR ATTIVO TOTALE, DR ATTIVO PARZIALE, SOLO BC"</formula1>
    </dataValidation>
    <dataValidation type="list" allowBlank="1" showInputMessage="1" showErrorMessage="1" sqref="E23:F23" xr:uid="{FED94E2E-782E-4EFB-A8F8-2F78109DF5D0}">
      <formula1>"Ad evento, Giornaliero, Settimenale, Mensile"</formula1>
    </dataValidation>
    <dataValidation type="list" allowBlank="1" showInputMessage="1" showErrorMessage="1" sqref="E20:Q20" xr:uid="{A90E4750-71AC-41CE-A151-A903BB0AEAD8}">
      <formula1>"Giornaliero, Mensile, Continuo, Ad evento"</formula1>
    </dataValidation>
  </dataValidations>
  <pageMargins left="0.7" right="0.7" top="0.75" bottom="0.75" header="0.3" footer="0.3"/>
  <pageSetup scale="66" orientation="landscape" r:id="rId1"/>
  <headerFooter>
    <oddHeader>&amp;L&amp;G&amp;C&amp;"Calibri"&amp;11&amp;K000000&amp;10&amp;F&amp;R&amp;10Pagina  &amp;P di &amp;N</oddHeader>
    <oddFooter>&amp;R&amp;P</oddFooter>
  </headerFooter>
  <rowBreaks count="1" manualBreakCount="1">
    <brk id="22" max="16383" man="1"/>
  </rowBreaks>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D7FC0820-8F21-4EBD-A612-8EB47B6DD128}">
          <x14:formula1>
            <xm:f>Parametri_BIA!$E$6:$E$10</xm:f>
          </x14:formula1>
          <xm:sqref>N11:Q11 E25:M28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87D1-8414-4E9B-9EDB-2ED33635AF09}">
  <sheetPr codeName="Foglio6">
    <tabColor rgb="FFC34986"/>
  </sheetPr>
  <dimension ref="A1:S13"/>
  <sheetViews>
    <sheetView showGridLines="0" zoomScaleNormal="100" workbookViewId="0">
      <pane xSplit="4" ySplit="4" topLeftCell="E5" activePane="bottomRight" state="frozen"/>
      <selection pane="topRight" activeCell="J6" sqref="J6"/>
      <selection pane="bottomLeft" activeCell="J6" sqref="J6"/>
      <selection pane="bottomRight" activeCell="E13" sqref="E13"/>
    </sheetView>
  </sheetViews>
  <sheetFormatPr defaultColWidth="0" defaultRowHeight="17" zeroHeight="1" x14ac:dyDescent="0.5"/>
  <cols>
    <col min="1" max="1" width="5" style="1" customWidth="1"/>
    <col min="2" max="2" width="13.36328125" style="1" bestFit="1" customWidth="1"/>
    <col min="3" max="3" width="12.6328125" style="1" customWidth="1"/>
    <col min="4" max="4" width="26.54296875" style="1" bestFit="1" customWidth="1"/>
    <col min="5" max="5" width="62.453125" style="1" customWidth="1"/>
    <col min="6" max="6" width="14.36328125" style="31" customWidth="1"/>
    <col min="7" max="7" width="13.36328125" style="31" customWidth="1"/>
    <col min="8" max="9" width="8.6328125" style="31" customWidth="1"/>
    <col min="10" max="10" width="49.36328125" style="1" customWidth="1"/>
    <col min="11" max="11" width="33.453125" style="1" customWidth="1"/>
    <col min="12" max="12" width="8.6328125" style="1" customWidth="1"/>
    <col min="13" max="19" width="0" style="1" hidden="1" customWidth="1"/>
    <col min="20" max="16384" width="8.6328125" style="1" hidden="1"/>
  </cols>
  <sheetData>
    <row r="1" spans="2:11" ht="34.4" customHeight="1" x14ac:dyDescent="0.5"/>
    <row r="2" spans="2:11" x14ac:dyDescent="0.5">
      <c r="B2" s="447" t="s">
        <v>510</v>
      </c>
      <c r="C2" s="447"/>
      <c r="D2" s="447"/>
      <c r="E2" s="447"/>
      <c r="F2" s="447"/>
      <c r="G2" s="447"/>
      <c r="H2" s="447"/>
      <c r="I2" s="447"/>
      <c r="J2" s="447"/>
      <c r="K2" s="447"/>
    </row>
    <row r="3" spans="2:11" ht="14.75" customHeight="1" x14ac:dyDescent="0.5">
      <c r="D3" s="9"/>
    </row>
    <row r="4" spans="2:11" x14ac:dyDescent="0.5">
      <c r="B4" s="70" t="s">
        <v>116</v>
      </c>
      <c r="C4" s="69" t="s">
        <v>118</v>
      </c>
      <c r="D4" s="70" t="s">
        <v>120</v>
      </c>
      <c r="E4" s="70" t="s">
        <v>511</v>
      </c>
      <c r="F4" s="70" t="s">
        <v>0</v>
      </c>
      <c r="G4" s="70" t="s">
        <v>125</v>
      </c>
      <c r="H4" s="70" t="s">
        <v>33</v>
      </c>
      <c r="I4" s="70" t="s">
        <v>129</v>
      </c>
      <c r="J4" s="70" t="s">
        <v>132</v>
      </c>
      <c r="K4" s="71" t="s">
        <v>73</v>
      </c>
    </row>
    <row r="5" spans="2:11" x14ac:dyDescent="0.5">
      <c r="B5" s="73">
        <f>'Appoggio_BIA Servizio'!$B$5</f>
        <v>0</v>
      </c>
      <c r="C5" s="72" t="str">
        <f>'Appoggio_BIA Servizio'!$B$5 &amp; "_" &amp; "P" &amp; TEXT(ROW('Appoggio_BIA Servizio'!B5)-4, "00")</f>
        <v>0_P01</v>
      </c>
      <c r="D5" s="73"/>
      <c r="E5" s="74"/>
      <c r="F5" s="75"/>
      <c r="G5" s="75"/>
      <c r="H5" s="75"/>
      <c r="I5" s="76"/>
      <c r="J5" s="73"/>
      <c r="K5" s="73"/>
    </row>
    <row r="6" spans="2:11" x14ac:dyDescent="0.5">
      <c r="B6" s="73">
        <f>'Appoggio_BIA Servizio'!$B$5</f>
        <v>0</v>
      </c>
      <c r="C6" s="72" t="str">
        <f>'Appoggio_BIA Servizio'!$B$5 &amp; "_" &amp; "P" &amp; TEXT(ROW('Appoggio_BIA Servizio'!B6)-4, "00")</f>
        <v>0_P02</v>
      </c>
      <c r="D6" s="73"/>
      <c r="E6" s="74"/>
      <c r="F6" s="75"/>
      <c r="G6" s="75"/>
      <c r="H6" s="75"/>
      <c r="I6" s="76"/>
      <c r="J6" s="73"/>
      <c r="K6" s="77"/>
    </row>
    <row r="7" spans="2:11" x14ac:dyDescent="0.5">
      <c r="B7" s="73">
        <f>'Appoggio_BIA Servizio'!$B$5</f>
        <v>0</v>
      </c>
      <c r="C7" s="72" t="str">
        <f>'Appoggio_BIA Servizio'!$B$5 &amp; "_" &amp; "P" &amp; TEXT(ROW('Appoggio_BIA Servizio'!B7)-4, "00")</f>
        <v>0_P03</v>
      </c>
      <c r="D7" s="73"/>
      <c r="E7" s="74"/>
      <c r="F7" s="75"/>
      <c r="G7" s="75"/>
      <c r="H7" s="75"/>
      <c r="I7" s="76"/>
      <c r="J7" s="73"/>
      <c r="K7" s="77"/>
    </row>
    <row r="8" spans="2:11" x14ac:dyDescent="0.5">
      <c r="B8" s="73">
        <f>'Appoggio_BIA Servizio'!$B$5</f>
        <v>0</v>
      </c>
      <c r="C8" s="72" t="str">
        <f>'Appoggio_BIA Servizio'!$B$5 &amp; "_" &amp; "P" &amp; TEXT(ROW('Appoggio_BIA Servizio'!B8)-4, "00")</f>
        <v>0_P04</v>
      </c>
      <c r="D8" s="73"/>
      <c r="E8" s="74"/>
      <c r="F8" s="75"/>
      <c r="G8" s="75"/>
      <c r="H8" s="75"/>
      <c r="I8" s="76"/>
      <c r="J8" s="73"/>
      <c r="K8" s="78"/>
    </row>
    <row r="9" spans="2:11" x14ac:dyDescent="0.5">
      <c r="B9" s="73">
        <f>'Appoggio_BIA Servizio'!$B$5</f>
        <v>0</v>
      </c>
      <c r="C9" s="72" t="str">
        <f>'Appoggio_BIA Servizio'!$B$5 &amp; "_" &amp; "P" &amp; TEXT(ROW('Appoggio_BIA Servizio'!B9)-4, "00")</f>
        <v>0_P05</v>
      </c>
      <c r="D9" s="73"/>
      <c r="E9" s="74"/>
      <c r="F9" s="75"/>
      <c r="G9" s="75"/>
      <c r="H9" s="75"/>
      <c r="I9" s="76"/>
      <c r="J9" s="73"/>
      <c r="K9" s="78"/>
    </row>
    <row r="10" spans="2:11" x14ac:dyDescent="0.5">
      <c r="B10" s="73">
        <f>'Appoggio_BIA Servizio'!$B$5</f>
        <v>0</v>
      </c>
      <c r="C10" s="72" t="str">
        <f>'Appoggio_BIA Servizio'!$B$5 &amp; "_" &amp; "P" &amp; TEXT(ROW('Appoggio_BIA Servizio'!B10)-4, "00")</f>
        <v>0_P06</v>
      </c>
      <c r="D10" s="73"/>
      <c r="E10" s="74"/>
      <c r="F10" s="75"/>
      <c r="G10" s="75"/>
      <c r="H10" s="75"/>
      <c r="I10" s="76"/>
      <c r="J10" s="73"/>
      <c r="K10" s="77"/>
    </row>
    <row r="11" spans="2:11" x14ac:dyDescent="0.5">
      <c r="B11" s="73">
        <f>'Appoggio_BIA Servizio'!$B$5</f>
        <v>0</v>
      </c>
      <c r="C11" s="72" t="str">
        <f>'Appoggio_BIA Servizio'!$B$5 &amp; "_" &amp; "P" &amp; TEXT(ROW('Appoggio_BIA Servizio'!B11)-4, "00")</f>
        <v>0_P07</v>
      </c>
      <c r="D11" s="79"/>
      <c r="E11" s="79"/>
      <c r="F11" s="80"/>
      <c r="G11" s="80"/>
      <c r="H11" s="80"/>
      <c r="I11" s="80"/>
      <c r="J11" s="79"/>
      <c r="K11" s="81"/>
    </row>
    <row r="12" spans="2:11" x14ac:dyDescent="0.5"/>
    <row r="13" spans="2:11" x14ac:dyDescent="0.5"/>
  </sheetData>
  <mergeCells count="1">
    <mergeCell ref="B2:K2"/>
  </mergeCells>
  <dataValidations count="3">
    <dataValidation type="list" allowBlank="1" showInputMessage="1" showErrorMessage="1" sqref="H5:H10" xr:uid="{57C41108-3648-4D93-ACD0-6B6167F474A3}">
      <formula1>"BC+DR,solo BC"</formula1>
    </dataValidation>
    <dataValidation type="list" allowBlank="1" showInputMessage="1" showErrorMessage="1" sqref="F5:F11" xr:uid="{DA42F814-23E9-4138-8C2E-5A61B6627D8A}">
      <formula1>"Business,Di Supporto"</formula1>
    </dataValidation>
    <dataValidation type="list" allowBlank="1" showInputMessage="1" showErrorMessage="1" sqref="G5:G11" xr:uid="{64975A3F-F4E1-4AB2-955A-DB1B7E3D0CE8}">
      <formula1>"Critico,Non critico"</formula1>
    </dataValidation>
  </dataValidation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C1C48-9029-4C9C-AE26-07787AEEA5CD}">
  <sheetPr codeName="Foglio9">
    <tabColor rgb="FFC34986"/>
  </sheetPr>
  <dimension ref="A1:I12"/>
  <sheetViews>
    <sheetView showGridLines="0" zoomScale="180" zoomScaleNormal="180" workbookViewId="0">
      <pane xSplit="3" ySplit="4" topLeftCell="D5" activePane="bottomRight" state="frozen"/>
      <selection pane="topRight" activeCell="J6" sqref="J6"/>
      <selection pane="bottomLeft" activeCell="J6" sqref="J6"/>
      <selection pane="bottomRight" activeCell="C10" sqref="C10"/>
    </sheetView>
  </sheetViews>
  <sheetFormatPr defaultColWidth="0" defaultRowHeight="14.5" x14ac:dyDescent="0.45"/>
  <cols>
    <col min="1" max="1" width="3.54296875" style="10" customWidth="1"/>
    <col min="2" max="2" width="12.453125" style="10" bestFit="1" customWidth="1"/>
    <col min="3" max="3" width="26.54296875" style="10" customWidth="1"/>
    <col min="4" max="4" width="12.453125" style="10" customWidth="1"/>
    <col min="5" max="5" width="14.36328125" style="10" customWidth="1"/>
    <col min="6" max="6" width="12" style="10" bestFit="1" customWidth="1"/>
    <col min="7" max="7" width="26.36328125" style="10" customWidth="1"/>
    <col min="8" max="8" width="8.6328125" style="10" customWidth="1"/>
    <col min="9" max="9" width="0" style="10" hidden="1" customWidth="1"/>
    <col min="10" max="16384" width="8.6328125" style="10" hidden="1"/>
  </cols>
  <sheetData>
    <row r="1" spans="2:7" ht="31.25" customHeight="1" x14ac:dyDescent="0.45">
      <c r="C1" s="9"/>
    </row>
    <row r="2" spans="2:7" ht="16.5" x14ac:dyDescent="0.45">
      <c r="B2" s="447" t="s">
        <v>512</v>
      </c>
      <c r="C2" s="447"/>
      <c r="D2" s="447"/>
      <c r="E2" s="447"/>
      <c r="F2" s="447"/>
      <c r="G2" s="447"/>
    </row>
    <row r="3" spans="2:7" ht="12" customHeight="1" x14ac:dyDescent="0.45">
      <c r="C3" s="9"/>
    </row>
    <row r="4" spans="2:7" ht="33" x14ac:dyDescent="0.45">
      <c r="B4" s="70" t="s">
        <v>116</v>
      </c>
      <c r="C4" s="88" t="s">
        <v>136</v>
      </c>
      <c r="D4" s="89" t="s">
        <v>138</v>
      </c>
      <c r="E4" s="89" t="s">
        <v>140</v>
      </c>
      <c r="F4" s="89" t="s">
        <v>142</v>
      </c>
      <c r="G4" s="90" t="s">
        <v>73</v>
      </c>
    </row>
    <row r="5" spans="2:7" x14ac:dyDescent="0.45">
      <c r="B5" s="84">
        <f>'Appoggio_BIA Servizio'!$B$5</f>
        <v>0</v>
      </c>
      <c r="C5" s="82" t="s">
        <v>513</v>
      </c>
      <c r="D5" s="83"/>
      <c r="E5" s="84"/>
      <c r="F5" s="84"/>
      <c r="G5" s="85"/>
    </row>
    <row r="6" spans="2:7" x14ac:dyDescent="0.45">
      <c r="B6" s="84">
        <f>'Appoggio_BIA Servizio'!$B$5</f>
        <v>0</v>
      </c>
      <c r="C6" s="82" t="s">
        <v>514</v>
      </c>
      <c r="D6" s="83"/>
      <c r="E6" s="84"/>
      <c r="F6" s="84"/>
      <c r="G6" s="85"/>
    </row>
    <row r="7" spans="2:7" x14ac:dyDescent="0.45">
      <c r="B7" s="84">
        <f>'Appoggio_BIA Servizio'!$B$5</f>
        <v>0</v>
      </c>
      <c r="C7" s="82" t="s">
        <v>515</v>
      </c>
      <c r="D7" s="83"/>
      <c r="E7" s="84"/>
      <c r="F7" s="84"/>
      <c r="G7" s="85"/>
    </row>
    <row r="8" spans="2:7" x14ac:dyDescent="0.45">
      <c r="B8" s="84">
        <f>'Appoggio_BIA Servizio'!$B$5</f>
        <v>0</v>
      </c>
      <c r="C8" s="82" t="s">
        <v>516</v>
      </c>
      <c r="D8" s="83"/>
      <c r="E8" s="84"/>
      <c r="F8" s="84"/>
      <c r="G8" s="85"/>
    </row>
    <row r="9" spans="2:7" x14ac:dyDescent="0.45">
      <c r="B9" s="84">
        <f>'Appoggio_BIA Servizio'!$B$5</f>
        <v>0</v>
      </c>
      <c r="C9" s="82" t="s">
        <v>517</v>
      </c>
      <c r="D9" s="83"/>
      <c r="E9" s="84"/>
      <c r="F9" s="84"/>
      <c r="G9" s="85"/>
    </row>
    <row r="10" spans="2:7" x14ac:dyDescent="0.45">
      <c r="B10" s="84">
        <f>'Appoggio_BIA Servizio'!$B$5</f>
        <v>0</v>
      </c>
      <c r="C10" s="82" t="s">
        <v>518</v>
      </c>
      <c r="D10" s="83"/>
      <c r="E10" s="84"/>
      <c r="F10" s="84"/>
      <c r="G10" s="85"/>
    </row>
    <row r="11" spans="2:7" ht="43.5" x14ac:dyDescent="0.45">
      <c r="B11" s="84">
        <f>'Appoggio_BIA Servizio'!$B$5</f>
        <v>0</v>
      </c>
      <c r="C11" s="82" t="s">
        <v>519</v>
      </c>
      <c r="D11" s="83"/>
      <c r="E11" s="84"/>
      <c r="F11" s="84"/>
      <c r="G11" s="86"/>
    </row>
    <row r="12" spans="2:7" ht="29" x14ac:dyDescent="0.45">
      <c r="B12" s="84">
        <f>'Appoggio_BIA Servizio'!$B$5</f>
        <v>0</v>
      </c>
      <c r="C12" s="82" t="s">
        <v>520</v>
      </c>
      <c r="D12" s="83"/>
      <c r="E12" s="83"/>
      <c r="F12" s="83"/>
      <c r="G12" s="86"/>
    </row>
  </sheetData>
  <mergeCells count="1">
    <mergeCell ref="B2:G2"/>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493E1-7C71-400F-B8A1-566C0CF44FE8}">
  <sheetPr codeName="Foglio15">
    <tabColor rgb="FFC34986"/>
  </sheetPr>
  <dimension ref="B3:R14"/>
  <sheetViews>
    <sheetView showGridLines="0" zoomScale="117" zoomScaleNormal="70" workbookViewId="0">
      <pane xSplit="3" ySplit="6" topLeftCell="D7" activePane="bottomRight" state="frozen"/>
      <selection pane="topRight" activeCell="J6" sqref="J6"/>
      <selection pane="bottomLeft" activeCell="J6" sqref="J6"/>
      <selection pane="bottomRight" activeCell="G18" sqref="G18"/>
    </sheetView>
  </sheetViews>
  <sheetFormatPr defaultColWidth="8.6328125" defaultRowHeight="14.5" x14ac:dyDescent="0.45"/>
  <cols>
    <col min="1" max="1" width="3.453125" style="10" customWidth="1"/>
    <col min="2" max="2" width="13.36328125" style="10" bestFit="1" customWidth="1"/>
    <col min="3" max="3" width="40.6328125" style="10" customWidth="1"/>
    <col min="4" max="4" width="17" style="13" customWidth="1"/>
    <col min="5" max="5" width="18.36328125" style="13" customWidth="1"/>
    <col min="6" max="6" width="21.54296875" style="13" customWidth="1"/>
    <col min="7" max="7" width="15.453125" style="13" customWidth="1"/>
    <col min="8" max="8" width="18.54296875" style="13" customWidth="1"/>
    <col min="9" max="9" width="23" style="13" customWidth="1"/>
    <col min="10" max="10" width="41.54296875" style="10" customWidth="1"/>
    <col min="11" max="12" width="8.6328125" style="141" customWidth="1"/>
    <col min="13" max="18" width="8.6328125" style="141"/>
    <col min="19" max="16384" width="8.6328125" style="10"/>
  </cols>
  <sheetData>
    <row r="3" spans="2:18" ht="16.5" x14ac:dyDescent="0.45">
      <c r="B3" s="447" t="s">
        <v>521</v>
      </c>
      <c r="C3" s="447"/>
      <c r="D3" s="447"/>
      <c r="E3" s="447"/>
      <c r="F3" s="447"/>
      <c r="G3" s="447"/>
      <c r="H3" s="447"/>
      <c r="I3" s="447"/>
      <c r="J3" s="447"/>
    </row>
    <row r="4" spans="2:18" ht="16.5" x14ac:dyDescent="0.45">
      <c r="C4" s="68"/>
      <c r="D4" s="68"/>
      <c r="E4" s="68"/>
      <c r="F4" s="68"/>
      <c r="G4" s="68"/>
    </row>
    <row r="5" spans="2:18" s="17" customFormat="1" ht="20" customHeight="1" x14ac:dyDescent="0.35">
      <c r="C5" s="94"/>
      <c r="D5" s="448" t="s">
        <v>522</v>
      </c>
      <c r="E5" s="448"/>
      <c r="F5" s="448"/>
      <c r="G5" s="448" t="s">
        <v>523</v>
      </c>
      <c r="H5" s="448"/>
      <c r="I5" s="448"/>
      <c r="K5" s="250"/>
      <c r="L5" s="250"/>
      <c r="M5" s="250"/>
      <c r="N5" s="250"/>
      <c r="O5" s="250"/>
      <c r="P5" s="250"/>
      <c r="Q5" s="250"/>
      <c r="R5" s="250"/>
    </row>
    <row r="6" spans="2:18" s="95" customFormat="1" ht="28.4" customHeight="1" x14ac:dyDescent="0.35">
      <c r="B6" s="89" t="s">
        <v>116</v>
      </c>
      <c r="C6" s="89" t="s">
        <v>120</v>
      </c>
      <c r="D6" s="89" t="s">
        <v>147</v>
      </c>
      <c r="E6" s="89" t="s">
        <v>149</v>
      </c>
      <c r="F6" s="89" t="s">
        <v>152</v>
      </c>
      <c r="G6" s="89" t="s">
        <v>154</v>
      </c>
      <c r="H6" s="89" t="s">
        <v>157</v>
      </c>
      <c r="I6" s="89" t="s">
        <v>160</v>
      </c>
      <c r="J6" s="90" t="s">
        <v>73</v>
      </c>
      <c r="K6" s="250"/>
      <c r="L6" s="250"/>
      <c r="M6" s="250"/>
      <c r="N6" s="250"/>
      <c r="O6" s="250"/>
      <c r="P6" s="250"/>
      <c r="Q6" s="250"/>
      <c r="R6" s="250"/>
    </row>
    <row r="7" spans="2:18" s="17" customFormat="1" x14ac:dyDescent="0.35">
      <c r="B7" s="96">
        <f>'Appoggio_BIA Servizio'!$B$5</f>
        <v>0</v>
      </c>
      <c r="C7" s="84" t="str">
        <f>IF(Processi!D5=0,"",Processi!D5)</f>
        <v/>
      </c>
      <c r="D7" s="93"/>
      <c r="E7" s="92"/>
      <c r="F7" s="92"/>
      <c r="G7" s="93"/>
      <c r="H7" s="92"/>
      <c r="I7" s="92"/>
      <c r="J7" s="86"/>
      <c r="K7" s="250"/>
      <c r="L7" s="250"/>
      <c r="M7" s="250"/>
      <c r="N7" s="250"/>
      <c r="O7" s="250"/>
      <c r="P7" s="250"/>
      <c r="Q7" s="250"/>
      <c r="R7" s="250"/>
    </row>
    <row r="8" spans="2:18" s="17" customFormat="1" x14ac:dyDescent="0.35">
      <c r="B8" s="92">
        <f>'Appoggio_BIA Servizio'!$B$5</f>
        <v>0</v>
      </c>
      <c r="C8" s="84" t="str">
        <f>IF(Processi!D6=0,"",Processi!D6)</f>
        <v/>
      </c>
      <c r="D8" s="93"/>
      <c r="E8" s="92"/>
      <c r="F8" s="92"/>
      <c r="G8" s="93"/>
      <c r="H8" s="92"/>
      <c r="I8" s="92"/>
      <c r="J8" s="86"/>
      <c r="K8" s="250"/>
      <c r="L8" s="250"/>
      <c r="M8" s="250"/>
      <c r="N8" s="250"/>
      <c r="O8" s="250"/>
      <c r="P8" s="250"/>
      <c r="Q8" s="250"/>
      <c r="R8" s="250"/>
    </row>
    <row r="9" spans="2:18" s="17" customFormat="1" x14ac:dyDescent="0.35">
      <c r="B9" s="92">
        <f>'Appoggio_BIA Servizio'!$B$5</f>
        <v>0</v>
      </c>
      <c r="C9" s="84" t="str">
        <f>IF(Processi!D7=0,"",Processi!D7)</f>
        <v/>
      </c>
      <c r="D9" s="93"/>
      <c r="E9" s="92"/>
      <c r="F9" s="92"/>
      <c r="G9" s="93"/>
      <c r="H9" s="92"/>
      <c r="I9" s="92"/>
      <c r="J9" s="86"/>
      <c r="K9" s="250"/>
      <c r="L9" s="383"/>
      <c r="M9" s="250"/>
      <c r="N9" s="250"/>
      <c r="O9" s="250"/>
      <c r="P9" s="250"/>
      <c r="Q9" s="250"/>
      <c r="R9" s="250"/>
    </row>
    <row r="10" spans="2:18" s="17" customFormat="1" x14ac:dyDescent="0.35">
      <c r="B10" s="92">
        <f>'Appoggio_BIA Servizio'!$B$5</f>
        <v>0</v>
      </c>
      <c r="C10" s="84" t="str">
        <f>IF(Processi!D8=0,"",Processi!D8)</f>
        <v/>
      </c>
      <c r="D10" s="93"/>
      <c r="E10" s="92"/>
      <c r="F10" s="92"/>
      <c r="G10" s="93"/>
      <c r="H10" s="92"/>
      <c r="I10" s="92"/>
      <c r="J10" s="86"/>
      <c r="K10" s="250"/>
      <c r="L10" s="250"/>
      <c r="M10" s="250"/>
      <c r="N10" s="250"/>
      <c r="O10" s="250"/>
      <c r="P10" s="250"/>
      <c r="Q10" s="250"/>
      <c r="R10" s="250"/>
    </row>
    <row r="11" spans="2:18" s="17" customFormat="1" x14ac:dyDescent="0.35">
      <c r="B11" s="92">
        <f>'Appoggio_BIA Servizio'!$B$5</f>
        <v>0</v>
      </c>
      <c r="C11" s="84" t="str">
        <f>IF(Processi!D9=0,"",Processi!D9)</f>
        <v/>
      </c>
      <c r="D11" s="93"/>
      <c r="E11" s="92"/>
      <c r="F11" s="92"/>
      <c r="G11" s="93"/>
      <c r="H11" s="92"/>
      <c r="I11" s="92"/>
      <c r="J11" s="86"/>
      <c r="K11" s="250"/>
      <c r="L11" s="250"/>
      <c r="M11" s="250"/>
      <c r="N11" s="250"/>
      <c r="O11" s="250"/>
      <c r="P11" s="250"/>
      <c r="Q11" s="250"/>
      <c r="R11" s="250"/>
    </row>
    <row r="12" spans="2:18" s="17" customFormat="1" x14ac:dyDescent="0.35">
      <c r="B12" s="92">
        <f>'Appoggio_BIA Servizio'!$B$5</f>
        <v>0</v>
      </c>
      <c r="C12" s="84" t="str">
        <f>IF(Processi!D10=0,"",Processi!D10)</f>
        <v/>
      </c>
      <c r="D12" s="93"/>
      <c r="E12" s="92"/>
      <c r="F12" s="92"/>
      <c r="G12" s="93"/>
      <c r="H12" s="92"/>
      <c r="I12" s="92"/>
      <c r="J12" s="86"/>
      <c r="K12" s="250"/>
      <c r="L12" s="250"/>
      <c r="M12" s="250"/>
      <c r="N12" s="250"/>
      <c r="O12" s="250"/>
      <c r="P12" s="250"/>
      <c r="Q12" s="250"/>
      <c r="R12" s="250"/>
    </row>
    <row r="13" spans="2:18" s="17" customFormat="1" x14ac:dyDescent="0.35">
      <c r="B13" s="93">
        <f>'Appoggio_BIA Servizio'!$B$5</f>
        <v>0</v>
      </c>
      <c r="C13" s="91" t="str">
        <f>IF(Processi!D11=0,"",Processi!D11)</f>
        <v/>
      </c>
      <c r="D13" s="93"/>
      <c r="E13" s="93"/>
      <c r="F13" s="93"/>
      <c r="G13" s="93"/>
      <c r="H13" s="93"/>
      <c r="I13" s="93"/>
      <c r="J13" s="87"/>
      <c r="K13" s="250"/>
      <c r="L13" s="250"/>
      <c r="M13" s="250"/>
      <c r="N13" s="250"/>
      <c r="O13" s="250"/>
      <c r="P13" s="250"/>
      <c r="Q13" s="250"/>
      <c r="R13" s="250"/>
    </row>
    <row r="14" spans="2:18" x14ac:dyDescent="0.45">
      <c r="E14" s="14"/>
    </row>
  </sheetData>
  <mergeCells count="3">
    <mergeCell ref="D5:F5"/>
    <mergeCell ref="G5:I5"/>
    <mergeCell ref="B3:J3"/>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11B70-D730-42D8-BC75-E3C245850903}">
  <sheetPr codeName="Foglio25">
    <tabColor rgb="FFC34986"/>
  </sheetPr>
  <dimension ref="A3:P23"/>
  <sheetViews>
    <sheetView showGridLines="0" zoomScale="140" zoomScaleNormal="140" workbookViewId="0">
      <selection activeCell="J6" sqref="J6"/>
    </sheetView>
  </sheetViews>
  <sheetFormatPr defaultColWidth="0" defaultRowHeight="14.5" x14ac:dyDescent="0.35"/>
  <cols>
    <col min="1" max="1" width="4.6328125" style="15" customWidth="1"/>
    <col min="2" max="3" width="13.36328125" style="15" customWidth="1"/>
    <col min="4" max="4" width="15.453125" style="15" customWidth="1"/>
    <col min="5" max="5" width="32.36328125" style="16" customWidth="1"/>
    <col min="6" max="6" width="16.36328125" style="16" customWidth="1"/>
    <col min="7" max="7" width="12.54296875" style="16" bestFit="1" customWidth="1"/>
    <col min="8" max="9" width="19.6328125" style="16" customWidth="1"/>
    <col min="10" max="10" width="13.54296875" style="16" customWidth="1"/>
    <col min="11" max="11" width="9.36328125" style="15" customWidth="1"/>
    <col min="12" max="16" width="0" style="15" hidden="1" customWidth="1"/>
    <col min="17" max="16384" width="9.36328125" style="15" hidden="1"/>
  </cols>
  <sheetData>
    <row r="3" spans="2:10" ht="16.5" x14ac:dyDescent="0.35">
      <c r="B3" s="447" t="s">
        <v>524</v>
      </c>
      <c r="C3" s="447"/>
      <c r="D3" s="447"/>
      <c r="E3" s="447"/>
      <c r="F3" s="447"/>
      <c r="G3" s="447"/>
      <c r="H3" s="447"/>
      <c r="I3" s="447"/>
      <c r="J3" s="447"/>
    </row>
    <row r="4" spans="2:10" ht="11.75" customHeight="1" x14ac:dyDescent="0.45">
      <c r="D4" s="9"/>
    </row>
    <row r="5" spans="2:10" ht="23" customHeight="1" x14ac:dyDescent="0.35">
      <c r="B5" s="88" t="s">
        <v>116</v>
      </c>
      <c r="C5" s="89" t="s">
        <v>525</v>
      </c>
      <c r="D5" s="89" t="s">
        <v>526</v>
      </c>
      <c r="E5" s="89" t="s">
        <v>171</v>
      </c>
      <c r="F5" s="89" t="s">
        <v>142</v>
      </c>
      <c r="G5" s="89" t="s">
        <v>174</v>
      </c>
      <c r="H5" s="89" t="s">
        <v>527</v>
      </c>
      <c r="I5" s="89" t="s">
        <v>178</v>
      </c>
      <c r="J5" s="90" t="s">
        <v>528</v>
      </c>
    </row>
    <row r="6" spans="2:10" x14ac:dyDescent="0.35">
      <c r="B6" s="97">
        <f>'Appoggio_BIA Servizio'!$B$5</f>
        <v>0</v>
      </c>
      <c r="C6" s="84"/>
      <c r="D6" s="84"/>
      <c r="E6" s="84"/>
      <c r="F6" s="84"/>
      <c r="G6" s="84"/>
      <c r="H6" s="84"/>
      <c r="I6" s="84"/>
      <c r="J6" s="98"/>
    </row>
    <row r="7" spans="2:10" ht="17" x14ac:dyDescent="0.35">
      <c r="B7" s="97">
        <f>'Appoggio_BIA Servizio'!$B$5</f>
        <v>0</v>
      </c>
      <c r="C7" s="84"/>
      <c r="D7" s="84"/>
      <c r="E7" s="84"/>
      <c r="F7" s="84"/>
      <c r="G7" s="99"/>
      <c r="H7" s="100"/>
      <c r="I7" s="100"/>
      <c r="J7" s="98"/>
    </row>
    <row r="8" spans="2:10" x14ac:dyDescent="0.35">
      <c r="B8" s="97">
        <f>'Appoggio_BIA Servizio'!$B$5</f>
        <v>0</v>
      </c>
      <c r="C8" s="84"/>
      <c r="D8" s="84"/>
      <c r="E8" s="84"/>
      <c r="F8" s="84"/>
      <c r="G8" s="84"/>
      <c r="H8" s="84"/>
      <c r="I8" s="84"/>
      <c r="J8" s="98"/>
    </row>
    <row r="9" spans="2:10" x14ac:dyDescent="0.35">
      <c r="B9" s="97">
        <f>'Appoggio_BIA Servizio'!$B$5</f>
        <v>0</v>
      </c>
      <c r="C9" s="84"/>
      <c r="D9" s="84"/>
      <c r="E9" s="84"/>
      <c r="F9" s="84"/>
      <c r="G9" s="84"/>
      <c r="H9" s="84"/>
      <c r="I9" s="84"/>
      <c r="J9" s="98"/>
    </row>
    <row r="10" spans="2:10" x14ac:dyDescent="0.35">
      <c r="B10" s="101">
        <f>'Appoggio_BIA Servizio'!$B$5</f>
        <v>0</v>
      </c>
      <c r="C10" s="84"/>
      <c r="D10" s="91"/>
      <c r="E10" s="91"/>
      <c r="F10" s="91"/>
      <c r="G10" s="91"/>
      <c r="H10" s="91"/>
      <c r="I10" s="91"/>
      <c r="J10" s="102"/>
    </row>
    <row r="11" spans="2:10" x14ac:dyDescent="0.35">
      <c r="B11" s="101">
        <f>'Appoggio_BIA Servizio'!$B$5</f>
        <v>0</v>
      </c>
      <c r="C11" s="84"/>
      <c r="D11" s="91"/>
      <c r="E11" s="91"/>
      <c r="F11" s="91"/>
      <c r="G11" s="91"/>
      <c r="H11" s="91"/>
      <c r="I11" s="91"/>
      <c r="J11" s="102"/>
    </row>
    <row r="12" spans="2:10" x14ac:dyDescent="0.35">
      <c r="B12" s="101">
        <f>'Appoggio_BIA Servizio'!$B$5</f>
        <v>0</v>
      </c>
      <c r="C12" s="84"/>
      <c r="D12" s="91"/>
      <c r="E12" s="91"/>
      <c r="F12" s="91"/>
      <c r="G12" s="91"/>
      <c r="H12" s="91"/>
      <c r="I12" s="91"/>
      <c r="J12" s="102"/>
    </row>
    <row r="13" spans="2:10" x14ac:dyDescent="0.35">
      <c r="B13" s="101">
        <f>'Appoggio_BIA Servizio'!$B$5</f>
        <v>0</v>
      </c>
      <c r="C13" s="84"/>
      <c r="D13" s="91"/>
      <c r="E13" s="91"/>
      <c r="F13" s="91"/>
      <c r="G13" s="91"/>
      <c r="H13" s="91"/>
      <c r="I13" s="91"/>
      <c r="J13" s="102"/>
    </row>
    <row r="14" spans="2:10" x14ac:dyDescent="0.35">
      <c r="B14" s="101">
        <f>'Appoggio_BIA Servizio'!$B$5</f>
        <v>0</v>
      </c>
      <c r="C14" s="84"/>
      <c r="D14" s="91"/>
      <c r="E14" s="91"/>
      <c r="F14" s="91"/>
      <c r="G14" s="91"/>
      <c r="H14" s="91"/>
      <c r="I14" s="91"/>
      <c r="J14" s="102"/>
    </row>
    <row r="15" spans="2:10" x14ac:dyDescent="0.35">
      <c r="B15" s="101">
        <f>'Appoggio_BIA Servizio'!$B$5</f>
        <v>0</v>
      </c>
      <c r="C15" s="84"/>
      <c r="D15" s="91"/>
      <c r="E15" s="91"/>
      <c r="F15" s="91"/>
      <c r="G15" s="91"/>
      <c r="H15" s="91"/>
      <c r="I15" s="91"/>
      <c r="J15" s="102"/>
    </row>
    <row r="16" spans="2:10" x14ac:dyDescent="0.35">
      <c r="B16" s="101">
        <f>'Appoggio_BIA Servizio'!$B$5</f>
        <v>0</v>
      </c>
      <c r="C16" s="84"/>
      <c r="D16" s="91"/>
      <c r="E16" s="91"/>
      <c r="F16" s="91"/>
      <c r="G16" s="91"/>
      <c r="H16" s="91"/>
      <c r="I16" s="91"/>
      <c r="J16" s="102"/>
    </row>
    <row r="17" spans="2:10" x14ac:dyDescent="0.35">
      <c r="B17" s="101">
        <f>'Appoggio_BIA Servizio'!$B$5</f>
        <v>0</v>
      </c>
      <c r="C17" s="84"/>
      <c r="D17" s="91"/>
      <c r="E17" s="91"/>
      <c r="F17" s="91"/>
      <c r="G17" s="91"/>
      <c r="H17" s="91"/>
      <c r="I17" s="91"/>
      <c r="J17" s="102"/>
    </row>
    <row r="18" spans="2:10" x14ac:dyDescent="0.35">
      <c r="B18" s="101">
        <f>'Appoggio_BIA Servizio'!$B$5</f>
        <v>0</v>
      </c>
      <c r="C18" s="84"/>
      <c r="D18" s="91"/>
      <c r="E18" s="91"/>
      <c r="F18" s="91"/>
      <c r="G18" s="91"/>
      <c r="H18" s="91"/>
      <c r="I18" s="91"/>
      <c r="J18" s="102"/>
    </row>
    <row r="19" spans="2:10" x14ac:dyDescent="0.35">
      <c r="B19" s="101">
        <f>'Appoggio_BIA Servizio'!$B$5</f>
        <v>0</v>
      </c>
      <c r="C19" s="84"/>
      <c r="D19" s="91"/>
      <c r="E19" s="91"/>
      <c r="F19" s="91"/>
      <c r="G19" s="91"/>
      <c r="H19" s="91"/>
      <c r="I19" s="91"/>
      <c r="J19" s="102"/>
    </row>
    <row r="20" spans="2:10" x14ac:dyDescent="0.35">
      <c r="B20" s="101">
        <f>'Appoggio_BIA Servizio'!$B$5</f>
        <v>0</v>
      </c>
      <c r="C20" s="84"/>
      <c r="D20" s="91"/>
      <c r="E20" s="91"/>
      <c r="F20" s="91"/>
      <c r="G20" s="91"/>
      <c r="H20" s="91"/>
      <c r="I20" s="91"/>
      <c r="J20" s="102"/>
    </row>
    <row r="21" spans="2:10" x14ac:dyDescent="0.35">
      <c r="B21" s="101">
        <f>'Appoggio_BIA Servizio'!$B$5</f>
        <v>0</v>
      </c>
      <c r="C21" s="84"/>
      <c r="D21" s="91"/>
      <c r="E21" s="91"/>
      <c r="F21" s="91"/>
      <c r="G21" s="91"/>
      <c r="H21" s="91"/>
      <c r="I21" s="91"/>
      <c r="J21" s="102"/>
    </row>
    <row r="22" spans="2:10" x14ac:dyDescent="0.35">
      <c r="B22" s="101">
        <f>'Appoggio_BIA Servizio'!$B$5</f>
        <v>0</v>
      </c>
      <c r="C22" s="84"/>
      <c r="D22" s="91"/>
      <c r="E22" s="91"/>
      <c r="F22" s="91"/>
      <c r="G22" s="91"/>
      <c r="H22" s="91"/>
      <c r="I22" s="91"/>
      <c r="J22" s="102"/>
    </row>
    <row r="23" spans="2:10" x14ac:dyDescent="0.35">
      <c r="B23" s="101">
        <f>'Appoggio_BIA Servizio'!$B$5</f>
        <v>0</v>
      </c>
      <c r="C23" s="84"/>
      <c r="D23" s="91"/>
      <c r="E23" s="91"/>
      <c r="F23" s="91"/>
      <c r="G23" s="91"/>
      <c r="H23" s="91"/>
      <c r="I23" s="91"/>
      <c r="J23" s="102"/>
    </row>
  </sheetData>
  <mergeCells count="1">
    <mergeCell ref="B3:J3"/>
  </mergeCells>
  <conditionalFormatting sqref="J6:J23">
    <cfRule type="colorScale" priority="138">
      <colorScale>
        <cfvo type="min"/>
        <cfvo type="percentile" val="50"/>
        <cfvo type="max"/>
        <color rgb="FFF8696B"/>
        <color rgb="FFFFEB84"/>
        <color rgb="FF63BE7B"/>
      </colorScale>
    </cfRule>
    <cfRule type="cellIs" dxfId="379" priority="139" operator="equal">
      <formula>"SI"</formula>
    </cfRule>
  </conditionalFormatting>
  <dataValidations count="2">
    <dataValidation type="list" allowBlank="1" showInputMessage="1" showErrorMessage="1" sqref="J6:J23" xr:uid="{95F6DA07-A993-4364-A445-43BBD9597C9D}">
      <formula1>"Sì,No"</formula1>
    </dataValidation>
    <dataValidation type="list" allowBlank="1" showInputMessage="1" showErrorMessage="1" sqref="C6:C23" xr:uid="{7C1381A8-63BF-406E-A962-2780064ACD46}">
      <formula1>"Addetto Critico, Addetto di Riserva"</formula1>
    </dataValidation>
  </dataValidations>
  <pageMargins left="0.7" right="0.7" top="0.75" bottom="0.75" header="0.3" footer="0.3"/>
  <pageSetup orientation="landscape" r:id="rId1"/>
  <headerFooter>
    <oddHeader>&amp;L&amp;G&amp;C&amp;"Calibri"&amp;11&amp;K000000&amp;F&amp;RPagina  &amp;P di &amp;N</oddHeader>
  </headerFooter>
  <drawing r:id="rId2"/>
  <legacyDrawingHF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B6F04-85E9-4613-B449-1162A8856474}">
  <sheetPr codeName="Foglio16">
    <tabColor rgb="FFC34986"/>
  </sheetPr>
  <dimension ref="B1:AB17"/>
  <sheetViews>
    <sheetView showGridLines="0" zoomScale="120" zoomScaleNormal="120" workbookViewId="0">
      <pane xSplit="3" ySplit="5" topLeftCell="O6" activePane="bottomRight" state="frozen"/>
      <selection pane="topRight" activeCell="J6" sqref="J6"/>
      <selection pane="bottomLeft" activeCell="J6" sqref="J6"/>
      <selection pane="bottomRight" activeCell="R6" sqref="R6:T10"/>
    </sheetView>
  </sheetViews>
  <sheetFormatPr defaultColWidth="8.6328125" defaultRowHeight="14.5" outlineLevelCol="1" x14ac:dyDescent="0.45"/>
  <cols>
    <col min="1" max="1" width="4.36328125" style="10" customWidth="1"/>
    <col min="2" max="2" width="12.6328125" style="16" customWidth="1"/>
    <col min="3" max="3" width="15.6328125" style="10" customWidth="1"/>
    <col min="4" max="4" width="18.36328125" style="10" customWidth="1"/>
    <col min="5" max="10" width="25.6328125" style="10" customWidth="1"/>
    <col min="11" max="11" width="19" style="16" customWidth="1"/>
    <col min="12" max="12" width="8.6328125" style="10" customWidth="1"/>
    <col min="13" max="13" width="14.6328125" style="10" customWidth="1"/>
    <col min="14" max="14" width="48.54296875" style="10" customWidth="1"/>
    <col min="15" max="15" width="20.54296875" style="10" customWidth="1"/>
    <col min="16" max="16" width="23.54296875" style="10" customWidth="1"/>
    <col min="17" max="17" width="19.6328125" style="10" customWidth="1"/>
    <col min="18" max="18" width="24.54296875" style="10" customWidth="1"/>
    <col min="19" max="19" width="31.36328125" style="10" customWidth="1"/>
    <col min="20" max="20" width="26.36328125" style="10" customWidth="1"/>
    <col min="21" max="21" width="36.6328125" style="10" customWidth="1"/>
    <col min="22" max="23" width="8.6328125" style="10" customWidth="1"/>
    <col min="24" max="28" width="25.6328125" style="306" customWidth="1" outlineLevel="1"/>
    <col min="29" max="16384" width="8.6328125" style="10"/>
  </cols>
  <sheetData>
    <row r="1" spans="2:28" ht="27.65" customHeight="1" x14ac:dyDescent="0.45">
      <c r="C1" s="9"/>
    </row>
    <row r="2" spans="2:28" ht="16.5" x14ac:dyDescent="0.45">
      <c r="B2" s="184" t="s">
        <v>529</v>
      </c>
      <c r="C2" s="184"/>
      <c r="D2" s="184"/>
      <c r="E2" s="184"/>
      <c r="F2" s="184"/>
      <c r="G2" s="184"/>
      <c r="H2" s="184"/>
      <c r="I2" s="184"/>
      <c r="J2" s="184"/>
      <c r="K2" s="184"/>
      <c r="L2" s="184"/>
      <c r="M2" s="184"/>
      <c r="N2" s="184"/>
      <c r="O2" s="184"/>
      <c r="P2" s="184"/>
      <c r="Q2" s="184"/>
      <c r="R2" s="184"/>
      <c r="S2" s="184"/>
      <c r="T2" s="184"/>
      <c r="U2" s="184"/>
    </row>
    <row r="3" spans="2:28" ht="15.65" customHeight="1" x14ac:dyDescent="0.45">
      <c r="C3" s="9"/>
      <c r="X3" s="357"/>
      <c r="Y3" s="357"/>
      <c r="Z3" s="357"/>
      <c r="AA3" s="357"/>
      <c r="AB3" s="357"/>
    </row>
    <row r="4" spans="2:28" ht="17" customHeight="1" x14ac:dyDescent="0.45">
      <c r="C4" s="9"/>
      <c r="R4" s="449" t="s">
        <v>530</v>
      </c>
      <c r="S4" s="449"/>
      <c r="T4" s="449"/>
      <c r="X4" s="357"/>
      <c r="Y4" s="357"/>
      <c r="Z4" s="357"/>
      <c r="AA4" s="357"/>
      <c r="AB4" s="357"/>
    </row>
    <row r="5" spans="2:28" ht="29" x14ac:dyDescent="0.45">
      <c r="B5" s="88" t="s">
        <v>116</v>
      </c>
      <c r="C5" s="89" t="s">
        <v>182</v>
      </c>
      <c r="D5" s="89" t="s">
        <v>184</v>
      </c>
      <c r="E5" s="89" t="s">
        <v>186</v>
      </c>
      <c r="F5" s="89" t="s">
        <v>188</v>
      </c>
      <c r="G5" s="89" t="s">
        <v>192</v>
      </c>
      <c r="H5" s="89" t="s">
        <v>194</v>
      </c>
      <c r="I5" s="89" t="s">
        <v>196</v>
      </c>
      <c r="J5" s="89" t="s">
        <v>198</v>
      </c>
      <c r="K5" s="89" t="s">
        <v>200</v>
      </c>
      <c r="L5" s="89" t="s">
        <v>129</v>
      </c>
      <c r="M5" s="89" t="s">
        <v>205</v>
      </c>
      <c r="N5" s="89" t="s">
        <v>531</v>
      </c>
      <c r="O5" s="89" t="s">
        <v>209</v>
      </c>
      <c r="P5" s="89" t="s">
        <v>211</v>
      </c>
      <c r="Q5" s="89" t="s">
        <v>213</v>
      </c>
      <c r="R5" s="89" t="s">
        <v>215</v>
      </c>
      <c r="S5" s="89" t="s">
        <v>217</v>
      </c>
      <c r="T5" s="89" t="s">
        <v>219</v>
      </c>
      <c r="U5" s="90" t="s">
        <v>73</v>
      </c>
      <c r="X5" s="358" t="s">
        <v>532</v>
      </c>
      <c r="Y5" s="358" t="s">
        <v>533</v>
      </c>
      <c r="Z5" s="358" t="s">
        <v>534</v>
      </c>
      <c r="AA5" s="358" t="s">
        <v>535</v>
      </c>
      <c r="AB5" s="358" t="s">
        <v>536</v>
      </c>
    </row>
    <row r="6" spans="2:28" x14ac:dyDescent="0.45">
      <c r="B6" s="97">
        <f>'Appoggio_BIA Servizio'!$B$5</f>
        <v>0</v>
      </c>
      <c r="C6" s="84"/>
      <c r="D6" s="84"/>
      <c r="E6" s="84"/>
      <c r="F6" s="84"/>
      <c r="G6" s="84"/>
      <c r="H6" s="84"/>
      <c r="I6" s="84"/>
      <c r="J6" s="84"/>
      <c r="K6" s="92" t="str" cm="1">
        <f t="array" ref="K6">_xlfn.IFS(SUM(X6:AB6)=0,"",SUM(X6:AB6)&lt;=Parametri_BIA!S$6,Parametri_BIA!T$6,SUM(X6:AB6)&lt;=Parametri_BIA!S$7,Parametri_BIA!T$7,SUM(X6:AB6)&lt;=Parametri_BIA!S$8,Parametri_BIA!T$8)</f>
        <v/>
      </c>
      <c r="L6" s="103"/>
      <c r="M6" s="84"/>
      <c r="N6" s="84"/>
      <c r="O6" s="84"/>
      <c r="P6" s="84"/>
      <c r="Q6" s="84"/>
      <c r="R6" s="84"/>
      <c r="S6" s="99"/>
      <c r="T6" s="104"/>
      <c r="U6" s="105"/>
      <c r="V6" s="10" t="str">
        <f>IF(DB_Fornitori[[#This Row],[Impatto interruzione (Criticità BC)]]="Mission Critical","X","")</f>
        <v/>
      </c>
      <c r="X6" s="359" t="str">
        <f>IFERROR(INDEX(Parametri_BIA!$N$6:$N$9,MATCH(F6,Parametri_BIA!$O$6:$O$9,0)),"")</f>
        <v/>
      </c>
      <c r="Y6" s="359" t="str">
        <f>IFERROR(INDEX(Parametri_BIA!$N$10:$N$13,MATCH(G6,Parametri_BIA!$O$10:$O$13,0)),"")</f>
        <v/>
      </c>
      <c r="Z6" s="359" t="str">
        <f>IFERROR(INDEX(Parametri_BIA!$N$14:$N$17,MATCH(H6,Parametri_BIA!$O$14:$O$17,0)),"")</f>
        <v/>
      </c>
      <c r="AA6" s="359" t="str">
        <f>IFERROR(INDEX(Parametri_BIA!$N$18:$N$21,MATCH(I6,Parametri_BIA!$O$18:$O$21,0)),"")</f>
        <v/>
      </c>
      <c r="AB6" s="359" t="str">
        <f>IFERROR(INDEX(Parametri_BIA!$N$22:$N$25,MATCH(J6,Parametri_BIA!$O$22:$O$25,0)),"")</f>
        <v/>
      </c>
    </row>
    <row r="7" spans="2:28" x14ac:dyDescent="0.45">
      <c r="B7" s="110">
        <f>'Appoggio_BIA Servizio'!$B$5</f>
        <v>0</v>
      </c>
      <c r="C7" s="84"/>
      <c r="D7" s="84"/>
      <c r="E7" s="84"/>
      <c r="F7" s="84"/>
      <c r="G7" s="84"/>
      <c r="H7" s="84"/>
      <c r="I7" s="84"/>
      <c r="J7" s="84"/>
      <c r="K7" s="92" t="str" cm="1">
        <f t="array" ref="K7">_xlfn.IFS(SUM(X7:AB7)=0,"",SUM(X7:AB7)&lt;=Parametri_BIA!S$6,Parametri_BIA!T$6,SUM(X7:AB7)&lt;=Parametri_BIA!S$7,Parametri_BIA!T$7,SUM(X7:AB7)&lt;=Parametri_BIA!S$8,Parametri_BIA!T$8)</f>
        <v/>
      </c>
      <c r="L7" s="103"/>
      <c r="M7" s="84"/>
      <c r="N7" s="84"/>
      <c r="O7" s="84"/>
      <c r="P7" s="84"/>
      <c r="Q7" s="84"/>
      <c r="R7" s="84"/>
      <c r="S7" s="99"/>
      <c r="T7" s="104"/>
      <c r="U7" s="105"/>
      <c r="V7" s="10" t="str">
        <f>IF(DB_Fornitori[[#This Row],[Impatto interruzione (Criticità BC)]]="Mission Critical","X","")</f>
        <v/>
      </c>
      <c r="X7" s="359" t="str">
        <f>IFERROR(INDEX(Parametri_BIA!$N$6:$N$9,MATCH(F7,Parametri_BIA!$O$6:$O$9,0)),"")</f>
        <v/>
      </c>
      <c r="Y7" s="359" t="str">
        <f>IFERROR(INDEX(Parametri_BIA!$N$10:$N$13,MATCH(G7,Parametri_BIA!$O$10:$O$13,0)),"")</f>
        <v/>
      </c>
      <c r="Z7" s="359" t="str">
        <f>IFERROR(INDEX(Parametri_BIA!$N$14:$N$17,MATCH(H7,Parametri_BIA!$O$14:$O$17,0)),"")</f>
        <v/>
      </c>
      <c r="AA7" s="359" t="str">
        <f>IFERROR(INDEX(Parametri_BIA!$N$18:$N$21,MATCH(I7,Parametri_BIA!$O$18:$O$21,0)),"")</f>
        <v/>
      </c>
      <c r="AB7" s="359" t="str">
        <f>IFERROR(INDEX(Parametri_BIA!$N$22:$N$25,MATCH(J7,Parametri_BIA!$O$22:$O$25,0)),"")</f>
        <v/>
      </c>
    </row>
    <row r="8" spans="2:28" x14ac:dyDescent="0.45">
      <c r="B8" s="110">
        <f>'Appoggio_BIA Servizio'!$B$5</f>
        <v>0</v>
      </c>
      <c r="C8" s="84"/>
      <c r="D8" s="84"/>
      <c r="E8" s="84"/>
      <c r="F8" s="84"/>
      <c r="G8" s="84"/>
      <c r="H8" s="84"/>
      <c r="I8" s="84"/>
      <c r="J8" s="84"/>
      <c r="K8" s="92" t="str" cm="1">
        <f t="array" ref="K8">_xlfn.IFS(SUM(X8:AB8)=0,"",SUM(X8:AB8)&lt;=Parametri_BIA!S$6,Parametri_BIA!T$6,SUM(X8:AB8)&lt;=Parametri_BIA!S$7,Parametri_BIA!T$7,SUM(X8:AB8)&lt;=Parametri_BIA!S$8,Parametri_BIA!T$8)</f>
        <v/>
      </c>
      <c r="L8" s="103"/>
      <c r="M8" s="84"/>
      <c r="N8" s="84"/>
      <c r="O8" s="84"/>
      <c r="P8" s="84"/>
      <c r="Q8" s="84"/>
      <c r="R8" s="84"/>
      <c r="S8" s="99"/>
      <c r="T8" s="104"/>
      <c r="U8" s="105"/>
      <c r="V8" s="10" t="str">
        <f>IF(DB_Fornitori[[#This Row],[Impatto interruzione (Criticità BC)]]="Mission Critical","X","")</f>
        <v/>
      </c>
      <c r="X8" s="359" t="str">
        <f>IFERROR(INDEX(Parametri_BIA!$N$6:$N$9,MATCH(F8,Parametri_BIA!$O$6:$O$9,0)),"")</f>
        <v/>
      </c>
      <c r="Y8" s="359" t="str">
        <f>IFERROR(INDEX(Parametri_BIA!$N$10:$N$13,MATCH(G8,Parametri_BIA!$O$10:$O$13,0)),"")</f>
        <v/>
      </c>
      <c r="Z8" s="359" t="str">
        <f>IFERROR(INDEX(Parametri_BIA!$N$14:$N$17,MATCH(H8,Parametri_BIA!$O$14:$O$17,0)),"")</f>
        <v/>
      </c>
      <c r="AA8" s="359" t="str">
        <f>IFERROR(INDEX(Parametri_BIA!$N$18:$N$21,MATCH(I8,Parametri_BIA!$O$18:$O$21,0)),"")</f>
        <v/>
      </c>
      <c r="AB8" s="359" t="str">
        <f>IFERROR(INDEX(Parametri_BIA!$N$22:$N$25,MATCH(J8,Parametri_BIA!$O$22:$O$25,0)),"")</f>
        <v/>
      </c>
    </row>
    <row r="9" spans="2:28" x14ac:dyDescent="0.45">
      <c r="B9" s="110">
        <f>'Appoggio_BIA Servizio'!$B$5</f>
        <v>0</v>
      </c>
      <c r="C9" s="84"/>
      <c r="D9" s="84"/>
      <c r="E9" s="84"/>
      <c r="F9" s="84"/>
      <c r="G9" s="84"/>
      <c r="H9" s="84"/>
      <c r="I9" s="84"/>
      <c r="J9" s="84"/>
      <c r="K9" s="92" t="str" cm="1">
        <f t="array" ref="K9">_xlfn.IFS(SUM(X9:AB9)=0,"",SUM(X9:AB9)&lt;=Parametri_BIA!S$6,Parametri_BIA!T$6,SUM(X9:AB9)&lt;=Parametri_BIA!S$7,Parametri_BIA!T$7,SUM(X9:AB9)&lt;=Parametri_BIA!S$8,Parametri_BIA!T$8)</f>
        <v/>
      </c>
      <c r="L9" s="103"/>
      <c r="M9" s="84"/>
      <c r="N9" s="84"/>
      <c r="O9" s="84"/>
      <c r="P9" s="84"/>
      <c r="Q9" s="84"/>
      <c r="R9" s="84"/>
      <c r="S9" s="99"/>
      <c r="T9" s="104"/>
      <c r="U9" s="105"/>
      <c r="V9" s="10" t="str">
        <f>IF(DB_Fornitori[[#This Row],[Impatto interruzione (Criticità BC)]]="Mission Critical","X","")</f>
        <v/>
      </c>
      <c r="X9" s="359" t="str">
        <f>IFERROR(INDEX(Parametri_BIA!$N$6:$N$9,MATCH(F9,Parametri_BIA!$O$6:$O$9,0)),"")</f>
        <v/>
      </c>
      <c r="Y9" s="359" t="str">
        <f>IFERROR(INDEX(Parametri_BIA!$N$10:$N$13,MATCH(G9,Parametri_BIA!$O$10:$O$13,0)),"")</f>
        <v/>
      </c>
      <c r="Z9" s="359" t="str">
        <f>IFERROR(INDEX(Parametri_BIA!$N$14:$N$17,MATCH(H9,Parametri_BIA!$O$14:$O$17,0)),"")</f>
        <v/>
      </c>
      <c r="AA9" s="359" t="str">
        <f>IFERROR(INDEX(Parametri_BIA!$N$18:$N$21,MATCH(I9,Parametri_BIA!$O$18:$O$21,0)),"")</f>
        <v/>
      </c>
      <c r="AB9" s="359" t="str">
        <f>IFERROR(INDEX(Parametri_BIA!$N$22:$N$25,MATCH(J9,Parametri_BIA!$O$22:$O$25,0)),"")</f>
        <v/>
      </c>
    </row>
    <row r="10" spans="2:28" x14ac:dyDescent="0.45">
      <c r="B10" s="110">
        <f>'Appoggio_BIA Servizio'!$B$5</f>
        <v>0</v>
      </c>
      <c r="C10" s="84"/>
      <c r="D10" s="84"/>
      <c r="E10" s="84"/>
      <c r="F10" s="84"/>
      <c r="G10" s="84"/>
      <c r="H10" s="84"/>
      <c r="I10" s="84"/>
      <c r="J10" s="84"/>
      <c r="K10" s="92" t="str" cm="1">
        <f t="array" ref="K10">_xlfn.IFS(SUM(X10:AB10)=0,"",SUM(X10:AB10)&lt;=Parametri_BIA!S$6,Parametri_BIA!T$6,SUM(X10:AB10)&lt;=Parametri_BIA!S$7,Parametri_BIA!T$7,SUM(X10:AB10)&lt;=Parametri_BIA!S$8,Parametri_BIA!T$8)</f>
        <v/>
      </c>
      <c r="L10" s="103"/>
      <c r="M10" s="84"/>
      <c r="N10" s="84"/>
      <c r="O10" s="84"/>
      <c r="P10" s="84"/>
      <c r="Q10" s="84"/>
      <c r="R10" s="84"/>
      <c r="S10" s="99"/>
      <c r="T10" s="104"/>
      <c r="U10" s="105"/>
      <c r="V10" s="10" t="str">
        <f>IF(DB_Fornitori[[#This Row],[Impatto interruzione (Criticità BC)]]="Mission Critical","X","")</f>
        <v/>
      </c>
      <c r="X10" s="359" t="str">
        <f>IFERROR(INDEX(Parametri_BIA!$N$6:$N$9,MATCH(F10,Parametri_BIA!$O$6:$O$9,0)),"")</f>
        <v/>
      </c>
      <c r="Y10" s="359" t="str">
        <f>IFERROR(INDEX(Parametri_BIA!$N$10:$N$13,MATCH(G10,Parametri_BIA!$O$10:$O$13,0)),"")</f>
        <v/>
      </c>
      <c r="Z10" s="359" t="str">
        <f>IFERROR(INDEX(Parametri_BIA!$N$14:$N$17,MATCH(H10,Parametri_BIA!$O$14:$O$17,0)),"")</f>
        <v/>
      </c>
      <c r="AA10" s="359" t="str">
        <f>IFERROR(INDEX(Parametri_BIA!$N$18:$N$21,MATCH(I10,Parametri_BIA!$O$18:$O$21,0)),"")</f>
        <v/>
      </c>
      <c r="AB10" s="359" t="str">
        <f>IFERROR(INDEX(Parametri_BIA!$N$22:$N$25,MATCH(J10,Parametri_BIA!$O$22:$O$25,0)),"")</f>
        <v/>
      </c>
    </row>
    <row r="11" spans="2:28" x14ac:dyDescent="0.45">
      <c r="B11" s="110">
        <f>'Appoggio_BIA Servizio'!$B$5</f>
        <v>0</v>
      </c>
      <c r="C11" s="84"/>
      <c r="D11" s="84"/>
      <c r="E11" s="84"/>
      <c r="F11" s="84"/>
      <c r="G11" s="84"/>
      <c r="H11" s="84"/>
      <c r="I11" s="84"/>
      <c r="J11" s="84"/>
      <c r="K11" s="92" t="str" cm="1">
        <f t="array" ref="K11">_xlfn.IFS(SUM(X11:AB11)=0,"",SUM(X11:AB11)&lt;=Parametri_BIA!S$6,Parametri_BIA!T$6,SUM(X11:AB11)&lt;=Parametri_BIA!S$7,Parametri_BIA!T$7,SUM(X11:AB11)&lt;=Parametri_BIA!S$8,Parametri_BIA!T$8)</f>
        <v/>
      </c>
      <c r="L11" s="103"/>
      <c r="M11" s="84"/>
      <c r="N11" s="84"/>
      <c r="O11" s="84"/>
      <c r="P11" s="84"/>
      <c r="Q11" s="84"/>
      <c r="R11" s="84"/>
      <c r="S11" s="99"/>
      <c r="T11" s="104"/>
      <c r="U11" s="105"/>
      <c r="V11" s="10" t="str">
        <f>IF(DB_Fornitori[[#This Row],[Impatto interruzione (Criticità BC)]]="Mission Critical","X","")</f>
        <v/>
      </c>
      <c r="X11" s="359" t="str">
        <f>IFERROR(INDEX(Parametri_BIA!$N$6:$N$9,MATCH(F11,Parametri_BIA!$O$6:$O$9,0)),"")</f>
        <v/>
      </c>
      <c r="Y11" s="359" t="str">
        <f>IFERROR(INDEX(Parametri_BIA!$N$10:$N$13,MATCH(G11,Parametri_BIA!$O$10:$O$13,0)),"")</f>
        <v/>
      </c>
      <c r="Z11" s="359" t="str">
        <f>IFERROR(INDEX(Parametri_BIA!$N$14:$N$17,MATCH(H11,Parametri_BIA!$O$14:$O$17,0)),"")</f>
        <v/>
      </c>
      <c r="AA11" s="359" t="str">
        <f>IFERROR(INDEX(Parametri_BIA!$N$18:$N$21,MATCH(I11,Parametri_BIA!$O$18:$O$21,0)),"")</f>
        <v/>
      </c>
      <c r="AB11" s="359" t="str">
        <f>IFERROR(INDEX(Parametri_BIA!$N$22:$N$25,MATCH(J11,Parametri_BIA!$O$22:$O$25,0)),"")</f>
        <v/>
      </c>
    </row>
    <row r="12" spans="2:28" x14ac:dyDescent="0.45">
      <c r="B12" s="110">
        <f>'Appoggio_BIA Servizio'!$B$5</f>
        <v>0</v>
      </c>
      <c r="C12" s="84"/>
      <c r="D12" s="84"/>
      <c r="E12" s="84"/>
      <c r="F12" s="84"/>
      <c r="G12" s="84"/>
      <c r="H12" s="84"/>
      <c r="I12" s="84"/>
      <c r="J12" s="84"/>
      <c r="K12" s="92" t="str" cm="1">
        <f t="array" ref="K12">_xlfn.IFS(SUM(X12:AB12)=0,"",SUM(X12:AB12)&lt;=Parametri_BIA!S$6,Parametri_BIA!T$6,SUM(X12:AB12)&lt;=Parametri_BIA!S$7,Parametri_BIA!T$7,SUM(X12:AB12)&lt;=Parametri_BIA!S$8,Parametri_BIA!T$8)</f>
        <v/>
      </c>
      <c r="L12" s="103"/>
      <c r="M12" s="84"/>
      <c r="N12" s="84"/>
      <c r="O12" s="84"/>
      <c r="P12" s="84"/>
      <c r="Q12" s="84"/>
      <c r="R12" s="84"/>
      <c r="S12" s="99"/>
      <c r="T12" s="104"/>
      <c r="U12" s="105"/>
      <c r="V12" s="10" t="str">
        <f>IF(DB_Fornitori[[#This Row],[Impatto interruzione (Criticità BC)]]="Mission Critical","X","")</f>
        <v/>
      </c>
      <c r="X12" s="359" t="str">
        <f>IFERROR(INDEX(Parametri_BIA!$N$6:$N$9,MATCH(F12,Parametri_BIA!$O$6:$O$9,0)),"")</f>
        <v/>
      </c>
      <c r="Y12" s="359" t="str">
        <f>IFERROR(INDEX(Parametri_BIA!$N$10:$N$13,MATCH(G12,Parametri_BIA!$O$10:$O$13,0)),"")</f>
        <v/>
      </c>
      <c r="Z12" s="359" t="str">
        <f>IFERROR(INDEX(Parametri_BIA!$N$14:$N$17,MATCH(H12,Parametri_BIA!$O$14:$O$17,0)),"")</f>
        <v/>
      </c>
      <c r="AA12" s="359" t="str">
        <f>IFERROR(INDEX(Parametri_BIA!$N$18:$N$21,MATCH(I12,Parametri_BIA!$O$18:$O$21,0)),"")</f>
        <v/>
      </c>
      <c r="AB12" s="359" t="str">
        <f>IFERROR(INDEX(Parametri_BIA!$N$22:$N$25,MATCH(J12,Parametri_BIA!$O$22:$O$25,0)),"")</f>
        <v/>
      </c>
    </row>
    <row r="13" spans="2:28" x14ac:dyDescent="0.45">
      <c r="B13" s="111">
        <f>'Appoggio_BIA Servizio'!$B$5</f>
        <v>0</v>
      </c>
      <c r="C13" s="91"/>
      <c r="D13" s="91"/>
      <c r="E13" s="91"/>
      <c r="F13" s="91"/>
      <c r="G13" s="91"/>
      <c r="H13" s="91"/>
      <c r="I13" s="91"/>
      <c r="J13" s="91"/>
      <c r="K13" s="92" t="str" cm="1">
        <f t="array" ref="K13">_xlfn.IFS(SUM(X13:AB13)=0,"",SUM(X13:AB13)&lt;=Parametri_BIA!S$6,Parametri_BIA!T$6,SUM(X13:AB13)&lt;=Parametri_BIA!S$7,Parametri_BIA!T$7,SUM(X13:AB13)&lt;=Parametri_BIA!S$8,Parametri_BIA!T$8)</f>
        <v/>
      </c>
      <c r="L13" s="106"/>
      <c r="M13" s="91"/>
      <c r="N13" s="91"/>
      <c r="O13" s="91"/>
      <c r="P13" s="91"/>
      <c r="Q13" s="91"/>
      <c r="R13" s="91"/>
      <c r="S13" s="107"/>
      <c r="T13" s="108"/>
      <c r="U13" s="109"/>
      <c r="V13" s="10" t="str">
        <f>IF(DB_Fornitori[[#This Row],[Impatto interruzione (Criticità BC)]]="Mission Critical","X","")</f>
        <v/>
      </c>
      <c r="X13" s="359" t="str">
        <f>IFERROR(INDEX(Parametri_BIA!$N$6:$N$9,MATCH(F13,Parametri_BIA!$O$6:$O$9,0)),"")</f>
        <v/>
      </c>
      <c r="Y13" s="359" t="str">
        <f>IFERROR(INDEX(Parametri_BIA!$N$10:$N$13,MATCH(G13,Parametri_BIA!$O$10:$O$13,0)),"")</f>
        <v/>
      </c>
      <c r="Z13" s="359" t="str">
        <f>IFERROR(INDEX(Parametri_BIA!$N$14:$N$17,MATCH(H13,Parametri_BIA!$O$14:$O$17,0)),"")</f>
        <v/>
      </c>
      <c r="AA13" s="359" t="str">
        <f>IFERROR(INDEX(Parametri_BIA!$N$18:$N$21,MATCH(I13,Parametri_BIA!$O$18:$O$21,0)),"")</f>
        <v/>
      </c>
      <c r="AB13" s="359" t="str">
        <f>IFERROR(INDEX(Parametri_BIA!$N$22:$N$25,MATCH(J13,Parametri_BIA!$O$22:$O$25,0)),"")</f>
        <v/>
      </c>
    </row>
    <row r="14" spans="2:28" x14ac:dyDescent="0.45">
      <c r="X14" s="357"/>
      <c r="Y14" s="357"/>
      <c r="Z14" s="357"/>
      <c r="AA14" s="357"/>
      <c r="AB14" s="357"/>
    </row>
    <row r="15" spans="2:28" x14ac:dyDescent="0.45">
      <c r="X15" s="357"/>
      <c r="Y15" s="357"/>
      <c r="Z15" s="357"/>
      <c r="AA15" s="357"/>
      <c r="AB15" s="357"/>
    </row>
    <row r="16" spans="2:28" x14ac:dyDescent="0.45">
      <c r="X16" s="357"/>
      <c r="Y16" s="357"/>
      <c r="Z16" s="357"/>
      <c r="AA16" s="357"/>
      <c r="AB16" s="357"/>
    </row>
    <row r="17" spans="24:28" x14ac:dyDescent="0.45">
      <c r="X17" s="357"/>
      <c r="Y17" s="357"/>
      <c r="Z17" s="357"/>
      <c r="AA17" s="357"/>
      <c r="AB17" s="357"/>
    </row>
  </sheetData>
  <mergeCells count="1">
    <mergeCell ref="R4:T4"/>
  </mergeCells>
  <phoneticPr fontId="1" type="noConversion"/>
  <dataValidations count="2">
    <dataValidation type="list" allowBlank="1" showInputMessage="1" showErrorMessage="1" sqref="M6:M13" xr:uid="{766F8343-4F3B-45B3-93AE-02DB045D250B}">
      <formula1>"SI,NO"</formula1>
    </dataValidation>
    <dataValidation type="list" allowBlank="1" showInputMessage="1" showErrorMessage="1" sqref="D6:D13" xr:uid="{B6EB8888-08E8-48F6-AF24-C39D6698E7E4}">
      <formula1>"Servizio,Prodotto,Licenze"</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942A13CE-0C33-4A22-8C69-50A678F1D259}">
          <x14:formula1>
            <xm:f>Parametri_BIA!$O$6:$O$9</xm:f>
          </x14:formula1>
          <xm:sqref>F6:F13</xm:sqref>
        </x14:dataValidation>
        <x14:dataValidation type="list" allowBlank="1" showInputMessage="1" showErrorMessage="1" xr:uid="{2978E1D7-4B99-49A2-9F7E-C3EAA032A64B}">
          <x14:formula1>
            <xm:f>Parametri_BIA!$O$10:$O$13</xm:f>
          </x14:formula1>
          <xm:sqref>G6:G13</xm:sqref>
        </x14:dataValidation>
        <x14:dataValidation type="list" allowBlank="1" showInputMessage="1" showErrorMessage="1" xr:uid="{BE5CA83F-811B-4EB7-9621-6AE02CEAD909}">
          <x14:formula1>
            <xm:f>Parametri_BIA!$O$14:$O$17</xm:f>
          </x14:formula1>
          <xm:sqref>H6:H13</xm:sqref>
        </x14:dataValidation>
        <x14:dataValidation type="list" allowBlank="1" showInputMessage="1" showErrorMessage="1" xr:uid="{AF4A3C6C-7D68-49DB-82E7-8EB8E00A9D76}">
          <x14:formula1>
            <xm:f>Parametri_BIA!$O$18:$O$21</xm:f>
          </x14:formula1>
          <xm:sqref>I6:I13</xm:sqref>
        </x14:dataValidation>
        <x14:dataValidation type="list" allowBlank="1" showInputMessage="1" showErrorMessage="1" xr:uid="{36BADFB2-4DA3-4DA5-8B61-F5F76F86A475}">
          <x14:formula1>
            <xm:f>Parametri_BIA!$O$22:$O$25</xm:f>
          </x14:formula1>
          <xm:sqref>J6:J13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89D86-2A17-439D-9C7B-18A76FEBB4ED}">
  <sheetPr codeName="Foglio17">
    <tabColor rgb="FFC34986"/>
  </sheetPr>
  <dimension ref="B3:T24"/>
  <sheetViews>
    <sheetView showGridLines="0" zoomScale="130" zoomScaleNormal="130" workbookViewId="0">
      <pane xSplit="3" ySplit="6" topLeftCell="D7" activePane="bottomRight" state="frozen"/>
      <selection pane="topRight" activeCell="J6" sqref="J6"/>
      <selection pane="bottomLeft" activeCell="J6" sqref="J6"/>
      <selection pane="bottomRight" activeCell="E17" sqref="E17"/>
    </sheetView>
  </sheetViews>
  <sheetFormatPr defaultColWidth="8.6328125" defaultRowHeight="14.5" x14ac:dyDescent="0.45"/>
  <cols>
    <col min="1" max="1" width="4.36328125" style="10" customWidth="1"/>
    <col min="2" max="2" width="16.453125" style="16" customWidth="1"/>
    <col min="3" max="3" width="19.36328125" style="10" customWidth="1"/>
    <col min="4" max="4" width="10.6328125" style="16" customWidth="1"/>
    <col min="5" max="5" width="40.453125" style="10" customWidth="1"/>
    <col min="6" max="6" width="15.453125" style="16" customWidth="1"/>
    <col min="7" max="7" width="14.453125" style="16" customWidth="1"/>
    <col min="8" max="9" width="8.6328125" style="16"/>
    <col min="10" max="10" width="28.36328125" style="10" customWidth="1"/>
    <col min="11" max="11" width="19.36328125" style="10" customWidth="1"/>
    <col min="12" max="12" width="18.36328125" style="64" customWidth="1"/>
    <col min="13" max="13" width="8.6328125" style="10"/>
    <col min="14" max="14" width="31.6328125" style="10" customWidth="1"/>
    <col min="15" max="15" width="18.54296875" style="10" customWidth="1"/>
    <col min="16" max="16" width="26.54296875" style="10" customWidth="1"/>
    <col min="17" max="17" width="19.6328125" style="10" customWidth="1"/>
    <col min="18" max="18" width="21.6328125" style="10" customWidth="1"/>
    <col min="19" max="19" width="22.36328125" style="10" customWidth="1"/>
    <col min="20" max="20" width="37.453125" style="64" customWidth="1"/>
    <col min="21" max="21" width="20.54296875" style="10" bestFit="1" customWidth="1"/>
    <col min="22" max="16384" width="8.6328125" style="10"/>
  </cols>
  <sheetData>
    <row r="3" spans="2:20" ht="16.5" x14ac:dyDescent="0.45">
      <c r="B3" s="447" t="s">
        <v>537</v>
      </c>
      <c r="C3" s="447"/>
      <c r="D3" s="447"/>
      <c r="E3" s="447"/>
      <c r="F3" s="447"/>
      <c r="G3" s="447"/>
      <c r="H3" s="447"/>
      <c r="I3" s="447"/>
      <c r="J3" s="447"/>
      <c r="K3" s="447"/>
      <c r="L3" s="447"/>
      <c r="M3" s="447"/>
      <c r="N3" s="447"/>
      <c r="O3" s="447"/>
      <c r="P3" s="447"/>
      <c r="Q3" s="447"/>
      <c r="R3" s="447"/>
      <c r="S3" s="447"/>
      <c r="T3" s="447"/>
    </row>
    <row r="4" spans="2:20" ht="16.5" x14ac:dyDescent="0.45">
      <c r="C4" s="68"/>
      <c r="D4" s="68"/>
      <c r="E4" s="68"/>
      <c r="F4" s="68"/>
      <c r="G4" s="68"/>
      <c r="H4" s="68"/>
      <c r="I4" s="68"/>
      <c r="J4" s="68"/>
      <c r="K4" s="68"/>
      <c r="L4" s="68"/>
      <c r="M4" s="68"/>
      <c r="N4" s="68"/>
      <c r="O4" s="68"/>
      <c r="P4" s="68"/>
      <c r="Q4" s="68"/>
      <c r="R4" s="68"/>
      <c r="T4" s="10"/>
    </row>
    <row r="5" spans="2:20" ht="25.5" customHeight="1" x14ac:dyDescent="0.45">
      <c r="C5" s="9"/>
      <c r="Q5" s="450" t="s">
        <v>530</v>
      </c>
      <c r="R5" s="450"/>
      <c r="S5" s="450"/>
      <c r="T5" s="113"/>
    </row>
    <row r="6" spans="2:20" x14ac:dyDescent="0.45">
      <c r="B6" s="88" t="s">
        <v>116</v>
      </c>
      <c r="C6" s="89" t="s">
        <v>222</v>
      </c>
      <c r="D6" s="89" t="s">
        <v>0</v>
      </c>
      <c r="E6" s="89" t="s">
        <v>225</v>
      </c>
      <c r="F6" s="89" t="s">
        <v>227</v>
      </c>
      <c r="G6" s="89" t="s">
        <v>230</v>
      </c>
      <c r="H6" s="89" t="s">
        <v>129</v>
      </c>
      <c r="I6" s="89" t="s">
        <v>234</v>
      </c>
      <c r="J6" s="89" t="s">
        <v>236</v>
      </c>
      <c r="K6" s="89" t="s">
        <v>209</v>
      </c>
      <c r="L6" s="89" t="s">
        <v>239</v>
      </c>
      <c r="M6" s="89" t="s">
        <v>241</v>
      </c>
      <c r="N6" s="89" t="s">
        <v>243</v>
      </c>
      <c r="O6" s="89" t="s">
        <v>245</v>
      </c>
      <c r="P6" s="89" t="s">
        <v>247</v>
      </c>
      <c r="Q6" s="89" t="s">
        <v>250</v>
      </c>
      <c r="R6" s="89" t="s">
        <v>252</v>
      </c>
      <c r="S6" s="89" t="s">
        <v>254</v>
      </c>
      <c r="T6" s="90" t="s">
        <v>73</v>
      </c>
    </row>
    <row r="7" spans="2:20" ht="17" x14ac:dyDescent="0.45">
      <c r="B7" s="97">
        <f>'Appoggio_BIA Servizio'!$B$5</f>
        <v>0</v>
      </c>
      <c r="C7" s="84"/>
      <c r="D7" s="92"/>
      <c r="E7" s="84"/>
      <c r="F7" s="114"/>
      <c r="G7" s="92"/>
      <c r="H7" s="115"/>
      <c r="I7" s="115"/>
      <c r="J7" s="84"/>
      <c r="K7" s="84"/>
      <c r="L7" s="84"/>
      <c r="M7" s="99"/>
      <c r="N7" s="84"/>
      <c r="O7" s="84"/>
      <c r="P7" s="100"/>
      <c r="Q7" s="84"/>
      <c r="R7" s="104"/>
      <c r="S7" s="99"/>
      <c r="T7" s="86"/>
    </row>
    <row r="8" spans="2:20" x14ac:dyDescent="0.45">
      <c r="B8" s="97">
        <f>'Appoggio_BIA Servizio'!$B$5</f>
        <v>0</v>
      </c>
      <c r="C8" s="84"/>
      <c r="D8" s="92"/>
      <c r="E8" s="84"/>
      <c r="F8" s="114"/>
      <c r="G8" s="92"/>
      <c r="H8" s="115"/>
      <c r="I8" s="115"/>
      <c r="J8" s="84"/>
      <c r="K8" s="84"/>
      <c r="L8" s="84"/>
      <c r="M8" s="99"/>
      <c r="N8" s="84"/>
      <c r="O8" s="84"/>
      <c r="P8" s="84"/>
      <c r="Q8" s="84"/>
      <c r="R8" s="104"/>
      <c r="S8" s="99"/>
      <c r="T8" s="86"/>
    </row>
    <row r="9" spans="2:20" x14ac:dyDescent="0.45">
      <c r="B9" s="97">
        <f>'Appoggio_BIA Servizio'!$B$5</f>
        <v>0</v>
      </c>
      <c r="C9" s="84"/>
      <c r="D9" s="92"/>
      <c r="E9" s="84"/>
      <c r="F9" s="114"/>
      <c r="G9" s="92"/>
      <c r="H9" s="115"/>
      <c r="I9" s="115"/>
      <c r="J9" s="84"/>
      <c r="K9" s="84"/>
      <c r="L9" s="84"/>
      <c r="M9" s="99"/>
      <c r="N9" s="84"/>
      <c r="O9" s="84"/>
      <c r="P9" s="84"/>
      <c r="Q9" s="84"/>
      <c r="R9" s="104"/>
      <c r="S9" s="99"/>
      <c r="T9" s="86"/>
    </row>
    <row r="10" spans="2:20" x14ac:dyDescent="0.45">
      <c r="B10" s="97">
        <f>'Appoggio_BIA Servizio'!$B$5</f>
        <v>0</v>
      </c>
      <c r="C10" s="84"/>
      <c r="D10" s="92"/>
      <c r="E10" s="84"/>
      <c r="F10" s="114"/>
      <c r="G10" s="92"/>
      <c r="H10" s="115"/>
      <c r="I10" s="115"/>
      <c r="J10" s="84"/>
      <c r="K10" s="84"/>
      <c r="L10" s="84"/>
      <c r="M10" s="99"/>
      <c r="N10" s="84"/>
      <c r="O10" s="84"/>
      <c r="P10" s="84"/>
      <c r="Q10" s="84"/>
      <c r="R10" s="104"/>
      <c r="S10" s="99"/>
      <c r="T10" s="86"/>
    </row>
    <row r="11" spans="2:20" x14ac:dyDescent="0.45">
      <c r="B11" s="97">
        <f>'Appoggio_BIA Servizio'!$B$5</f>
        <v>0</v>
      </c>
      <c r="C11" s="84"/>
      <c r="D11" s="92"/>
      <c r="E11" s="84"/>
      <c r="F11" s="114"/>
      <c r="G11" s="92"/>
      <c r="H11" s="115"/>
      <c r="I11" s="115"/>
      <c r="J11" s="84"/>
      <c r="K11" s="84"/>
      <c r="L11" s="84"/>
      <c r="M11" s="99"/>
      <c r="N11" s="84"/>
      <c r="O11" s="84"/>
      <c r="P11" s="84"/>
      <c r="Q11" s="84"/>
      <c r="R11" s="104"/>
      <c r="S11" s="99"/>
      <c r="T11" s="86"/>
    </row>
    <row r="12" spans="2:20" x14ac:dyDescent="0.45">
      <c r="B12" s="97">
        <f>'Appoggio_BIA Servizio'!$B$5</f>
        <v>0</v>
      </c>
      <c r="C12" s="84"/>
      <c r="D12" s="92"/>
      <c r="E12" s="84"/>
      <c r="F12" s="114"/>
      <c r="G12" s="92"/>
      <c r="H12" s="115"/>
      <c r="I12" s="115"/>
      <c r="J12" s="84"/>
      <c r="K12" s="84"/>
      <c r="L12" s="84"/>
      <c r="M12" s="99"/>
      <c r="N12" s="84"/>
      <c r="O12" s="84"/>
      <c r="P12" s="84"/>
      <c r="Q12" s="84"/>
      <c r="R12" s="104"/>
      <c r="S12" s="99"/>
      <c r="T12" s="86"/>
    </row>
    <row r="13" spans="2:20" x14ac:dyDescent="0.45">
      <c r="B13" s="97">
        <f>'Appoggio_BIA Servizio'!$B$5</f>
        <v>0</v>
      </c>
      <c r="C13" s="84"/>
      <c r="D13" s="92"/>
      <c r="E13" s="84"/>
      <c r="F13" s="114"/>
      <c r="G13" s="92"/>
      <c r="H13" s="115"/>
      <c r="I13" s="115"/>
      <c r="J13" s="84"/>
      <c r="K13" s="84"/>
      <c r="L13" s="84"/>
      <c r="M13" s="99"/>
      <c r="N13" s="84"/>
      <c r="O13" s="84"/>
      <c r="P13" s="84"/>
      <c r="Q13" s="84"/>
      <c r="R13" s="104"/>
      <c r="S13" s="99"/>
      <c r="T13" s="86"/>
    </row>
    <row r="14" spans="2:20" x14ac:dyDescent="0.45">
      <c r="B14" s="97">
        <f>'Appoggio_BIA Servizio'!$B$5</f>
        <v>0</v>
      </c>
      <c r="C14" s="84"/>
      <c r="D14" s="92"/>
      <c r="E14" s="84"/>
      <c r="F14" s="114"/>
      <c r="G14" s="92"/>
      <c r="H14" s="115"/>
      <c r="I14" s="115"/>
      <c r="J14" s="84"/>
      <c r="K14" s="84"/>
      <c r="L14" s="84"/>
      <c r="M14" s="99"/>
      <c r="N14" s="84"/>
      <c r="O14" s="84"/>
      <c r="P14" s="84"/>
      <c r="Q14" s="84"/>
      <c r="R14" s="104"/>
      <c r="S14" s="99"/>
      <c r="T14" s="86"/>
    </row>
    <row r="15" spans="2:20" x14ac:dyDescent="0.45">
      <c r="B15" s="97">
        <f>'Appoggio_BIA Servizio'!$B$5</f>
        <v>0</v>
      </c>
      <c r="C15" s="84"/>
      <c r="D15" s="92"/>
      <c r="E15" s="84"/>
      <c r="F15" s="114"/>
      <c r="G15" s="92"/>
      <c r="H15" s="115"/>
      <c r="I15" s="115"/>
      <c r="J15" s="84"/>
      <c r="K15" s="84"/>
      <c r="L15" s="84"/>
      <c r="M15" s="99"/>
      <c r="N15" s="84"/>
      <c r="O15" s="84"/>
      <c r="P15" s="84"/>
      <c r="Q15" s="84"/>
      <c r="R15" s="104"/>
      <c r="S15" s="99"/>
      <c r="T15" s="86"/>
    </row>
    <row r="16" spans="2:20" x14ac:dyDescent="0.45">
      <c r="B16" s="97">
        <f>'Appoggio_BIA Servizio'!$B$5</f>
        <v>0</v>
      </c>
      <c r="C16" s="84"/>
      <c r="D16" s="92"/>
      <c r="E16" s="84"/>
      <c r="F16" s="114"/>
      <c r="G16" s="92"/>
      <c r="H16" s="115"/>
      <c r="I16" s="115"/>
      <c r="J16" s="84"/>
      <c r="K16" s="84"/>
      <c r="L16" s="84"/>
      <c r="M16" s="99"/>
      <c r="N16" s="84"/>
      <c r="O16" s="84"/>
      <c r="P16" s="84"/>
      <c r="Q16" s="84"/>
      <c r="R16" s="104"/>
      <c r="S16" s="99"/>
      <c r="T16" s="86"/>
    </row>
    <row r="17" spans="2:20" x14ac:dyDescent="0.45">
      <c r="B17" s="97">
        <f>'Appoggio_BIA Servizio'!$B$5</f>
        <v>0</v>
      </c>
      <c r="C17" s="84"/>
      <c r="D17" s="92"/>
      <c r="E17" s="84"/>
      <c r="F17" s="114"/>
      <c r="G17" s="92"/>
      <c r="H17" s="115"/>
      <c r="I17" s="115"/>
      <c r="J17" s="84"/>
      <c r="K17" s="84"/>
      <c r="L17" s="84"/>
      <c r="M17" s="99"/>
      <c r="N17" s="84"/>
      <c r="O17" s="84"/>
      <c r="P17" s="84"/>
      <c r="Q17" s="84"/>
      <c r="R17" s="104"/>
      <c r="S17" s="99"/>
      <c r="T17" s="86"/>
    </row>
    <row r="18" spans="2:20" x14ac:dyDescent="0.45">
      <c r="B18" s="97">
        <f>'Appoggio_BIA Servizio'!$B$5</f>
        <v>0</v>
      </c>
      <c r="C18" s="84"/>
      <c r="D18" s="92"/>
      <c r="E18" s="84"/>
      <c r="F18" s="114"/>
      <c r="G18" s="92"/>
      <c r="H18" s="115"/>
      <c r="I18" s="115"/>
      <c r="J18" s="84"/>
      <c r="K18" s="84"/>
      <c r="L18" s="84"/>
      <c r="M18" s="99"/>
      <c r="N18" s="84"/>
      <c r="O18" s="84"/>
      <c r="P18" s="84"/>
      <c r="Q18" s="84"/>
      <c r="R18" s="104"/>
      <c r="S18" s="99"/>
      <c r="T18" s="86"/>
    </row>
    <row r="19" spans="2:20" x14ac:dyDescent="0.45">
      <c r="B19" s="97">
        <f>'Appoggio_BIA Servizio'!$B$5</f>
        <v>0</v>
      </c>
      <c r="C19" s="84"/>
      <c r="D19" s="92"/>
      <c r="E19" s="84"/>
      <c r="F19" s="114"/>
      <c r="G19" s="92"/>
      <c r="H19" s="115"/>
      <c r="I19" s="115"/>
      <c r="J19" s="84"/>
      <c r="K19" s="84"/>
      <c r="L19" s="84"/>
      <c r="M19" s="99"/>
      <c r="N19" s="84"/>
      <c r="O19" s="84"/>
      <c r="P19" s="84"/>
      <c r="Q19" s="84"/>
      <c r="R19" s="104"/>
      <c r="S19" s="99"/>
      <c r="T19" s="86"/>
    </row>
    <row r="20" spans="2:20" x14ac:dyDescent="0.45">
      <c r="B20" s="97">
        <f>'Appoggio_BIA Servizio'!$B$5</f>
        <v>0</v>
      </c>
      <c r="C20" s="84"/>
      <c r="D20" s="92"/>
      <c r="E20" s="84"/>
      <c r="F20" s="114"/>
      <c r="G20" s="92"/>
      <c r="H20" s="115"/>
      <c r="I20" s="115"/>
      <c r="J20" s="84"/>
      <c r="K20" s="84"/>
      <c r="L20" s="84"/>
      <c r="M20" s="99"/>
      <c r="N20" s="84"/>
      <c r="O20" s="84"/>
      <c r="P20" s="84"/>
      <c r="Q20" s="84"/>
      <c r="R20" s="104"/>
      <c r="S20" s="99"/>
      <c r="T20" s="86"/>
    </row>
    <row r="21" spans="2:20" x14ac:dyDescent="0.45">
      <c r="B21" s="97">
        <f>'Appoggio_BIA Servizio'!$B$5</f>
        <v>0</v>
      </c>
      <c r="C21" s="84"/>
      <c r="D21" s="92"/>
      <c r="E21" s="84"/>
      <c r="F21" s="114"/>
      <c r="G21" s="92"/>
      <c r="H21" s="115"/>
      <c r="I21" s="115"/>
      <c r="J21" s="84"/>
      <c r="K21" s="84"/>
      <c r="L21" s="84"/>
      <c r="M21" s="99"/>
      <c r="N21" s="84"/>
      <c r="O21" s="84"/>
      <c r="P21" s="84"/>
      <c r="Q21" s="84"/>
      <c r="R21" s="104"/>
      <c r="S21" s="99"/>
      <c r="T21" s="86"/>
    </row>
    <row r="22" spans="2:20" x14ac:dyDescent="0.45">
      <c r="B22" s="97">
        <f>'Appoggio_BIA Servizio'!$B$5</f>
        <v>0</v>
      </c>
      <c r="C22" s="84"/>
      <c r="D22" s="92"/>
      <c r="E22" s="84"/>
      <c r="F22" s="92"/>
      <c r="G22" s="92"/>
      <c r="H22" s="92"/>
      <c r="I22" s="92"/>
      <c r="J22" s="84"/>
      <c r="K22" s="84"/>
      <c r="L22" s="84"/>
      <c r="M22" s="84"/>
      <c r="N22" s="84"/>
      <c r="O22" s="84"/>
      <c r="P22" s="84"/>
      <c r="Q22" s="84"/>
      <c r="R22" s="84"/>
      <c r="S22" s="84"/>
      <c r="T22" s="86"/>
    </row>
    <row r="23" spans="2:20" x14ac:dyDescent="0.45">
      <c r="B23" s="97">
        <f>'Appoggio_BIA Servizio'!$B$5</f>
        <v>0</v>
      </c>
      <c r="C23" s="84"/>
      <c r="D23" s="92"/>
      <c r="E23" s="84"/>
      <c r="F23" s="92"/>
      <c r="G23" s="92"/>
      <c r="H23" s="92"/>
      <c r="I23" s="92"/>
      <c r="J23" s="84"/>
      <c r="K23" s="84"/>
      <c r="L23" s="84"/>
      <c r="M23" s="84"/>
      <c r="N23" s="84"/>
      <c r="O23" s="84"/>
      <c r="P23" s="84"/>
      <c r="Q23" s="84"/>
      <c r="R23" s="84"/>
      <c r="S23" s="84"/>
      <c r="T23" s="86"/>
    </row>
    <row r="24" spans="2:20" x14ac:dyDescent="0.45">
      <c r="B24" s="101">
        <f>'Appoggio_BIA Servizio'!$B$5</f>
        <v>0</v>
      </c>
      <c r="C24" s="91"/>
      <c r="D24" s="93"/>
      <c r="E24" s="91"/>
      <c r="F24" s="116"/>
      <c r="G24" s="93"/>
      <c r="H24" s="93"/>
      <c r="I24" s="93"/>
      <c r="J24" s="91"/>
      <c r="K24" s="91"/>
      <c r="L24" s="91"/>
      <c r="M24" s="107"/>
      <c r="N24" s="91"/>
      <c r="O24" s="91"/>
      <c r="P24" s="91"/>
      <c r="Q24" s="91"/>
      <c r="R24" s="91"/>
      <c r="S24" s="91"/>
      <c r="T24" s="87"/>
    </row>
  </sheetData>
  <mergeCells count="2">
    <mergeCell ref="Q5:S5"/>
    <mergeCell ref="B3:T3"/>
  </mergeCells>
  <dataValidations count="4">
    <dataValidation type="list" allowBlank="1" showInputMessage="1" showErrorMessage="1" sqref="M7:M21 O7:O24 M24" xr:uid="{604AF30D-3C6E-47F4-AD09-2798D2E3BB46}">
      <formula1>"Sì,No"</formula1>
    </dataValidation>
    <dataValidation type="list" allowBlank="1" showInputMessage="1" showErrorMessage="1" sqref="G7:G21 G24" xr:uid="{250E6E62-AEB9-4C6F-82A3-41CA1B50E0FF}">
      <formula1>"Sì,No,-,"</formula1>
    </dataValidation>
    <dataValidation type="list" allowBlank="1" showInputMessage="1" showErrorMessage="1" sqref="E7:E21 E24" xr:uid="{0839ADCB-9EB4-407E-833F-689C4B639F7E}">
      <formula1>"Applicativo Oggetto del Servizio,Applicativo a Supporto"</formula1>
    </dataValidation>
    <dataValidation type="list" allowBlank="1" showInputMessage="1" showErrorMessage="1" sqref="D7:D21 D24" xr:uid="{728441F1-2252-450A-AB10-4A59415FEA2A}">
      <formula1>"on premise (EII), on premise (DHUB), on premise (cliente), on premise (fornitore), SaaS,PaaS,IaaS"</formula1>
    </dataValidation>
  </dataValidation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008CBA7-8137-4E51-9489-1C7B9E42F620}">
          <x14:formula1>
            <xm:f>Parametri_BIA!$V$6:$V$9</xm:f>
          </x14:formula1>
          <xm:sqref>F7:F24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15137-9671-433D-A5F1-F1222FB9AB25}">
  <sheetPr codeName="Foglio20">
    <tabColor rgb="FFC34986"/>
  </sheetPr>
  <dimension ref="A1:I13"/>
  <sheetViews>
    <sheetView showGridLines="0" zoomScale="90" zoomScaleNormal="90" workbookViewId="0">
      <pane xSplit="3" ySplit="4" topLeftCell="D5" activePane="bottomRight" state="frozen"/>
      <selection pane="topRight" activeCell="J6" sqref="J6"/>
      <selection pane="bottomLeft" activeCell="J6" sqref="J6"/>
      <selection pane="bottomRight" activeCell="C10" sqref="C10"/>
    </sheetView>
  </sheetViews>
  <sheetFormatPr defaultColWidth="0" defaultRowHeight="14.5" zeroHeight="1" x14ac:dyDescent="0.45"/>
  <cols>
    <col min="1" max="1" width="4.453125" style="10" customWidth="1"/>
    <col min="2" max="2" width="18.6328125" style="10" customWidth="1"/>
    <col min="3" max="3" width="59.36328125" style="10" customWidth="1"/>
    <col min="4" max="4" width="16" style="10" customWidth="1"/>
    <col min="5" max="5" width="46.453125" style="10" customWidth="1"/>
    <col min="6" max="6" width="13.36328125" style="10" bestFit="1" customWidth="1"/>
    <col min="7" max="7" width="35.6328125" style="10" bestFit="1" customWidth="1"/>
    <col min="8" max="8" width="17.6328125" style="10" customWidth="1"/>
    <col min="9" max="9" width="8.6328125" style="10" customWidth="1"/>
    <col min="10" max="16384" width="8.6328125" style="10" hidden="1"/>
  </cols>
  <sheetData>
    <row r="1" spans="2:8" ht="25.5" customHeight="1" x14ac:dyDescent="0.45">
      <c r="C1" s="9"/>
    </row>
    <row r="2" spans="2:8" ht="16.5" x14ac:dyDescent="0.45">
      <c r="B2" s="447" t="s">
        <v>538</v>
      </c>
      <c r="C2" s="447"/>
      <c r="D2" s="447"/>
      <c r="E2" s="447"/>
      <c r="F2" s="447"/>
      <c r="G2" s="447"/>
      <c r="H2" s="447"/>
    </row>
    <row r="3" spans="2:8" ht="25.5" customHeight="1" x14ac:dyDescent="0.45">
      <c r="C3" s="9"/>
    </row>
    <row r="4" spans="2:8" ht="52.5" customHeight="1" x14ac:dyDescent="0.45">
      <c r="B4" s="112" t="s">
        <v>116</v>
      </c>
      <c r="C4" s="112" t="s">
        <v>257</v>
      </c>
      <c r="D4" s="112" t="s">
        <v>0</v>
      </c>
      <c r="E4" s="112" t="s">
        <v>261</v>
      </c>
      <c r="F4" s="112" t="s">
        <v>227</v>
      </c>
      <c r="G4" s="112" t="s">
        <v>264</v>
      </c>
      <c r="H4" s="112" t="s">
        <v>73</v>
      </c>
    </row>
    <row r="5" spans="2:8" ht="21" customHeight="1" x14ac:dyDescent="0.45">
      <c r="B5" s="92">
        <f>'Appoggio_BIA Servizio'!$B$5</f>
        <v>0</v>
      </c>
      <c r="C5" s="84" t="s">
        <v>539</v>
      </c>
      <c r="D5" s="118" t="s">
        <v>29</v>
      </c>
      <c r="E5" s="118" t="s">
        <v>540</v>
      </c>
      <c r="F5" s="118" t="s">
        <v>541</v>
      </c>
      <c r="G5" s="84"/>
      <c r="H5" s="84"/>
    </row>
    <row r="6" spans="2:8" x14ac:dyDescent="0.45">
      <c r="B6" s="92">
        <f>'Appoggio_BIA Servizio'!$B$5</f>
        <v>0</v>
      </c>
      <c r="C6" s="84" t="s">
        <v>542</v>
      </c>
      <c r="D6" s="118" t="s">
        <v>29</v>
      </c>
      <c r="E6" s="118" t="s">
        <v>540</v>
      </c>
      <c r="F6" s="118" t="s">
        <v>541</v>
      </c>
      <c r="G6" s="84"/>
      <c r="H6" s="84"/>
    </row>
    <row r="7" spans="2:8" x14ac:dyDescent="0.45">
      <c r="B7" s="92">
        <f>'Appoggio_BIA Servizio'!$B$5</f>
        <v>0</v>
      </c>
      <c r="C7" s="84" t="s">
        <v>543</v>
      </c>
      <c r="D7" s="118" t="s">
        <v>29</v>
      </c>
      <c r="E7" s="118" t="s">
        <v>540</v>
      </c>
      <c r="F7" s="118" t="s">
        <v>541</v>
      </c>
      <c r="G7" s="84"/>
      <c r="H7" s="84"/>
    </row>
    <row r="8" spans="2:8" x14ac:dyDescent="0.45"/>
    <row r="9" spans="2:8" x14ac:dyDescent="0.45"/>
    <row r="10" spans="2:8" x14ac:dyDescent="0.45"/>
    <row r="11" spans="2:8" x14ac:dyDescent="0.45"/>
    <row r="12" spans="2:8" x14ac:dyDescent="0.45"/>
    <row r="13" spans="2:8" x14ac:dyDescent="0.45"/>
  </sheetData>
  <mergeCells count="1">
    <mergeCell ref="B2:H2"/>
  </mergeCells>
  <dataValidations count="1">
    <dataValidation type="list" allowBlank="1" showInputMessage="1" showErrorMessage="1" sqref="D5:D7" xr:uid="{4C1CB168-71AF-4586-86A0-A4E60241B390}">
      <formula1>ASSET</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A4A5EEA-4693-48FD-9C4B-8075A26BECFD}">
          <x14:formula1>
            <xm:f>Parametri_BIA!$V$6:$V$9</xm:f>
          </x14:formula1>
          <xm:sqref>F5:F7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06B3B-F47B-418D-A75E-F8518E0B113B}">
  <sheetPr codeName="Foglio18">
    <tabColor rgb="FFC34986"/>
  </sheetPr>
  <dimension ref="A1:I15"/>
  <sheetViews>
    <sheetView showGridLines="0" workbookViewId="0">
      <pane xSplit="3" ySplit="4" topLeftCell="D5" activePane="bottomRight" state="frozen"/>
      <selection pane="topRight" activeCell="J6" sqref="J6"/>
      <selection pane="bottomLeft" activeCell="J6" sqref="J6"/>
      <selection pane="bottomRight" activeCell="G5" sqref="G5"/>
    </sheetView>
  </sheetViews>
  <sheetFormatPr defaultColWidth="0" defaultRowHeight="14.5" zeroHeight="1" x14ac:dyDescent="0.45"/>
  <cols>
    <col min="1" max="1" width="4.36328125" style="10" customWidth="1"/>
    <col min="2" max="2" width="16.453125" style="16" customWidth="1"/>
    <col min="3" max="3" width="25.54296875" style="10" customWidth="1"/>
    <col min="4" max="4" width="12" style="10" customWidth="1"/>
    <col min="5" max="5" width="22.36328125" style="10" customWidth="1"/>
    <col min="6" max="6" width="18.453125" style="10" customWidth="1"/>
    <col min="7" max="7" width="43.54296875" style="10" customWidth="1"/>
    <col min="8" max="8" width="36.36328125" style="10" bestFit="1" customWidth="1"/>
    <col min="9" max="9" width="8.6328125" style="10" customWidth="1"/>
    <col min="10" max="16384" width="8.6328125" style="10" hidden="1"/>
  </cols>
  <sheetData>
    <row r="1" spans="2:8" ht="24.65" customHeight="1" x14ac:dyDescent="0.45"/>
    <row r="2" spans="2:8" ht="16.5" x14ac:dyDescent="0.45">
      <c r="B2" s="447" t="s">
        <v>544</v>
      </c>
      <c r="C2" s="447"/>
      <c r="D2" s="447"/>
      <c r="E2" s="447"/>
      <c r="F2" s="447"/>
      <c r="G2" s="447"/>
      <c r="H2" s="447"/>
    </row>
    <row r="3" spans="2:8" ht="21" customHeight="1" x14ac:dyDescent="0.45">
      <c r="C3" s="9"/>
    </row>
    <row r="4" spans="2:8" ht="24.65" customHeight="1" x14ac:dyDescent="0.45">
      <c r="B4" s="88" t="s">
        <v>116</v>
      </c>
      <c r="C4" s="89" t="s">
        <v>267</v>
      </c>
      <c r="D4" s="89" t="s">
        <v>227</v>
      </c>
      <c r="E4" s="89" t="s">
        <v>270</v>
      </c>
      <c r="F4" s="89" t="s">
        <v>272</v>
      </c>
      <c r="G4" s="89" t="s">
        <v>274</v>
      </c>
      <c r="H4" s="90" t="s">
        <v>73</v>
      </c>
    </row>
    <row r="5" spans="2:8" x14ac:dyDescent="0.45">
      <c r="B5" s="97">
        <f>'Appoggio_BIA Servizio'!$B$5</f>
        <v>0</v>
      </c>
      <c r="C5" s="119"/>
      <c r="D5" s="118"/>
      <c r="E5" s="114"/>
      <c r="F5" s="114"/>
      <c r="G5" s="84"/>
      <c r="H5" s="120"/>
    </row>
    <row r="6" spans="2:8" x14ac:dyDescent="0.45">
      <c r="B6" s="110">
        <f>'Appoggio_BIA Servizio'!$B$5</f>
        <v>0</v>
      </c>
      <c r="C6" s="119"/>
      <c r="D6" s="118"/>
      <c r="E6" s="114"/>
      <c r="F6" s="114"/>
      <c r="G6" s="84"/>
      <c r="H6" s="120"/>
    </row>
    <row r="7" spans="2:8" x14ac:dyDescent="0.45">
      <c r="B7" s="111">
        <f>'Appoggio_BIA Servizio'!$B$5</f>
        <v>0</v>
      </c>
      <c r="C7" s="121"/>
      <c r="D7" s="122"/>
      <c r="E7" s="116"/>
      <c r="F7" s="116"/>
      <c r="G7" s="91"/>
      <c r="H7" s="123"/>
    </row>
    <row r="8" spans="2:8" x14ac:dyDescent="0.45"/>
    <row r="9" spans="2:8" x14ac:dyDescent="0.45"/>
    <row r="10" spans="2:8" x14ac:dyDescent="0.45"/>
    <row r="11" spans="2:8" x14ac:dyDescent="0.45"/>
    <row r="12" spans="2:8" x14ac:dyDescent="0.45"/>
    <row r="13" spans="2:8" x14ac:dyDescent="0.45"/>
    <row r="14" spans="2:8" x14ac:dyDescent="0.45"/>
    <row r="15" spans="2:8" x14ac:dyDescent="0.45"/>
  </sheetData>
  <mergeCells count="1">
    <mergeCell ref="B2:H2"/>
  </mergeCell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E37B7605-F341-4A1E-A0A3-DD3739D7D0FF}">
          <x14:formula1>
            <xm:f>Parametri_BIA!$V$6:$V$9</xm:f>
          </x14:formula1>
          <xm:sqref>D5:D7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1958F-CC31-4243-A86B-32EC63A79022}">
  <sheetPr codeName="Foglio19">
    <tabColor rgb="FFC34986"/>
  </sheetPr>
  <dimension ref="A1:O25"/>
  <sheetViews>
    <sheetView showGridLines="0" zoomScale="92" workbookViewId="0">
      <pane xSplit="3" ySplit="5" topLeftCell="D6" activePane="bottomRight" state="frozen"/>
      <selection pane="topRight" activeCell="F11" sqref="F11"/>
      <selection pane="bottomLeft" activeCell="F11" sqref="F11"/>
      <selection pane="bottomRight" activeCell="G10" sqref="G10"/>
    </sheetView>
  </sheetViews>
  <sheetFormatPr defaultColWidth="0" defaultRowHeight="14.5" zeroHeight="1" x14ac:dyDescent="0.45"/>
  <cols>
    <col min="1" max="1" width="4" style="10" customWidth="1"/>
    <col min="2" max="2" width="13.453125" style="10" customWidth="1"/>
    <col min="3" max="3" width="44.6328125" style="10" customWidth="1"/>
    <col min="4" max="4" width="12.54296875" style="11" customWidth="1"/>
    <col min="5" max="5" width="10.453125" style="10" customWidth="1"/>
    <col min="6" max="9" width="16.36328125" style="10" customWidth="1"/>
    <col min="10" max="10" width="34.54296875" style="10" bestFit="1" customWidth="1"/>
    <col min="11" max="11" width="20.36328125" style="10" customWidth="1"/>
    <col min="12" max="12" width="23.36328125" style="10" customWidth="1"/>
    <col min="13" max="13" width="21.6328125" style="10" customWidth="1"/>
    <col min="14" max="14" width="51.6328125" style="10" customWidth="1"/>
    <col min="15" max="15" width="12.6328125" style="10" customWidth="1"/>
    <col min="16" max="16384" width="8.6328125" style="10" hidden="1"/>
  </cols>
  <sheetData>
    <row r="1" spans="2:14" ht="27.65" customHeight="1" x14ac:dyDescent="0.45"/>
    <row r="2" spans="2:14" ht="16.5" x14ac:dyDescent="0.45">
      <c r="B2" s="447" t="s">
        <v>545</v>
      </c>
      <c r="C2" s="447"/>
      <c r="D2" s="447"/>
      <c r="E2" s="447"/>
      <c r="F2" s="447"/>
      <c r="G2" s="447"/>
      <c r="H2" s="447"/>
      <c r="I2" s="447"/>
      <c r="J2" s="447"/>
      <c r="K2" s="447"/>
      <c r="L2" s="447"/>
      <c r="M2" s="447"/>
      <c r="N2" s="447"/>
    </row>
    <row r="3" spans="2:14" x14ac:dyDescent="0.45"/>
    <row r="4" spans="2:14" x14ac:dyDescent="0.45">
      <c r="C4" s="9"/>
      <c r="K4" s="449" t="s">
        <v>530</v>
      </c>
      <c r="L4" s="449"/>
      <c r="M4" s="449"/>
      <c r="N4" s="124"/>
    </row>
    <row r="5" spans="2:14" ht="25.25" customHeight="1" x14ac:dyDescent="0.45">
      <c r="B5" s="88" t="s">
        <v>116</v>
      </c>
      <c r="C5" s="89" t="s">
        <v>277</v>
      </c>
      <c r="D5" s="89" t="s">
        <v>0</v>
      </c>
      <c r="E5" s="89" t="s">
        <v>239</v>
      </c>
      <c r="F5" s="89" t="s">
        <v>227</v>
      </c>
      <c r="G5" s="89" t="s">
        <v>129</v>
      </c>
      <c r="H5" s="89" t="s">
        <v>234</v>
      </c>
      <c r="I5" s="89" t="s">
        <v>241</v>
      </c>
      <c r="J5" s="89" t="s">
        <v>286</v>
      </c>
      <c r="K5" s="89" t="s">
        <v>288</v>
      </c>
      <c r="L5" s="89" t="s">
        <v>252</v>
      </c>
      <c r="M5" s="89" t="s">
        <v>254</v>
      </c>
      <c r="N5" s="90" t="s">
        <v>73</v>
      </c>
    </row>
    <row r="6" spans="2:14" ht="33.65" customHeight="1" x14ac:dyDescent="0.45">
      <c r="B6" s="97">
        <f>'Appoggio_BIA Servizio'!$B$5</f>
        <v>0</v>
      </c>
      <c r="C6" s="119" t="s">
        <v>546</v>
      </c>
      <c r="D6" s="84" t="s">
        <v>547</v>
      </c>
      <c r="E6" s="92" t="s">
        <v>548</v>
      </c>
      <c r="F6" s="118" t="s">
        <v>541</v>
      </c>
      <c r="G6" s="119" t="s">
        <v>549</v>
      </c>
      <c r="H6" s="119" t="s">
        <v>47</v>
      </c>
      <c r="I6" s="119" t="s">
        <v>550</v>
      </c>
      <c r="J6" s="125" t="s">
        <v>551</v>
      </c>
      <c r="K6" s="125" t="s">
        <v>552</v>
      </c>
      <c r="L6" s="405" t="s">
        <v>553</v>
      </c>
      <c r="M6" s="126" t="s">
        <v>554</v>
      </c>
      <c r="N6" s="120"/>
    </row>
    <row r="7" spans="2:14" ht="42.75" customHeight="1" x14ac:dyDescent="0.45">
      <c r="B7" s="97">
        <f>'Appoggio_BIA Servizio'!$B$5</f>
        <v>0</v>
      </c>
      <c r="C7" s="119" t="s">
        <v>555</v>
      </c>
      <c r="D7" s="84" t="s">
        <v>547</v>
      </c>
      <c r="E7" s="92" t="s">
        <v>556</v>
      </c>
      <c r="F7" s="118" t="s">
        <v>541</v>
      </c>
      <c r="G7" s="119" t="s">
        <v>549</v>
      </c>
      <c r="H7" s="119" t="s">
        <v>47</v>
      </c>
      <c r="I7" s="119" t="s">
        <v>550</v>
      </c>
      <c r="J7" s="125" t="s">
        <v>557</v>
      </c>
      <c r="K7" s="125" t="s">
        <v>552</v>
      </c>
      <c r="L7" s="405" t="s">
        <v>553</v>
      </c>
      <c r="M7" s="126" t="s">
        <v>554</v>
      </c>
      <c r="N7" s="120"/>
    </row>
    <row r="8" spans="2:14" ht="36" customHeight="1" x14ac:dyDescent="0.45">
      <c r="B8" s="97">
        <f>'Appoggio_BIA Servizio'!$B$5</f>
        <v>0</v>
      </c>
      <c r="C8" s="119" t="s">
        <v>558</v>
      </c>
      <c r="D8" s="84" t="s">
        <v>559</v>
      </c>
      <c r="E8" s="92" t="s">
        <v>560</v>
      </c>
      <c r="F8" s="118" t="s">
        <v>541</v>
      </c>
      <c r="G8" s="119" t="s">
        <v>561</v>
      </c>
      <c r="H8" s="119" t="s">
        <v>561</v>
      </c>
      <c r="I8" s="119" t="s">
        <v>562</v>
      </c>
      <c r="J8" s="125" t="s">
        <v>563</v>
      </c>
      <c r="K8" s="84" t="s">
        <v>564</v>
      </c>
      <c r="L8" s="125" t="s">
        <v>565</v>
      </c>
      <c r="M8" s="125" t="s">
        <v>47</v>
      </c>
      <c r="N8" s="120" t="s">
        <v>566</v>
      </c>
    </row>
    <row r="9" spans="2:14" ht="29" x14ac:dyDescent="0.45">
      <c r="B9" s="97">
        <f>'Appoggio_BIA Servizio'!$B$5</f>
        <v>0</v>
      </c>
      <c r="C9" s="119" t="s">
        <v>567</v>
      </c>
      <c r="D9" s="84" t="s">
        <v>547</v>
      </c>
      <c r="E9" s="92" t="s">
        <v>548</v>
      </c>
      <c r="F9" s="118" t="s">
        <v>541</v>
      </c>
      <c r="G9" s="119" t="s">
        <v>549</v>
      </c>
      <c r="H9" s="119" t="s">
        <v>47</v>
      </c>
      <c r="I9" s="119" t="s">
        <v>550</v>
      </c>
      <c r="J9" s="125" t="s">
        <v>568</v>
      </c>
      <c r="K9" s="127" t="s">
        <v>564</v>
      </c>
      <c r="L9" s="127" t="s">
        <v>565</v>
      </c>
      <c r="M9" s="127" t="s">
        <v>47</v>
      </c>
      <c r="N9" s="128"/>
    </row>
    <row r="10" spans="2:14" x14ac:dyDescent="0.45">
      <c r="B10" s="97">
        <f>'Appoggio_BIA Servizio'!$B$5</f>
        <v>0</v>
      </c>
      <c r="C10" s="119"/>
      <c r="D10" s="84"/>
      <c r="E10" s="92"/>
      <c r="F10" s="118"/>
      <c r="G10" s="119"/>
      <c r="H10" s="119"/>
      <c r="I10" s="119"/>
      <c r="J10" s="125"/>
      <c r="K10" s="127"/>
      <c r="L10" s="127"/>
      <c r="M10" s="127"/>
      <c r="N10" s="128"/>
    </row>
    <row r="11" spans="2:14" x14ac:dyDescent="0.45">
      <c r="B11" s="97">
        <f>'Appoggio_BIA Servizio'!$B$5</f>
        <v>0</v>
      </c>
      <c r="C11" s="119"/>
      <c r="D11" s="84"/>
      <c r="E11" s="92"/>
      <c r="F11" s="118"/>
      <c r="G11" s="119"/>
      <c r="H11" s="119"/>
      <c r="I11" s="119"/>
      <c r="J11" s="125"/>
      <c r="K11" s="127"/>
      <c r="L11" s="127"/>
      <c r="M11" s="127"/>
      <c r="N11" s="128"/>
    </row>
    <row r="12" spans="2:14" x14ac:dyDescent="0.45">
      <c r="B12" s="101">
        <f>'Appoggio_BIA Servizio'!$B$5</f>
        <v>0</v>
      </c>
      <c r="C12" s="121"/>
      <c r="D12" s="91"/>
      <c r="E12" s="93"/>
      <c r="F12" s="122"/>
      <c r="G12" s="121"/>
      <c r="H12" s="121"/>
      <c r="I12" s="121"/>
      <c r="J12" s="129"/>
      <c r="K12" s="130"/>
      <c r="L12" s="130"/>
      <c r="M12" s="130"/>
      <c r="N12" s="131"/>
    </row>
    <row r="13" spans="2:14" x14ac:dyDescent="0.45"/>
    <row r="14" spans="2:14" x14ac:dyDescent="0.45"/>
    <row r="15" spans="2:14" x14ac:dyDescent="0.45"/>
    <row r="16" spans="2:14" x14ac:dyDescent="0.45"/>
    <row r="17" x14ac:dyDescent="0.45"/>
    <row r="18" x14ac:dyDescent="0.45"/>
    <row r="19" x14ac:dyDescent="0.45"/>
    <row r="20" x14ac:dyDescent="0.45"/>
    <row r="21" x14ac:dyDescent="0.45"/>
    <row r="22" x14ac:dyDescent="0.45"/>
    <row r="23" x14ac:dyDescent="0.45"/>
    <row r="24" x14ac:dyDescent="0.45"/>
    <row r="25" x14ac:dyDescent="0.45"/>
  </sheetData>
  <mergeCells count="2">
    <mergeCell ref="K4:M4"/>
    <mergeCell ref="B2:N2"/>
  </mergeCells>
  <dataValidations count="2">
    <dataValidation type="list" allowBlank="1" showInputMessage="1" showErrorMessage="1" sqref="I6:I12" xr:uid="{E4DC667B-3F58-4545-9D54-04CA5D7BEEAE}">
      <formula1>"Sì,No"</formula1>
    </dataValidation>
    <dataValidation type="list" allowBlank="1" showInputMessage="1" showErrorMessage="1" sqref="D6:D12" xr:uid="{D66B2106-A8C3-468D-B59A-46CC19CB95EF}">
      <formula1>"Network Infr.,Communication Infr.,Facility Infr.,IT Infr."</formula1>
    </dataValidation>
  </dataValidations>
  <hyperlinks>
    <hyperlink ref="L6" r:id="rId1" xr:uid="{0183B261-2409-43DB-8033-66B3594738D5}"/>
    <hyperlink ref="L7" r:id="rId2" xr:uid="{9E54B1F9-3C83-449E-BDA4-893AA0AA8183}"/>
  </hyperlinks>
  <pageMargins left="0.7" right="0.7" top="0.75" bottom="0.75" header="0.3" footer="0.3"/>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D2844C89-A595-42CA-878F-DC6038514050}">
          <x14:formula1>
            <xm:f>Parametri_BIA!$V$6:$V$9</xm:f>
          </x14:formula1>
          <xm:sqref>F6:F12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10EF1-3963-4E47-B3D9-4C595AE56F80}">
  <sheetPr codeName="Foglio21">
    <tabColor rgb="FFC34986"/>
  </sheetPr>
  <dimension ref="A1:M29"/>
  <sheetViews>
    <sheetView showGridLines="0" zoomScale="130" zoomScaleNormal="130" workbookViewId="0">
      <pane xSplit="3" ySplit="5" topLeftCell="D6" activePane="bottomRight" state="frozen"/>
      <selection pane="topRight" activeCell="J6" sqref="J6"/>
      <selection pane="bottomLeft" activeCell="J6" sqref="J6"/>
      <selection pane="bottomRight" activeCell="G7" sqref="G6:I7"/>
    </sheetView>
  </sheetViews>
  <sheetFormatPr defaultColWidth="0" defaultRowHeight="14.5" zeroHeight="1" x14ac:dyDescent="0.45"/>
  <cols>
    <col min="1" max="1" width="4.36328125" style="10" customWidth="1"/>
    <col min="2" max="2" width="14" style="16" customWidth="1"/>
    <col min="3" max="3" width="16.6328125" style="10" customWidth="1"/>
    <col min="4" max="4" width="19.36328125" style="10" customWidth="1"/>
    <col min="5" max="5" width="18.54296875" style="10" customWidth="1"/>
    <col min="6" max="6" width="11.6328125" style="10" bestFit="1" customWidth="1"/>
    <col min="7" max="7" width="32" style="10" customWidth="1"/>
    <col min="8" max="8" width="30.54296875" style="10" customWidth="1"/>
    <col min="9" max="9" width="34.36328125" style="16" customWidth="1"/>
    <col min="10" max="10" width="19.453125" style="10" customWidth="1"/>
    <col min="11" max="11" width="21.54296875" style="10" customWidth="1"/>
    <col min="12" max="12" width="28.453125" style="64" customWidth="1"/>
    <col min="13" max="13" width="15.6328125" style="10" customWidth="1"/>
    <col min="14" max="16384" width="8.6328125" style="10" hidden="1"/>
  </cols>
  <sheetData>
    <row r="1" spans="2:12" ht="24.65" customHeight="1" x14ac:dyDescent="0.45"/>
    <row r="2" spans="2:12" ht="16.5" x14ac:dyDescent="0.5">
      <c r="B2" s="451" t="s">
        <v>569</v>
      </c>
      <c r="C2" s="451"/>
      <c r="D2" s="451"/>
      <c r="E2" s="451"/>
      <c r="F2" s="451"/>
      <c r="G2" s="451"/>
      <c r="H2" s="451"/>
      <c r="I2" s="451"/>
      <c r="J2" s="451"/>
      <c r="K2" s="451"/>
      <c r="L2" s="451"/>
    </row>
    <row r="3" spans="2:12" x14ac:dyDescent="0.45"/>
    <row r="4" spans="2:12" x14ac:dyDescent="0.45">
      <c r="C4" s="9"/>
      <c r="G4" s="449" t="s">
        <v>530</v>
      </c>
      <c r="H4" s="449"/>
      <c r="I4" s="449"/>
      <c r="J4" s="124"/>
    </row>
    <row r="5" spans="2:12" ht="31.5" customHeight="1" x14ac:dyDescent="0.45">
      <c r="B5" s="88" t="s">
        <v>116</v>
      </c>
      <c r="C5" s="89" t="s">
        <v>290</v>
      </c>
      <c r="D5" s="89" t="s">
        <v>293</v>
      </c>
      <c r="E5" s="89" t="s">
        <v>295</v>
      </c>
      <c r="F5" s="89" t="s">
        <v>227</v>
      </c>
      <c r="G5" s="89" t="s">
        <v>298</v>
      </c>
      <c r="H5" s="89" t="s">
        <v>300</v>
      </c>
      <c r="I5" s="89" t="s">
        <v>302</v>
      </c>
      <c r="J5" s="89" t="s">
        <v>304</v>
      </c>
      <c r="K5" s="89" t="s">
        <v>306</v>
      </c>
      <c r="L5" s="90" t="s">
        <v>73</v>
      </c>
    </row>
    <row r="6" spans="2:12" x14ac:dyDescent="0.45">
      <c r="B6" s="97">
        <f>'Appoggio_BIA Servizio'!$B$5</f>
        <v>0</v>
      </c>
      <c r="C6" s="125"/>
      <c r="D6" s="125"/>
      <c r="E6" s="84"/>
      <c r="F6" s="125"/>
      <c r="G6" s="125"/>
      <c r="H6" s="119"/>
      <c r="I6" s="114"/>
      <c r="J6" s="84"/>
      <c r="K6" s="125"/>
      <c r="L6" s="86"/>
    </row>
    <row r="7" spans="2:12" x14ac:dyDescent="0.45">
      <c r="B7" s="110">
        <f>'Appoggio_BIA Servizio'!$B$5</f>
        <v>0</v>
      </c>
      <c r="C7" s="125"/>
      <c r="D7" s="125"/>
      <c r="E7" s="84"/>
      <c r="F7" s="125"/>
      <c r="G7" s="125"/>
      <c r="H7" s="119"/>
      <c r="I7" s="114"/>
      <c r="J7" s="84"/>
      <c r="K7" s="125"/>
      <c r="L7" s="86"/>
    </row>
    <row r="8" spans="2:12" x14ac:dyDescent="0.45">
      <c r="B8" s="110">
        <f>'Appoggio_BIA Servizio'!$B$5</f>
        <v>0</v>
      </c>
      <c r="C8" s="125"/>
      <c r="D8" s="125"/>
      <c r="E8" s="84"/>
      <c r="F8" s="125"/>
      <c r="G8" s="125"/>
      <c r="H8" s="119"/>
      <c r="I8" s="114"/>
      <c r="J8" s="84"/>
      <c r="K8" s="125"/>
      <c r="L8" s="86"/>
    </row>
    <row r="9" spans="2:12" x14ac:dyDescent="0.45">
      <c r="B9" s="110">
        <f>'Appoggio_BIA Servizio'!$B$5</f>
        <v>0</v>
      </c>
      <c r="C9" s="125"/>
      <c r="D9" s="125"/>
      <c r="E9" s="84"/>
      <c r="F9" s="125"/>
      <c r="G9" s="125"/>
      <c r="H9" s="119"/>
      <c r="I9" s="114"/>
      <c r="J9" s="84"/>
      <c r="K9" s="125"/>
      <c r="L9" s="86"/>
    </row>
    <row r="10" spans="2:12" x14ac:dyDescent="0.45">
      <c r="B10" s="110">
        <f>'Appoggio_BIA Servizio'!$B$5</f>
        <v>0</v>
      </c>
      <c r="C10" s="125"/>
      <c r="D10" s="125"/>
      <c r="E10" s="84"/>
      <c r="F10" s="125"/>
      <c r="G10" s="125"/>
      <c r="H10" s="119"/>
      <c r="I10" s="114"/>
      <c r="J10" s="84"/>
      <c r="K10" s="125"/>
      <c r="L10" s="86"/>
    </row>
    <row r="11" spans="2:12" x14ac:dyDescent="0.45">
      <c r="B11" s="110">
        <f>'Appoggio_BIA Servizio'!$B$5</f>
        <v>0</v>
      </c>
      <c r="C11" s="125"/>
      <c r="D11" s="125"/>
      <c r="E11" s="84"/>
      <c r="F11" s="125"/>
      <c r="G11" s="125"/>
      <c r="H11" s="119"/>
      <c r="I11" s="114"/>
      <c r="J11" s="84"/>
      <c r="K11" s="125"/>
      <c r="L11" s="86"/>
    </row>
    <row r="12" spans="2:12" x14ac:dyDescent="0.45">
      <c r="B12" s="111">
        <f>'Appoggio_BIA Servizio'!$B$5</f>
        <v>0</v>
      </c>
      <c r="C12" s="129"/>
      <c r="D12" s="129"/>
      <c r="E12" s="91"/>
      <c r="F12" s="129"/>
      <c r="G12" s="129"/>
      <c r="H12" s="121"/>
      <c r="I12" s="116"/>
      <c r="J12" s="91"/>
      <c r="K12" s="129"/>
      <c r="L12" s="87"/>
    </row>
    <row r="13" spans="2:12" x14ac:dyDescent="0.45"/>
    <row r="14" spans="2:12" x14ac:dyDescent="0.45"/>
    <row r="15" spans="2:12" x14ac:dyDescent="0.45"/>
    <row r="16" spans="2:12" x14ac:dyDescent="0.45"/>
    <row r="17" x14ac:dyDescent="0.45"/>
    <row r="18" x14ac:dyDescent="0.45"/>
    <row r="19" x14ac:dyDescent="0.45"/>
    <row r="20" x14ac:dyDescent="0.45"/>
    <row r="21" x14ac:dyDescent="0.45"/>
    <row r="22" x14ac:dyDescent="0.45"/>
    <row r="23" x14ac:dyDescent="0.45"/>
    <row r="24" x14ac:dyDescent="0.45"/>
    <row r="25" x14ac:dyDescent="0.45"/>
    <row r="26" x14ac:dyDescent="0.45"/>
    <row r="27" x14ac:dyDescent="0.45"/>
    <row r="28" x14ac:dyDescent="0.45"/>
    <row r="29" x14ac:dyDescent="0.45"/>
  </sheetData>
  <mergeCells count="2">
    <mergeCell ref="G4:I4"/>
    <mergeCell ref="B2:L2"/>
  </mergeCell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B81E1172-6C45-46E1-923B-91C5494C57FC}">
          <x14:formula1>
            <xm:f>Parametri_BIA!$V$6:$V$9</xm:f>
          </x14:formula1>
          <xm:sqref>F6:F12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CD457-2062-4459-B0A6-6E6938378F3F}">
  <sheetPr codeName="Foglio24">
    <tabColor rgb="FFC34986"/>
  </sheetPr>
  <dimension ref="A1:M16"/>
  <sheetViews>
    <sheetView showGridLines="0" zoomScale="120" zoomScaleNormal="120" workbookViewId="0">
      <pane xSplit="3" ySplit="5" topLeftCell="D6" activePane="bottomRight" state="frozen"/>
      <selection pane="topRight" activeCell="J6" sqref="J6"/>
      <selection pane="bottomLeft" activeCell="J6" sqref="J6"/>
      <selection pane="bottomRight" activeCell="G6" sqref="G6:I6"/>
    </sheetView>
  </sheetViews>
  <sheetFormatPr defaultColWidth="0" defaultRowHeight="14.5" zeroHeight="1" x14ac:dyDescent="0.45"/>
  <cols>
    <col min="1" max="1" width="3.6328125" style="10" customWidth="1"/>
    <col min="2" max="2" width="16.36328125" style="10" customWidth="1"/>
    <col min="3" max="3" width="47.36328125" style="10" customWidth="1"/>
    <col min="4" max="4" width="15.36328125" style="10" bestFit="1" customWidth="1"/>
    <col min="5" max="5" width="16.36328125" style="10" customWidth="1"/>
    <col min="6" max="6" width="18.6328125" style="10" customWidth="1"/>
    <col min="7" max="7" width="20.453125" style="10" customWidth="1"/>
    <col min="8" max="8" width="17.36328125" style="10" customWidth="1"/>
    <col min="9" max="9" width="25.453125" style="10" customWidth="1"/>
    <col min="10" max="10" width="32.36328125" style="10" customWidth="1"/>
    <col min="11" max="11" width="8.6328125" style="10" customWidth="1"/>
    <col min="12" max="13" width="0" style="10" hidden="1" customWidth="1"/>
    <col min="14" max="16384" width="8.6328125" style="10" hidden="1"/>
  </cols>
  <sheetData>
    <row r="1" spans="2:10" ht="22.4" customHeight="1" x14ac:dyDescent="0.45"/>
    <row r="2" spans="2:10" ht="16.5" x14ac:dyDescent="0.45">
      <c r="B2" s="447" t="s">
        <v>570</v>
      </c>
      <c r="C2" s="447"/>
      <c r="D2" s="447"/>
      <c r="E2" s="447"/>
      <c r="F2" s="447"/>
      <c r="G2" s="447"/>
      <c r="H2" s="447"/>
      <c r="I2" s="447"/>
      <c r="J2" s="447"/>
    </row>
    <row r="3" spans="2:10" x14ac:dyDescent="0.45"/>
    <row r="4" spans="2:10" x14ac:dyDescent="0.45">
      <c r="C4" s="9"/>
      <c r="D4" s="452" t="s">
        <v>571</v>
      </c>
      <c r="E4" s="453"/>
      <c r="F4" s="454"/>
      <c r="G4" s="452" t="s">
        <v>572</v>
      </c>
      <c r="H4" s="453"/>
      <c r="I4" s="454"/>
      <c r="J4" s="117" t="s">
        <v>573</v>
      </c>
    </row>
    <row r="5" spans="2:10" ht="29" x14ac:dyDescent="0.45">
      <c r="B5" s="88" t="s">
        <v>116</v>
      </c>
      <c r="C5" s="89" t="s">
        <v>309</v>
      </c>
      <c r="D5" s="89" t="s">
        <v>574</v>
      </c>
      <c r="E5" s="89" t="s">
        <v>315</v>
      </c>
      <c r="F5" s="89" t="s">
        <v>317</v>
      </c>
      <c r="G5" s="89" t="s">
        <v>575</v>
      </c>
      <c r="H5" s="89" t="s">
        <v>323</v>
      </c>
      <c r="I5" s="89" t="s">
        <v>325</v>
      </c>
      <c r="J5" s="90" t="s">
        <v>327</v>
      </c>
    </row>
    <row r="6" spans="2:10" x14ac:dyDescent="0.45">
      <c r="B6" s="97">
        <f>'Appoggio_BIA Servizio'!$B$5</f>
        <v>0</v>
      </c>
      <c r="C6" s="118"/>
      <c r="D6" s="114"/>
      <c r="E6" s="132"/>
      <c r="F6" s="133"/>
      <c r="G6" s="92"/>
      <c r="H6" s="114"/>
      <c r="I6" s="92"/>
      <c r="J6" s="134"/>
    </row>
    <row r="7" spans="2:10" x14ac:dyDescent="0.45">
      <c r="B7" s="101">
        <f>'Appoggio_BIA Servizio'!$B$5</f>
        <v>0</v>
      </c>
      <c r="C7" s="122"/>
      <c r="D7" s="116"/>
      <c r="E7" s="135"/>
      <c r="F7" s="136"/>
      <c r="G7" s="93"/>
      <c r="H7" s="116"/>
      <c r="I7" s="93"/>
      <c r="J7" s="137"/>
    </row>
    <row r="8" spans="2:10" x14ac:dyDescent="0.45"/>
    <row r="9" spans="2:10" x14ac:dyDescent="0.45"/>
    <row r="10" spans="2:10" x14ac:dyDescent="0.45"/>
    <row r="11" spans="2:10" x14ac:dyDescent="0.45"/>
    <row r="12" spans="2:10" x14ac:dyDescent="0.45"/>
    <row r="13" spans="2:10" x14ac:dyDescent="0.45"/>
    <row r="14" spans="2:10" x14ac:dyDescent="0.45"/>
    <row r="15" spans="2:10" x14ac:dyDescent="0.45"/>
    <row r="16" spans="2:10" x14ac:dyDescent="0.45"/>
  </sheetData>
  <mergeCells count="3">
    <mergeCell ref="D4:F4"/>
    <mergeCell ref="G4:I4"/>
    <mergeCell ref="B2:J2"/>
  </mergeCells>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57BCB-9667-47A0-A725-5A41485C42AE}">
  <sheetPr codeName="Foglio22">
    <tabColor rgb="FFC34986"/>
  </sheetPr>
  <dimension ref="A1:Z66"/>
  <sheetViews>
    <sheetView showGridLines="0" workbookViewId="0">
      <pane xSplit="3" ySplit="4" topLeftCell="D5" activePane="bottomRight" state="frozen"/>
      <selection pane="topRight" activeCell="C9" sqref="C9"/>
      <selection pane="bottomLeft" activeCell="C9" sqref="C9"/>
      <selection pane="bottomRight" activeCell="G8" sqref="G8"/>
    </sheetView>
  </sheetViews>
  <sheetFormatPr defaultColWidth="0" defaultRowHeight="14.5" zeroHeight="1" x14ac:dyDescent="0.45"/>
  <cols>
    <col min="1" max="1" width="4.54296875" style="12" customWidth="1"/>
    <col min="2" max="2" width="13.453125" style="138" customWidth="1"/>
    <col min="3" max="3" width="12.6328125" style="16" customWidth="1"/>
    <col min="4" max="4" width="24.36328125" style="16" customWidth="1"/>
    <col min="5" max="5" width="13.36328125" style="16" customWidth="1"/>
    <col min="6" max="6" width="103.54296875" style="10" customWidth="1"/>
    <col min="7" max="7" width="12.6328125" style="16" customWidth="1"/>
    <col min="8" max="10" width="11.6328125" style="16" customWidth="1"/>
    <col min="11" max="11" width="33.54296875" style="10" customWidth="1"/>
    <col min="12" max="12" width="8.6328125" style="141" customWidth="1"/>
    <col min="13" max="13" width="10.54296875" style="141" hidden="1" customWidth="1"/>
    <col min="14" max="23" width="0" style="141" hidden="1" customWidth="1"/>
    <col min="24" max="26" width="8.6328125" style="141" hidden="1" customWidth="1"/>
    <col min="27" max="16384" width="8.6328125" style="12" hidden="1"/>
  </cols>
  <sheetData>
    <row r="1" spans="2:26" ht="29.75" customHeight="1" x14ac:dyDescent="0.45"/>
    <row r="2" spans="2:26" s="10" customFormat="1" ht="16.5" x14ac:dyDescent="0.45">
      <c r="B2" s="447" t="s">
        <v>576</v>
      </c>
      <c r="C2" s="447"/>
      <c r="D2" s="447"/>
      <c r="E2" s="447"/>
      <c r="F2" s="447"/>
      <c r="G2" s="447"/>
      <c r="H2" s="447"/>
      <c r="I2" s="447"/>
      <c r="J2" s="447"/>
      <c r="K2" s="447"/>
      <c r="L2" s="141"/>
      <c r="M2" s="141"/>
      <c r="N2" s="141"/>
      <c r="O2" s="141"/>
      <c r="P2" s="141"/>
      <c r="Q2" s="141"/>
      <c r="R2" s="141"/>
      <c r="S2" s="141"/>
      <c r="T2" s="141"/>
      <c r="U2" s="141"/>
      <c r="V2" s="141"/>
      <c r="W2" s="141"/>
      <c r="X2" s="141"/>
      <c r="Y2" s="141"/>
      <c r="Z2" s="141"/>
    </row>
    <row r="3" spans="2:26" ht="17" customHeight="1" x14ac:dyDescent="0.45"/>
    <row r="4" spans="2:26" x14ac:dyDescent="0.45">
      <c r="B4" s="88" t="s">
        <v>116</v>
      </c>
      <c r="C4" s="89" t="s">
        <v>329</v>
      </c>
      <c r="D4" s="89" t="s">
        <v>331</v>
      </c>
      <c r="E4" s="89" t="s">
        <v>333</v>
      </c>
      <c r="F4" s="89" t="s">
        <v>336</v>
      </c>
      <c r="G4" s="89" t="s">
        <v>339</v>
      </c>
      <c r="H4" s="89" t="s">
        <v>129</v>
      </c>
      <c r="I4" s="89" t="s">
        <v>234</v>
      </c>
      <c r="J4" s="89" t="s">
        <v>346</v>
      </c>
      <c r="K4" s="90" t="s">
        <v>349</v>
      </c>
    </row>
    <row r="5" spans="2:26" x14ac:dyDescent="0.45">
      <c r="B5" s="97">
        <f>'Appoggio_BIA Servizio'!$B$5</f>
        <v>0</v>
      </c>
      <c r="C5" s="139" t="s">
        <v>577</v>
      </c>
      <c r="D5" s="92" t="s">
        <v>578</v>
      </c>
      <c r="E5" s="92"/>
      <c r="F5" s="125"/>
      <c r="G5" s="92"/>
      <c r="H5" s="92"/>
      <c r="I5" s="92"/>
      <c r="J5" s="92"/>
      <c r="K5" s="86"/>
      <c r="L5" s="142"/>
      <c r="M5" s="18"/>
      <c r="N5" s="142"/>
      <c r="O5" s="18"/>
      <c r="P5" s="142"/>
      <c r="Q5" s="18"/>
      <c r="R5" s="142"/>
      <c r="S5" s="18"/>
      <c r="T5" s="142"/>
      <c r="U5" s="18"/>
      <c r="V5" s="143"/>
    </row>
    <row r="6" spans="2:26" ht="42" customHeight="1" x14ac:dyDescent="0.45">
      <c r="B6" s="97">
        <f>'Appoggio_BIA Servizio'!$B$5</f>
        <v>0</v>
      </c>
      <c r="C6" s="139" t="s">
        <v>579</v>
      </c>
      <c r="D6" s="92" t="s">
        <v>580</v>
      </c>
      <c r="E6" s="92"/>
      <c r="F6" s="125"/>
      <c r="G6" s="92"/>
      <c r="H6" s="92"/>
      <c r="I6" s="92"/>
      <c r="J6" s="92"/>
      <c r="K6" s="86"/>
      <c r="L6" s="142"/>
      <c r="M6" s="18"/>
      <c r="N6" s="142"/>
      <c r="O6" s="18"/>
      <c r="P6" s="142"/>
      <c r="Q6" s="18"/>
      <c r="R6" s="142"/>
      <c r="S6" s="18"/>
      <c r="T6" s="142"/>
      <c r="U6" s="18"/>
      <c r="V6" s="142"/>
      <c r="W6" s="144"/>
    </row>
    <row r="7" spans="2:26" ht="31.5" customHeight="1" x14ac:dyDescent="0.45">
      <c r="B7" s="97">
        <f>'Appoggio_BIA Servizio'!$B$5</f>
        <v>0</v>
      </c>
      <c r="C7" s="139" t="s">
        <v>581</v>
      </c>
      <c r="D7" s="92" t="s">
        <v>582</v>
      </c>
      <c r="E7" s="92"/>
      <c r="F7" s="125"/>
      <c r="G7" s="92"/>
      <c r="H7" s="92"/>
      <c r="I7" s="92"/>
      <c r="J7" s="92"/>
      <c r="K7" s="86"/>
      <c r="L7" s="142"/>
      <c r="M7" s="18"/>
      <c r="N7" s="142"/>
      <c r="O7" s="18"/>
      <c r="P7" s="142"/>
      <c r="Q7" s="18"/>
      <c r="R7" s="142"/>
      <c r="S7" s="18"/>
      <c r="T7" s="18"/>
      <c r="U7" s="18"/>
      <c r="V7" s="142"/>
      <c r="W7" s="18"/>
    </row>
    <row r="8" spans="2:26" ht="42" customHeight="1" x14ac:dyDescent="0.45">
      <c r="B8" s="97">
        <f>'Appoggio_BIA Servizio'!$B$5</f>
        <v>0</v>
      </c>
      <c r="C8" s="139" t="s">
        <v>583</v>
      </c>
      <c r="D8" s="92" t="s">
        <v>584</v>
      </c>
      <c r="E8" s="92"/>
      <c r="F8" s="125"/>
      <c r="G8" s="92"/>
      <c r="H8" s="92"/>
      <c r="I8" s="92"/>
      <c r="J8" s="92"/>
      <c r="K8" s="86"/>
      <c r="L8" s="142"/>
      <c r="M8" s="18"/>
      <c r="N8" s="18"/>
      <c r="O8" s="18"/>
      <c r="P8" s="18"/>
      <c r="Q8" s="18"/>
      <c r="R8" s="142"/>
      <c r="S8" s="18"/>
      <c r="T8" s="18"/>
      <c r="U8" s="18"/>
    </row>
    <row r="9" spans="2:26" ht="29" x14ac:dyDescent="0.45">
      <c r="B9" s="97">
        <f>'Appoggio_BIA Servizio'!$B$5</f>
        <v>0</v>
      </c>
      <c r="C9" s="139" t="s">
        <v>585</v>
      </c>
      <c r="D9" s="92" t="s">
        <v>586</v>
      </c>
      <c r="E9" s="92"/>
      <c r="F9" s="125"/>
      <c r="G9" s="92"/>
      <c r="H9" s="92"/>
      <c r="I9" s="92"/>
      <c r="J9" s="92"/>
      <c r="K9" s="86"/>
      <c r="L9" s="142"/>
      <c r="M9" s="18"/>
      <c r="N9" s="18"/>
      <c r="O9" s="18"/>
      <c r="P9" s="18"/>
      <c r="Q9" s="18"/>
      <c r="R9" s="142"/>
      <c r="S9" s="18"/>
      <c r="T9" s="18"/>
      <c r="U9" s="18"/>
    </row>
    <row r="10" spans="2:26" ht="29" x14ac:dyDescent="0.45">
      <c r="B10" s="101">
        <f>'Appoggio_BIA Servizio'!$B$5</f>
        <v>0</v>
      </c>
      <c r="C10" s="140" t="s">
        <v>587</v>
      </c>
      <c r="D10" s="93" t="s">
        <v>588</v>
      </c>
      <c r="E10" s="93"/>
      <c r="F10" s="129"/>
      <c r="G10" s="93"/>
      <c r="H10" s="93"/>
      <c r="I10" s="93"/>
      <c r="J10" s="93"/>
      <c r="K10" s="87"/>
      <c r="L10" s="142"/>
      <c r="M10" s="18"/>
      <c r="N10" s="18"/>
      <c r="O10" s="18"/>
      <c r="P10" s="18"/>
      <c r="Q10" s="18"/>
      <c r="R10" s="142"/>
      <c r="S10" s="18"/>
      <c r="T10" s="18"/>
      <c r="U10" s="18"/>
    </row>
    <row r="11" spans="2:26" ht="29" x14ac:dyDescent="0.45">
      <c r="B11" s="101">
        <f>'Appoggio_BIA Servizio'!$B$5</f>
        <v>0</v>
      </c>
      <c r="C11" s="139" t="s">
        <v>589</v>
      </c>
      <c r="D11" s="92" t="s">
        <v>590</v>
      </c>
      <c r="E11" s="93"/>
      <c r="F11" s="125"/>
      <c r="G11" s="92"/>
      <c r="H11" s="92"/>
      <c r="I11" s="92"/>
      <c r="J11" s="92"/>
      <c r="K11" s="86"/>
      <c r="L11" s="142"/>
      <c r="M11" s="18"/>
      <c r="N11" s="18"/>
      <c r="O11" s="18"/>
      <c r="P11" s="18"/>
      <c r="Q11" s="18"/>
      <c r="R11" s="142"/>
      <c r="S11" s="18"/>
      <c r="T11" s="18"/>
      <c r="U11" s="18"/>
    </row>
    <row r="12" spans="2:26" x14ac:dyDescent="0.45"/>
    <row r="20" spans="9:11" hidden="1" x14ac:dyDescent="0.45">
      <c r="I20" s="141"/>
      <c r="J20" s="141"/>
      <c r="K20" s="141"/>
    </row>
    <row r="21" spans="9:11" hidden="1" x14ac:dyDescent="0.45">
      <c r="I21" s="141"/>
      <c r="J21" s="141"/>
      <c r="K21" s="141"/>
    </row>
    <row r="22" spans="9:11" hidden="1" x14ac:dyDescent="0.45">
      <c r="I22" s="141"/>
      <c r="J22" s="141"/>
      <c r="K22" s="141"/>
    </row>
    <row r="23" spans="9:11" hidden="1" x14ac:dyDescent="0.45">
      <c r="I23" s="141"/>
      <c r="J23" s="141"/>
      <c r="K23" s="141"/>
    </row>
    <row r="24" spans="9:11" hidden="1" x14ac:dyDescent="0.45">
      <c r="I24" s="141"/>
      <c r="J24" s="141"/>
      <c r="K24" s="141"/>
    </row>
    <row r="25" spans="9:11" hidden="1" x14ac:dyDescent="0.45">
      <c r="I25" s="141"/>
      <c r="J25" s="141"/>
      <c r="K25" s="141"/>
    </row>
    <row r="26" spans="9:11" hidden="1" x14ac:dyDescent="0.45">
      <c r="I26" s="141"/>
      <c r="J26" s="141"/>
      <c r="K26" s="141"/>
    </row>
    <row r="27" spans="9:11" hidden="1" x14ac:dyDescent="0.45">
      <c r="I27" s="141"/>
      <c r="J27" s="141"/>
      <c r="K27" s="141"/>
    </row>
    <row r="28" spans="9:11" hidden="1" x14ac:dyDescent="0.45">
      <c r="I28" s="141"/>
      <c r="J28" s="141"/>
      <c r="K28" s="141"/>
    </row>
    <row r="29" spans="9:11" hidden="1" x14ac:dyDescent="0.45">
      <c r="I29" s="141"/>
      <c r="J29" s="141"/>
      <c r="K29" s="141"/>
    </row>
    <row r="30" spans="9:11" hidden="1" x14ac:dyDescent="0.45">
      <c r="I30" s="141"/>
      <c r="J30" s="141"/>
      <c r="K30" s="141"/>
    </row>
    <row r="31" spans="9:11" hidden="1" x14ac:dyDescent="0.45">
      <c r="I31" s="141"/>
      <c r="J31" s="141"/>
      <c r="K31" s="141"/>
    </row>
    <row r="32" spans="9:11" hidden="1" x14ac:dyDescent="0.45">
      <c r="I32" s="141"/>
      <c r="J32" s="141"/>
      <c r="K32" s="141"/>
    </row>
    <row r="33" spans="9:11" hidden="1" x14ac:dyDescent="0.45">
      <c r="I33" s="141"/>
      <c r="J33" s="141"/>
      <c r="K33" s="141"/>
    </row>
    <row r="34" spans="9:11" hidden="1" x14ac:dyDescent="0.45">
      <c r="I34" s="141"/>
      <c r="J34" s="141"/>
      <c r="K34" s="141"/>
    </row>
    <row r="35" spans="9:11" hidden="1" x14ac:dyDescent="0.45">
      <c r="I35" s="141"/>
      <c r="J35" s="141"/>
      <c r="K35" s="141"/>
    </row>
    <row r="36" spans="9:11" hidden="1" x14ac:dyDescent="0.45">
      <c r="I36" s="141"/>
      <c r="J36" s="141"/>
      <c r="K36" s="141"/>
    </row>
    <row r="37" spans="9:11" hidden="1" x14ac:dyDescent="0.45">
      <c r="I37" s="141"/>
      <c r="J37" s="141"/>
      <c r="K37" s="141"/>
    </row>
    <row r="38" spans="9:11" hidden="1" x14ac:dyDescent="0.45">
      <c r="I38" s="141"/>
      <c r="J38" s="141"/>
      <c r="K38" s="141"/>
    </row>
    <row r="39" spans="9:11" hidden="1" x14ac:dyDescent="0.45">
      <c r="I39" s="141"/>
      <c r="J39" s="141"/>
      <c r="K39" s="141"/>
    </row>
    <row r="40" spans="9:11" hidden="1" x14ac:dyDescent="0.45">
      <c r="I40" s="141"/>
      <c r="J40" s="141"/>
      <c r="K40" s="141"/>
    </row>
    <row r="41" spans="9:11" hidden="1" x14ac:dyDescent="0.45">
      <c r="I41" s="141"/>
      <c r="J41" s="141"/>
      <c r="K41" s="141"/>
    </row>
    <row r="42" spans="9:11" hidden="1" x14ac:dyDescent="0.45">
      <c r="I42" s="141"/>
      <c r="J42" s="141"/>
      <c r="K42" s="141"/>
    </row>
    <row r="43" spans="9:11" hidden="1" x14ac:dyDescent="0.45">
      <c r="I43" s="141"/>
      <c r="J43" s="141"/>
      <c r="K43" s="141"/>
    </row>
    <row r="44" spans="9:11" hidden="1" x14ac:dyDescent="0.45">
      <c r="I44" s="141"/>
      <c r="J44" s="141"/>
      <c r="K44" s="141"/>
    </row>
    <row r="45" spans="9:11" hidden="1" x14ac:dyDescent="0.45">
      <c r="I45" s="141"/>
      <c r="J45" s="141"/>
      <c r="K45" s="141"/>
    </row>
    <row r="46" spans="9:11" hidden="1" x14ac:dyDescent="0.45">
      <c r="I46" s="141"/>
      <c r="J46" s="141"/>
      <c r="K46" s="141"/>
    </row>
    <row r="47" spans="9:11" hidden="1" x14ac:dyDescent="0.45">
      <c r="I47" s="141"/>
      <c r="J47" s="141"/>
      <c r="K47" s="141"/>
    </row>
    <row r="48" spans="9:11" hidden="1" x14ac:dyDescent="0.45">
      <c r="I48" s="141"/>
      <c r="J48" s="141"/>
      <c r="K48" s="141"/>
    </row>
    <row r="49" spans="9:11" hidden="1" x14ac:dyDescent="0.45">
      <c r="I49" s="141"/>
      <c r="J49" s="141"/>
      <c r="K49" s="141"/>
    </row>
    <row r="50" spans="9:11" hidden="1" x14ac:dyDescent="0.45">
      <c r="I50" s="141"/>
      <c r="J50" s="141"/>
      <c r="K50" s="141"/>
    </row>
    <row r="51" spans="9:11" hidden="1" x14ac:dyDescent="0.45">
      <c r="I51" s="141"/>
      <c r="J51" s="141"/>
      <c r="K51" s="141"/>
    </row>
    <row r="52" spans="9:11" hidden="1" x14ac:dyDescent="0.45">
      <c r="I52" s="141"/>
      <c r="J52" s="141"/>
      <c r="K52" s="141"/>
    </row>
    <row r="53" spans="9:11" hidden="1" x14ac:dyDescent="0.45">
      <c r="I53" s="141"/>
      <c r="J53" s="141"/>
      <c r="K53" s="141"/>
    </row>
    <row r="54" spans="9:11" hidden="1" x14ac:dyDescent="0.45">
      <c r="I54" s="141"/>
      <c r="J54" s="141"/>
      <c r="K54" s="141"/>
    </row>
    <row r="55" spans="9:11" hidden="1" x14ac:dyDescent="0.45">
      <c r="I55" s="141"/>
      <c r="J55" s="141"/>
      <c r="K55" s="141"/>
    </row>
    <row r="56" spans="9:11" hidden="1" x14ac:dyDescent="0.45">
      <c r="I56" s="141"/>
      <c r="J56" s="141"/>
      <c r="K56" s="141"/>
    </row>
    <row r="57" spans="9:11" hidden="1" x14ac:dyDescent="0.45">
      <c r="I57" s="141"/>
      <c r="J57" s="141"/>
      <c r="K57" s="141"/>
    </row>
    <row r="58" spans="9:11" hidden="1" x14ac:dyDescent="0.45">
      <c r="I58" s="141"/>
      <c r="J58" s="141"/>
      <c r="K58" s="141"/>
    </row>
    <row r="59" spans="9:11" hidden="1" x14ac:dyDescent="0.45">
      <c r="I59" s="141"/>
      <c r="J59" s="141"/>
      <c r="K59" s="141"/>
    </row>
    <row r="60" spans="9:11" hidden="1" x14ac:dyDescent="0.45">
      <c r="I60" s="141"/>
      <c r="J60" s="141"/>
      <c r="K60" s="141"/>
    </row>
    <row r="61" spans="9:11" hidden="1" x14ac:dyDescent="0.45">
      <c r="I61" s="141"/>
      <c r="J61" s="141"/>
      <c r="K61" s="141"/>
    </row>
    <row r="62" spans="9:11" hidden="1" x14ac:dyDescent="0.45">
      <c r="I62" s="141"/>
      <c r="J62" s="141"/>
      <c r="K62" s="141"/>
    </row>
    <row r="63" spans="9:11" hidden="1" x14ac:dyDescent="0.45">
      <c r="I63" s="141"/>
      <c r="J63" s="141"/>
      <c r="K63" s="141"/>
    </row>
    <row r="64" spans="9:11" hidden="1" x14ac:dyDescent="0.45">
      <c r="I64" s="141"/>
      <c r="J64" s="141"/>
      <c r="K64" s="141"/>
    </row>
    <row r="65" spans="9:11" hidden="1" x14ac:dyDescent="0.45">
      <c r="I65" s="141"/>
      <c r="J65" s="141"/>
      <c r="K65" s="141"/>
    </row>
    <row r="66" spans="9:11" hidden="1" x14ac:dyDescent="0.45">
      <c r="I66" s="141"/>
      <c r="J66" s="141"/>
      <c r="K66" s="141"/>
    </row>
  </sheetData>
  <mergeCells count="1">
    <mergeCell ref="B2:K2"/>
  </mergeCells>
  <dataValidations count="1">
    <dataValidation type="list" allowBlank="1" showInputMessage="1" showErrorMessage="1" sqref="E5:E11" xr:uid="{48AC4F9F-8234-4431-8A4E-5773424E5BAC}">
      <formula1>"Sì,No"</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8">
        <x14:dataValidation type="list" allowBlank="1" showInputMessage="1" showErrorMessage="1" xr:uid="{340778A9-4C94-410D-8A44-A6CE0766B213}">
          <x14:formula1>
            <xm:f>Parametri_BIA!$Z$32:$Z$34</xm:f>
          </x14:formula1>
          <xm:sqref>F10</xm:sqref>
        </x14:dataValidation>
        <x14:dataValidation type="list" allowBlank="1" showInputMessage="1" showErrorMessage="1" xr:uid="{6E49BF9A-D272-433F-B011-BD251B4A2CE9}">
          <x14:formula1>
            <xm:f>Parametri_BIA!$Z$6:$Z$12</xm:f>
          </x14:formula1>
          <xm:sqref>F5</xm:sqref>
        </x14:dataValidation>
        <x14:dataValidation type="list" allowBlank="1" showInputMessage="1" showErrorMessage="1" xr:uid="{FF5F890E-81E8-4FF1-8134-66733985C064}">
          <x14:formula1>
            <xm:f>Parametri_BIA!$Z$13:$Z$15</xm:f>
          </x14:formula1>
          <xm:sqref>F6</xm:sqref>
        </x14:dataValidation>
        <x14:dataValidation type="list" allowBlank="1" showInputMessage="1" showErrorMessage="1" xr:uid="{9A21C6F7-8D5E-488C-B2B7-1956D9F901B4}">
          <x14:formula1>
            <xm:f>Parametri_BIA!$Z$22:$Z$28</xm:f>
          </x14:formula1>
          <xm:sqref>F8</xm:sqref>
        </x14:dataValidation>
        <x14:dataValidation type="list" allowBlank="1" showInputMessage="1" showErrorMessage="1" xr:uid="{20E3F48F-D00F-4A75-A9B8-B567D8DC0F90}">
          <x14:formula1>
            <xm:f>Parametri_BIA!$Z$29:$Z$31</xm:f>
          </x14:formula1>
          <xm:sqref>F9</xm:sqref>
        </x14:dataValidation>
        <x14:dataValidation type="list" allowBlank="1" showInputMessage="1" showErrorMessage="1" xr:uid="{B7904CE8-EBAA-4138-85FE-6652A94AD20E}">
          <x14:formula1>
            <xm:f>Parametri_BIA!$AC$6:$AC$10</xm:f>
          </x14:formula1>
          <xm:sqref>K5:K11</xm:sqref>
        </x14:dataValidation>
        <x14:dataValidation type="list" allowBlank="1" showInputMessage="1" showErrorMessage="1" xr:uid="{D8043093-73FE-4C70-8C81-75637D9B497A}">
          <x14:formula1>
            <xm:f>Parametri_BIA!$Z$35:$Z$41</xm:f>
          </x14:formula1>
          <xm:sqref>F11</xm:sqref>
        </x14:dataValidation>
        <x14:dataValidation type="list" allowBlank="1" showInputMessage="1" showErrorMessage="1" xr:uid="{194A5DB9-D7FC-4EC1-999E-05DE9C8F1416}">
          <x14:formula1>
            <xm:f>Parametri_BIA!$Z$16:$Z$21</xm:f>
          </x14:formula1>
          <xm:sqref>F7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490AA-151A-4BC4-86C0-D6D3D5572FDE}">
  <sheetPr codeName="Foglio13">
    <tabColor rgb="FFC34986"/>
  </sheetPr>
  <dimension ref="B1:AD26"/>
  <sheetViews>
    <sheetView showGridLines="0" zoomScale="110" zoomScaleNormal="110" workbookViewId="0">
      <pane xSplit="3" ySplit="5" topLeftCell="M6" activePane="bottomRight" state="frozen"/>
      <selection pane="topRight" activeCell="D8" sqref="D8:I8"/>
      <selection pane="bottomLeft" activeCell="D8" sqref="D8:I8"/>
      <selection pane="bottomRight" activeCell="T6" sqref="T6"/>
    </sheetView>
  </sheetViews>
  <sheetFormatPr defaultColWidth="8.6328125" defaultRowHeight="14.5" x14ac:dyDescent="0.45"/>
  <cols>
    <col min="1" max="1" width="4.453125" style="10" customWidth="1"/>
    <col min="2" max="2" width="18.36328125" style="10" customWidth="1"/>
    <col min="3" max="3" width="36.36328125" style="10" customWidth="1"/>
    <col min="4" max="4" width="21.36328125" style="10" customWidth="1"/>
    <col min="5" max="5" width="23.6328125" style="10" customWidth="1"/>
    <col min="6" max="6" width="26.6328125" style="10" customWidth="1"/>
    <col min="7" max="7" width="20" style="10" customWidth="1"/>
    <col min="8" max="8" width="35.36328125" style="10" customWidth="1"/>
    <col min="9" max="9" width="20.54296875" style="10" customWidth="1"/>
    <col min="10" max="10" width="23.36328125" style="10" customWidth="1"/>
    <col min="11" max="11" width="26" style="10" customWidth="1"/>
    <col min="12" max="12" width="19.54296875" style="10" customWidth="1"/>
    <col min="13" max="13" width="39.453125" style="10" customWidth="1"/>
    <col min="14" max="14" width="11.54296875" style="10" customWidth="1"/>
    <col min="15" max="15" width="11.36328125" style="138" bestFit="1" customWidth="1"/>
    <col min="16" max="17" width="12.453125" style="138" bestFit="1" customWidth="1"/>
    <col min="18" max="18" width="11.54296875" style="138" bestFit="1" customWidth="1"/>
    <col min="19" max="19" width="12.6328125" style="138" bestFit="1" customWidth="1"/>
    <col min="20" max="20" width="10.54296875" style="138" bestFit="1" customWidth="1"/>
    <col min="21" max="22" width="11.54296875" style="138" bestFit="1" customWidth="1"/>
    <col min="23" max="23" width="11.36328125" style="138" bestFit="1" customWidth="1"/>
    <col min="24" max="24" width="12.36328125" style="138" bestFit="1" customWidth="1"/>
    <col min="25" max="16384" width="8.6328125" style="10"/>
  </cols>
  <sheetData>
    <row r="1" spans="2:30" ht="39.65" customHeight="1" x14ac:dyDescent="0.45">
      <c r="C1" s="9"/>
      <c r="Y1" s="141"/>
      <c r="Z1" s="141"/>
      <c r="AA1" s="141"/>
      <c r="AB1" s="141"/>
      <c r="AC1" s="141"/>
      <c r="AD1" s="141"/>
    </row>
    <row r="2" spans="2:30" ht="16.5" x14ac:dyDescent="0.45">
      <c r="B2" s="447" t="s">
        <v>591</v>
      </c>
      <c r="C2" s="447"/>
      <c r="D2" s="447"/>
      <c r="E2" s="447"/>
      <c r="F2" s="447"/>
      <c r="G2" s="447"/>
      <c r="H2" s="447"/>
      <c r="I2" s="447"/>
      <c r="J2" s="447"/>
      <c r="K2" s="447"/>
      <c r="L2" s="447"/>
      <c r="M2" s="447"/>
      <c r="N2" s="68"/>
      <c r="O2" s="16"/>
      <c r="P2" s="16"/>
      <c r="Q2" s="16"/>
      <c r="R2" s="16"/>
      <c r="S2" s="16"/>
      <c r="T2" s="16"/>
      <c r="U2" s="16"/>
      <c r="V2" s="16"/>
      <c r="W2" s="16"/>
      <c r="X2" s="16"/>
    </row>
    <row r="3" spans="2:30" ht="19.399999999999999" customHeight="1" x14ac:dyDescent="0.45">
      <c r="C3" s="9"/>
      <c r="O3" s="16"/>
      <c r="P3" s="16"/>
      <c r="Q3" s="16"/>
      <c r="R3" s="16"/>
      <c r="S3" s="16"/>
      <c r="T3" s="16"/>
      <c r="U3" s="16"/>
      <c r="V3" s="16"/>
      <c r="W3" s="16"/>
      <c r="X3" s="16"/>
    </row>
    <row r="4" spans="2:30" s="15" customFormat="1" ht="14.75" customHeight="1" x14ac:dyDescent="0.35">
      <c r="D4" s="457" t="s">
        <v>592</v>
      </c>
      <c r="E4" s="457"/>
      <c r="F4" s="457"/>
      <c r="G4" s="457"/>
      <c r="H4" s="457"/>
      <c r="I4" s="455" t="s">
        <v>593</v>
      </c>
      <c r="J4" s="455"/>
      <c r="K4" s="455"/>
      <c r="L4" s="455"/>
      <c r="M4" s="456"/>
      <c r="N4" s="360"/>
      <c r="O4" s="458" t="s">
        <v>594</v>
      </c>
      <c r="P4" s="458"/>
      <c r="Q4" s="458"/>
      <c r="R4" s="458"/>
      <c r="S4" s="458"/>
      <c r="T4" s="458" t="s">
        <v>595</v>
      </c>
      <c r="U4" s="458"/>
      <c r="V4" s="458"/>
      <c r="W4" s="458"/>
      <c r="X4" s="458"/>
    </row>
    <row r="5" spans="2:30" s="15" customFormat="1" ht="42" customHeight="1" x14ac:dyDescent="0.35">
      <c r="B5" s="88" t="s">
        <v>116</v>
      </c>
      <c r="C5" s="89" t="s">
        <v>222</v>
      </c>
      <c r="D5" s="152" t="s">
        <v>353</v>
      </c>
      <c r="E5" s="152" t="s">
        <v>356</v>
      </c>
      <c r="F5" s="152" t="s">
        <v>358</v>
      </c>
      <c r="G5" s="152" t="s">
        <v>360</v>
      </c>
      <c r="H5" s="152" t="s">
        <v>362</v>
      </c>
      <c r="I5" s="153" t="s">
        <v>364</v>
      </c>
      <c r="J5" s="153" t="s">
        <v>366</v>
      </c>
      <c r="K5" s="153" t="s">
        <v>368</v>
      </c>
      <c r="L5" s="153" t="s">
        <v>370</v>
      </c>
      <c r="M5" s="154" t="s">
        <v>372</v>
      </c>
      <c r="N5" s="361"/>
      <c r="O5" s="16" t="s">
        <v>596</v>
      </c>
      <c r="P5" s="16" t="s">
        <v>597</v>
      </c>
      <c r="Q5" s="16" t="s">
        <v>598</v>
      </c>
      <c r="R5" s="16" t="s">
        <v>599</v>
      </c>
      <c r="S5" s="16" t="s">
        <v>600</v>
      </c>
      <c r="T5" s="16" t="s">
        <v>601</v>
      </c>
      <c r="U5" s="16" t="s">
        <v>602</v>
      </c>
      <c r="V5" s="16" t="s">
        <v>603</v>
      </c>
      <c r="W5" s="16" t="s">
        <v>604</v>
      </c>
      <c r="X5" s="16" t="s">
        <v>605</v>
      </c>
    </row>
    <row r="6" spans="2:30" s="15" customFormat="1" x14ac:dyDescent="0.35">
      <c r="B6" s="97">
        <f>'Appoggio_BIA Servizio'!$B$5</f>
        <v>0</v>
      </c>
      <c r="C6" s="155" t="str">
        <f>IF(Applicazioni!C7=0,"Inserire nome dell'Applicativo in perimetro",Applicazioni!C7)</f>
        <v>Inserire nome dell'Applicativo in perimetro</v>
      </c>
      <c r="D6" s="161"/>
      <c r="E6" s="161"/>
      <c r="F6" s="161"/>
      <c r="G6" s="161"/>
      <c r="H6" s="157"/>
      <c r="I6" s="161"/>
      <c r="J6" s="161"/>
      <c r="K6" s="161"/>
      <c r="L6" s="161"/>
      <c r="M6" s="159"/>
      <c r="N6" s="362"/>
      <c r="O6" s="16" t="str">
        <f>IFERROR(INDEX(Parametri_BIA!$F$6:$F$10,MATCH('Impatto RI'!D6,Parametri_BIA!$E$6:$E$10,0)),"")</f>
        <v/>
      </c>
      <c r="P6" s="16" t="str">
        <f>IFERROR(INDEX(Parametri_BIA!$F$6:$F$10,MATCH('Impatto RI'!E6,Parametri_BIA!$E$6:$E$10,0)),"")</f>
        <v/>
      </c>
      <c r="Q6" s="16" t="str">
        <f>IFERROR(INDEX(Parametri_BIA!$F$6:$F$10,MATCH('Impatto RI'!F6,Parametri_BIA!$E$6:$E$10,0)),"")</f>
        <v/>
      </c>
      <c r="R6" s="16" t="str">
        <f>IFERROR(INDEX(Parametri_BIA!$F$6:$F$10,MATCH('Impatto RI'!G6,Parametri_BIA!$E$6:$E$10,0)),"")</f>
        <v/>
      </c>
      <c r="S6" s="16">
        <f>MAX(O6:R6)</f>
        <v>0</v>
      </c>
      <c r="T6" s="16" t="str">
        <f>IFERROR(INDEX(Parametri_BIA!$F$6:$F$10,MATCH('Impatto RI'!I6,Parametri_BIA!$E$6:$E$10,0)),"")</f>
        <v/>
      </c>
      <c r="U6" s="16" t="str">
        <f>IFERROR(INDEX(Parametri_BIA!$F$6:$F$10,MATCH('Impatto RI'!J6,Parametri_BIA!$E$6:$E$10,0)),"")</f>
        <v/>
      </c>
      <c r="V6" s="16" t="str">
        <f>IFERROR(INDEX(Parametri_BIA!$F$6:$F$10,MATCH('Impatto RI'!K6,Parametri_BIA!$E$6:$E$10,0)),"")</f>
        <v/>
      </c>
      <c r="W6" s="16" t="str">
        <f>IFERROR(INDEX(Parametri_BIA!$F$6:$F$10,MATCH('Impatto RI'!L6,Parametri_BIA!$E$6:$E$10,0)),"")</f>
        <v/>
      </c>
      <c r="X6" s="16">
        <f>MAX(T6:W6)</f>
        <v>0</v>
      </c>
    </row>
    <row r="7" spans="2:30" s="15" customFormat="1" x14ac:dyDescent="0.35">
      <c r="B7" s="97">
        <f>'Appoggio_BIA Servizio'!$B$5</f>
        <v>0</v>
      </c>
      <c r="C7" s="155" t="str">
        <f>IF(Applicazioni!C8=0,"Inserire nome dell'Applicativo in perimetro",Applicazioni!C8)</f>
        <v>Inserire nome dell'Applicativo in perimetro</v>
      </c>
      <c r="D7" s="161"/>
      <c r="E7" s="161"/>
      <c r="F7" s="161"/>
      <c r="G7" s="161"/>
      <c r="H7" s="157"/>
      <c r="I7" s="161"/>
      <c r="J7" s="161"/>
      <c r="K7" s="161"/>
      <c r="L7" s="161"/>
      <c r="M7" s="159"/>
      <c r="N7" s="362"/>
      <c r="O7" s="16" t="str">
        <f>IFERROR(INDEX(Parametri_BIA!$F$6:$F$10,MATCH('Impatto RI'!D7,Parametri_BIA!$E$6:$E$10,0)),"")</f>
        <v/>
      </c>
      <c r="P7" s="16" t="str">
        <f>IFERROR(INDEX(Parametri_BIA!$F$6:$F$10,MATCH('Impatto RI'!E7,Parametri_BIA!$E$6:$E$10,0)),"")</f>
        <v/>
      </c>
      <c r="Q7" s="16" t="str">
        <f>IFERROR(INDEX(Parametri_BIA!$F$6:$F$10,MATCH('Impatto RI'!F7,Parametri_BIA!$E$6:$E$10,0)),"")</f>
        <v/>
      </c>
      <c r="R7" s="16" t="str">
        <f>IFERROR(INDEX(Parametri_BIA!$F$6:$F$10,MATCH('Impatto RI'!G7,Parametri_BIA!$E$6:$E$10,0)),"")</f>
        <v/>
      </c>
      <c r="S7" s="16">
        <f t="shared" ref="S7:S23" si="0">MAX(O7:R7)</f>
        <v>0</v>
      </c>
      <c r="T7" s="16" t="str">
        <f>IFERROR(INDEX(Parametri_BIA!$F$6:$F$10,MATCH('Impatto RI'!I7,Parametri_BIA!$E$6:$E$10,0)),"")</f>
        <v/>
      </c>
      <c r="U7" s="16" t="str">
        <f>IFERROR(INDEX(Parametri_BIA!$F$6:$F$10,MATCH('Impatto RI'!J7,Parametri_BIA!$E$6:$E$10,0)),"")</f>
        <v/>
      </c>
      <c r="V7" s="16" t="str">
        <f>IFERROR(INDEX(Parametri_BIA!$F$6:$F$10,MATCH('Impatto RI'!K7,Parametri_BIA!$E$6:$E$10,0)),"")</f>
        <v/>
      </c>
      <c r="W7" s="16" t="str">
        <f>IFERROR(INDEX(Parametri_BIA!$F$6:$F$10,MATCH('Impatto RI'!L7,Parametri_BIA!$E$6:$E$10,0)),"")</f>
        <v/>
      </c>
      <c r="X7" s="16">
        <f t="shared" ref="X7:X23" si="1">MAX(T7:W7)</f>
        <v>0</v>
      </c>
    </row>
    <row r="8" spans="2:30" s="15" customFormat="1" x14ac:dyDescent="0.35">
      <c r="B8" s="97">
        <f>'Appoggio_BIA Servizio'!$B$5</f>
        <v>0</v>
      </c>
      <c r="C8" s="155" t="str">
        <f>IF(Applicazioni!C9=0,"Inserire nome dell'Applicativo in perimetro",Applicazioni!C9)</f>
        <v>Inserire nome dell'Applicativo in perimetro</v>
      </c>
      <c r="D8" s="161"/>
      <c r="E8" s="161"/>
      <c r="F8" s="161"/>
      <c r="G8" s="161"/>
      <c r="H8" s="157"/>
      <c r="I8" s="161"/>
      <c r="J8" s="161"/>
      <c r="K8" s="161"/>
      <c r="L8" s="161"/>
      <c r="M8" s="159"/>
      <c r="N8" s="362"/>
      <c r="O8" s="16" t="str">
        <f>IFERROR(INDEX(Parametri_BIA!$F$6:$F$10,MATCH('Impatto RI'!D8,Parametri_BIA!$E$6:$E$10,0)),"")</f>
        <v/>
      </c>
      <c r="P8" s="16" t="str">
        <f>IFERROR(INDEX(Parametri_BIA!$F$6:$F$10,MATCH('Impatto RI'!E8,Parametri_BIA!$E$6:$E$10,0)),"")</f>
        <v/>
      </c>
      <c r="Q8" s="16" t="str">
        <f>IFERROR(INDEX(Parametri_BIA!$F$6:$F$10,MATCH('Impatto RI'!F8,Parametri_BIA!$E$6:$E$10,0)),"")</f>
        <v/>
      </c>
      <c r="R8" s="16" t="str">
        <f>IFERROR(INDEX(Parametri_BIA!$F$6:$F$10,MATCH('Impatto RI'!G8,Parametri_BIA!$E$6:$E$10,0)),"")</f>
        <v/>
      </c>
      <c r="S8" s="16">
        <f t="shared" si="0"/>
        <v>0</v>
      </c>
      <c r="T8" s="16" t="str">
        <f>IFERROR(INDEX(Parametri_BIA!$F$6:$F$10,MATCH('Impatto RI'!I8,Parametri_BIA!$E$6:$E$10,0)),"")</f>
        <v/>
      </c>
      <c r="U8" s="16" t="str">
        <f>IFERROR(INDEX(Parametri_BIA!$F$6:$F$10,MATCH('Impatto RI'!J8,Parametri_BIA!$E$6:$E$10,0)),"")</f>
        <v/>
      </c>
      <c r="V8" s="16" t="str">
        <f>IFERROR(INDEX(Parametri_BIA!$F$6:$F$10,MATCH('Impatto RI'!K8,Parametri_BIA!$E$6:$E$10,0)),"")</f>
        <v/>
      </c>
      <c r="W8" s="16" t="str">
        <f>IFERROR(INDEX(Parametri_BIA!$F$6:$F$10,MATCH('Impatto RI'!L8,Parametri_BIA!$E$6:$E$10,0)),"")</f>
        <v/>
      </c>
      <c r="X8" s="16">
        <f t="shared" si="1"/>
        <v>0</v>
      </c>
    </row>
    <row r="9" spans="2:30" s="15" customFormat="1" x14ac:dyDescent="0.35">
      <c r="B9" s="97">
        <f>'Appoggio_BIA Servizio'!$B$5</f>
        <v>0</v>
      </c>
      <c r="C9" s="155" t="str">
        <f>IF(Applicazioni!C10=0,"Inserire nome dell'Applicativo in perimetro",Applicazioni!C10)</f>
        <v>Inserire nome dell'Applicativo in perimetro</v>
      </c>
      <c r="D9" s="161"/>
      <c r="E9" s="161"/>
      <c r="F9" s="161"/>
      <c r="G9" s="161"/>
      <c r="H9" s="157"/>
      <c r="I9" s="161"/>
      <c r="J9" s="161"/>
      <c r="K9" s="161"/>
      <c r="L9" s="161"/>
      <c r="M9" s="159"/>
      <c r="N9" s="362"/>
      <c r="O9" s="16" t="str">
        <f>IFERROR(INDEX(Parametri_BIA!$F$6:$F$10,MATCH('Impatto RI'!D9,Parametri_BIA!$E$6:$E$10,0)),"")</f>
        <v/>
      </c>
      <c r="P9" s="16" t="str">
        <f>IFERROR(INDEX(Parametri_BIA!$F$6:$F$10,MATCH('Impatto RI'!E9,Parametri_BIA!$E$6:$E$10,0)),"")</f>
        <v/>
      </c>
      <c r="Q9" s="16" t="str">
        <f>IFERROR(INDEX(Parametri_BIA!$F$6:$F$10,MATCH('Impatto RI'!F9,Parametri_BIA!$E$6:$E$10,0)),"")</f>
        <v/>
      </c>
      <c r="R9" s="16" t="str">
        <f>IFERROR(INDEX(Parametri_BIA!$F$6:$F$10,MATCH('Impatto RI'!G9,Parametri_BIA!$E$6:$E$10,0)),"")</f>
        <v/>
      </c>
      <c r="S9" s="16">
        <f t="shared" si="0"/>
        <v>0</v>
      </c>
      <c r="T9" s="16" t="str">
        <f>IFERROR(INDEX(Parametri_BIA!$F$6:$F$10,MATCH('Impatto RI'!I9,Parametri_BIA!$E$6:$E$10,0)),"")</f>
        <v/>
      </c>
      <c r="U9" s="16" t="str">
        <f>IFERROR(INDEX(Parametri_BIA!$F$6:$F$10,MATCH('Impatto RI'!J9,Parametri_BIA!$E$6:$E$10,0)),"")</f>
        <v/>
      </c>
      <c r="V9" s="16" t="str">
        <f>IFERROR(INDEX(Parametri_BIA!$F$6:$F$10,MATCH('Impatto RI'!K9,Parametri_BIA!$E$6:$E$10,0)),"")</f>
        <v/>
      </c>
      <c r="W9" s="16" t="str">
        <f>IFERROR(INDEX(Parametri_BIA!$F$6:$F$10,MATCH('Impatto RI'!L9,Parametri_BIA!$E$6:$E$10,0)),"")</f>
        <v/>
      </c>
      <c r="X9" s="16">
        <f t="shared" si="1"/>
        <v>0</v>
      </c>
    </row>
    <row r="10" spans="2:30" s="15" customFormat="1" x14ac:dyDescent="0.35">
      <c r="B10" s="97">
        <f>'Appoggio_BIA Servizio'!$B$5</f>
        <v>0</v>
      </c>
      <c r="C10" s="155" t="str">
        <f>IF(Applicazioni!C11=0,"Inserire nome dell'Applicativo in perimetro",Applicazioni!C11)</f>
        <v>Inserire nome dell'Applicativo in perimetro</v>
      </c>
      <c r="D10" s="161"/>
      <c r="E10" s="161"/>
      <c r="F10" s="161"/>
      <c r="G10" s="161"/>
      <c r="H10" s="157"/>
      <c r="I10" s="161"/>
      <c r="J10" s="161"/>
      <c r="K10" s="161"/>
      <c r="L10" s="161"/>
      <c r="M10" s="159"/>
      <c r="N10" s="362"/>
      <c r="O10" s="16" t="str">
        <f>IFERROR(INDEX(Parametri_BIA!$F$6:$F$10,MATCH('Impatto RI'!D10,Parametri_BIA!$E$6:$E$10,0)),"")</f>
        <v/>
      </c>
      <c r="P10" s="16" t="str">
        <f>IFERROR(INDEX(Parametri_BIA!$F$6:$F$10,MATCH('Impatto RI'!E10,Parametri_BIA!$E$6:$E$10,0)),"")</f>
        <v/>
      </c>
      <c r="Q10" s="16" t="str">
        <f>IFERROR(INDEX(Parametri_BIA!$F$6:$F$10,MATCH('Impatto RI'!F10,Parametri_BIA!$E$6:$E$10,0)),"")</f>
        <v/>
      </c>
      <c r="R10" s="16" t="str">
        <f>IFERROR(INDEX(Parametri_BIA!$F$6:$F$10,MATCH('Impatto RI'!G10,Parametri_BIA!$E$6:$E$10,0)),"")</f>
        <v/>
      </c>
      <c r="S10" s="16">
        <f t="shared" si="0"/>
        <v>0</v>
      </c>
      <c r="T10" s="16" t="str">
        <f>IFERROR(INDEX(Parametri_BIA!$F$6:$F$10,MATCH('Impatto RI'!I10,Parametri_BIA!$E$6:$E$10,0)),"")</f>
        <v/>
      </c>
      <c r="U10" s="16" t="str">
        <f>IFERROR(INDEX(Parametri_BIA!$F$6:$F$10,MATCH('Impatto RI'!J10,Parametri_BIA!$E$6:$E$10,0)),"")</f>
        <v/>
      </c>
      <c r="V10" s="16" t="str">
        <f>IFERROR(INDEX(Parametri_BIA!$F$6:$F$10,MATCH('Impatto RI'!K10,Parametri_BIA!$E$6:$E$10,0)),"")</f>
        <v/>
      </c>
      <c r="W10" s="16" t="str">
        <f>IFERROR(INDEX(Parametri_BIA!$F$6:$F$10,MATCH('Impatto RI'!L10,Parametri_BIA!$E$6:$E$10,0)),"")</f>
        <v/>
      </c>
      <c r="X10" s="16">
        <f t="shared" si="1"/>
        <v>0</v>
      </c>
    </row>
    <row r="11" spans="2:30" s="15" customFormat="1" x14ac:dyDescent="0.35">
      <c r="B11" s="97">
        <f>'Appoggio_BIA Servizio'!$B$5</f>
        <v>0</v>
      </c>
      <c r="C11" s="155" t="str">
        <f>IF(Applicazioni!C12=0,"Inserire nome dell'Applicativo in perimetro",Applicazioni!C12)</f>
        <v>Inserire nome dell'Applicativo in perimetro</v>
      </c>
      <c r="D11" s="161"/>
      <c r="E11" s="161"/>
      <c r="F11" s="161"/>
      <c r="G11" s="161"/>
      <c r="H11" s="157"/>
      <c r="I11" s="161"/>
      <c r="J11" s="161"/>
      <c r="K11" s="161"/>
      <c r="L11" s="161"/>
      <c r="M11" s="159"/>
      <c r="N11" s="362"/>
      <c r="O11" s="16" t="str">
        <f>IFERROR(INDEX(Parametri_BIA!$F$6:$F$10,MATCH('Impatto RI'!D11,Parametri_BIA!$E$6:$E$10,0)),"")</f>
        <v/>
      </c>
      <c r="P11" s="16" t="str">
        <f>IFERROR(INDEX(Parametri_BIA!$F$6:$F$10,MATCH('Impatto RI'!E11,Parametri_BIA!$E$6:$E$10,0)),"")</f>
        <v/>
      </c>
      <c r="Q11" s="16" t="str">
        <f>IFERROR(INDEX(Parametri_BIA!$F$6:$F$10,MATCH('Impatto RI'!F11,Parametri_BIA!$E$6:$E$10,0)),"")</f>
        <v/>
      </c>
      <c r="R11" s="16" t="str">
        <f>IFERROR(INDEX(Parametri_BIA!$F$6:$F$10,MATCH('Impatto RI'!G11,Parametri_BIA!$E$6:$E$10,0)),"")</f>
        <v/>
      </c>
      <c r="S11" s="16">
        <f t="shared" si="0"/>
        <v>0</v>
      </c>
      <c r="T11" s="16" t="str">
        <f>IFERROR(INDEX(Parametri_BIA!$F$6:$F$10,MATCH('Impatto RI'!I11,Parametri_BIA!$E$6:$E$10,0)),"")</f>
        <v/>
      </c>
      <c r="U11" s="16" t="str">
        <f>IFERROR(INDEX(Parametri_BIA!$F$6:$F$10,MATCH('Impatto RI'!J11,Parametri_BIA!$E$6:$E$10,0)),"")</f>
        <v/>
      </c>
      <c r="V11" s="16" t="str">
        <f>IFERROR(INDEX(Parametri_BIA!$F$6:$F$10,MATCH('Impatto RI'!K11,Parametri_BIA!$E$6:$E$10,0)),"")</f>
        <v/>
      </c>
      <c r="W11" s="16" t="str">
        <f>IFERROR(INDEX(Parametri_BIA!$F$6:$F$10,MATCH('Impatto RI'!L11,Parametri_BIA!$E$6:$E$10,0)),"")</f>
        <v/>
      </c>
      <c r="X11" s="16">
        <f t="shared" si="1"/>
        <v>0</v>
      </c>
    </row>
    <row r="12" spans="2:30" s="15" customFormat="1" x14ac:dyDescent="0.35">
      <c r="B12" s="97">
        <f>'Appoggio_BIA Servizio'!$B$5</f>
        <v>0</v>
      </c>
      <c r="C12" s="155" t="str">
        <f>IF(Applicazioni!C13=0,"Inserire nome dell'Applicativo in perimetro",Applicazioni!C13)</f>
        <v>Inserire nome dell'Applicativo in perimetro</v>
      </c>
      <c r="D12" s="161"/>
      <c r="E12" s="161"/>
      <c r="F12" s="161"/>
      <c r="G12" s="161"/>
      <c r="H12" s="157"/>
      <c r="I12" s="161"/>
      <c r="J12" s="161"/>
      <c r="K12" s="161"/>
      <c r="L12" s="161"/>
      <c r="M12" s="159"/>
      <c r="N12" s="362"/>
      <c r="O12" s="16" t="str">
        <f>IFERROR(INDEX(Parametri_BIA!$F$6:$F$10,MATCH('Impatto RI'!D12,Parametri_BIA!$E$6:$E$10,0)),"")</f>
        <v/>
      </c>
      <c r="P12" s="16" t="str">
        <f>IFERROR(INDEX(Parametri_BIA!$F$6:$F$10,MATCH('Impatto RI'!E12,Parametri_BIA!$E$6:$E$10,0)),"")</f>
        <v/>
      </c>
      <c r="Q12" s="16" t="str">
        <f>IFERROR(INDEX(Parametri_BIA!$F$6:$F$10,MATCH('Impatto RI'!F12,Parametri_BIA!$E$6:$E$10,0)),"")</f>
        <v/>
      </c>
      <c r="R12" s="16" t="str">
        <f>IFERROR(INDEX(Parametri_BIA!$F$6:$F$10,MATCH('Impatto RI'!G12,Parametri_BIA!$E$6:$E$10,0)),"")</f>
        <v/>
      </c>
      <c r="S12" s="16">
        <f t="shared" si="0"/>
        <v>0</v>
      </c>
      <c r="T12" s="16" t="str">
        <f>IFERROR(INDEX(Parametri_BIA!$F$6:$F$10,MATCH('Impatto RI'!I12,Parametri_BIA!$E$6:$E$10,0)),"")</f>
        <v/>
      </c>
      <c r="U12" s="16" t="str">
        <f>IFERROR(INDEX(Parametri_BIA!$F$6:$F$10,MATCH('Impatto RI'!J12,Parametri_BIA!$E$6:$E$10,0)),"")</f>
        <v/>
      </c>
      <c r="V12" s="16" t="str">
        <f>IFERROR(INDEX(Parametri_BIA!$F$6:$F$10,MATCH('Impatto RI'!K12,Parametri_BIA!$E$6:$E$10,0)),"")</f>
        <v/>
      </c>
      <c r="W12" s="16" t="str">
        <f>IFERROR(INDEX(Parametri_BIA!$F$6:$F$10,MATCH('Impatto RI'!L12,Parametri_BIA!$E$6:$E$10,0)),"")</f>
        <v/>
      </c>
      <c r="X12" s="16">
        <f t="shared" si="1"/>
        <v>0</v>
      </c>
    </row>
    <row r="13" spans="2:30" s="15" customFormat="1" x14ac:dyDescent="0.35">
      <c r="B13" s="97">
        <f>'Appoggio_BIA Servizio'!$B$5</f>
        <v>0</v>
      </c>
      <c r="C13" s="155" t="str">
        <f>IF(Applicazioni!C14=0,"Inserire nome dell'Applicativo in perimetro",Applicazioni!C14)</f>
        <v>Inserire nome dell'Applicativo in perimetro</v>
      </c>
      <c r="D13" s="161"/>
      <c r="E13" s="161"/>
      <c r="F13" s="161"/>
      <c r="G13" s="161"/>
      <c r="H13" s="157"/>
      <c r="I13" s="161"/>
      <c r="J13" s="161"/>
      <c r="K13" s="161"/>
      <c r="L13" s="161"/>
      <c r="M13" s="159"/>
      <c r="N13" s="362"/>
      <c r="O13" s="16" t="str">
        <f>IFERROR(INDEX(Parametri_BIA!$F$6:$F$10,MATCH('Impatto RI'!D13,Parametri_BIA!$E$6:$E$10,0)),"")</f>
        <v/>
      </c>
      <c r="P13" s="16" t="str">
        <f>IFERROR(INDEX(Parametri_BIA!$F$6:$F$10,MATCH('Impatto RI'!E13,Parametri_BIA!$E$6:$E$10,0)),"")</f>
        <v/>
      </c>
      <c r="Q13" s="16" t="str">
        <f>IFERROR(INDEX(Parametri_BIA!$F$6:$F$10,MATCH('Impatto RI'!F13,Parametri_BIA!$E$6:$E$10,0)),"")</f>
        <v/>
      </c>
      <c r="R13" s="16" t="str">
        <f>IFERROR(INDEX(Parametri_BIA!$F$6:$F$10,MATCH('Impatto RI'!G13,Parametri_BIA!$E$6:$E$10,0)),"")</f>
        <v/>
      </c>
      <c r="S13" s="16">
        <f t="shared" si="0"/>
        <v>0</v>
      </c>
      <c r="T13" s="16" t="str">
        <f>IFERROR(INDEX(Parametri_BIA!$F$6:$F$10,MATCH('Impatto RI'!I13,Parametri_BIA!$E$6:$E$10,0)),"")</f>
        <v/>
      </c>
      <c r="U13" s="16" t="str">
        <f>IFERROR(INDEX(Parametri_BIA!$F$6:$F$10,MATCH('Impatto RI'!J13,Parametri_BIA!$E$6:$E$10,0)),"")</f>
        <v/>
      </c>
      <c r="V13" s="16" t="str">
        <f>IFERROR(INDEX(Parametri_BIA!$F$6:$F$10,MATCH('Impatto RI'!K13,Parametri_BIA!$E$6:$E$10,0)),"")</f>
        <v/>
      </c>
      <c r="W13" s="16" t="str">
        <f>IFERROR(INDEX(Parametri_BIA!$F$6:$F$10,MATCH('Impatto RI'!L13,Parametri_BIA!$E$6:$E$10,0)),"")</f>
        <v/>
      </c>
      <c r="X13" s="16">
        <f t="shared" si="1"/>
        <v>0</v>
      </c>
    </row>
    <row r="14" spans="2:30" s="15" customFormat="1" x14ac:dyDescent="0.35">
      <c r="B14" s="101">
        <f>'Appoggio_BIA Servizio'!$B$5</f>
        <v>0</v>
      </c>
      <c r="C14" s="156" t="str">
        <f>IF(Applicazioni!C15=0,"Inserire nome dell'Applicativo in perimetro",Applicazioni!C15)</f>
        <v>Inserire nome dell'Applicativo in perimetro</v>
      </c>
      <c r="D14" s="294"/>
      <c r="E14" s="294"/>
      <c r="F14" s="294"/>
      <c r="G14" s="294"/>
      <c r="H14" s="158"/>
      <c r="I14" s="294"/>
      <c r="J14" s="294"/>
      <c r="K14" s="294"/>
      <c r="L14" s="294"/>
      <c r="M14" s="160"/>
      <c r="N14" s="362"/>
      <c r="O14" s="16" t="str">
        <f>IFERROR(INDEX(Parametri_BIA!$F$6:$F$10,MATCH('Impatto RI'!D14,Parametri_BIA!$E$6:$E$10,0)),"")</f>
        <v/>
      </c>
      <c r="P14" s="16" t="str">
        <f>IFERROR(INDEX(Parametri_BIA!$F$6:$F$10,MATCH('Impatto RI'!E14,Parametri_BIA!$E$6:$E$10,0)),"")</f>
        <v/>
      </c>
      <c r="Q14" s="16" t="str">
        <f>IFERROR(INDEX(Parametri_BIA!$F$6:$F$10,MATCH('Impatto RI'!F14,Parametri_BIA!$E$6:$E$10,0)),"")</f>
        <v/>
      </c>
      <c r="R14" s="16" t="str">
        <f>IFERROR(INDEX(Parametri_BIA!$F$6:$F$10,MATCH('Impatto RI'!G14,Parametri_BIA!$E$6:$E$10,0)),"")</f>
        <v/>
      </c>
      <c r="S14" s="16">
        <f t="shared" si="0"/>
        <v>0</v>
      </c>
      <c r="T14" s="16" t="str">
        <f>IFERROR(INDEX(Parametri_BIA!$F$6:$F$10,MATCH('Impatto RI'!I14,Parametri_BIA!$E$6:$E$10,0)),"")</f>
        <v/>
      </c>
      <c r="U14" s="16" t="str">
        <f>IFERROR(INDEX(Parametri_BIA!$F$6:$F$10,MATCH('Impatto RI'!J14,Parametri_BIA!$E$6:$E$10,0)),"")</f>
        <v/>
      </c>
      <c r="V14" s="16" t="str">
        <f>IFERROR(INDEX(Parametri_BIA!$F$6:$F$10,MATCH('Impatto RI'!K14,Parametri_BIA!$E$6:$E$10,0)),"")</f>
        <v/>
      </c>
      <c r="W14" s="16" t="str">
        <f>IFERROR(INDEX(Parametri_BIA!$F$6:$F$10,MATCH('Impatto RI'!L14,Parametri_BIA!$E$6:$E$10,0)),"")</f>
        <v/>
      </c>
      <c r="X14" s="16">
        <f t="shared" si="1"/>
        <v>0</v>
      </c>
    </row>
    <row r="15" spans="2:30" x14ac:dyDescent="0.45">
      <c r="B15" s="97">
        <f>'Appoggio_BIA Servizio'!$B$5</f>
        <v>0</v>
      </c>
      <c r="C15" s="155" t="str">
        <f>IF(Applicazioni!C16=0,"Inserire nome dell'Applicativo in perimetro",Applicazioni!C16)</f>
        <v>Inserire nome dell'Applicativo in perimetro</v>
      </c>
      <c r="D15" s="161"/>
      <c r="E15" s="161"/>
      <c r="F15" s="161"/>
      <c r="G15" s="161"/>
      <c r="H15" s="157"/>
      <c r="I15" s="161"/>
      <c r="J15" s="161"/>
      <c r="K15" s="161"/>
      <c r="L15" s="161"/>
      <c r="M15" s="159"/>
      <c r="N15" s="362"/>
      <c r="O15" s="16" t="str">
        <f>IFERROR(INDEX(Parametri_BIA!$F$6:$F$10,MATCH('Impatto RI'!D15,Parametri_BIA!$E$6:$E$10,0)),"")</f>
        <v/>
      </c>
      <c r="P15" s="16" t="str">
        <f>IFERROR(INDEX(Parametri_BIA!$F$6:$F$10,MATCH('Impatto RI'!E15,Parametri_BIA!$E$6:$E$10,0)),"")</f>
        <v/>
      </c>
      <c r="Q15" s="16" t="str">
        <f>IFERROR(INDEX(Parametri_BIA!$F$6:$F$10,MATCH('Impatto RI'!F15,Parametri_BIA!$E$6:$E$10,0)),"")</f>
        <v/>
      </c>
      <c r="R15" s="16" t="str">
        <f>IFERROR(INDEX(Parametri_BIA!$F$6:$F$10,MATCH('Impatto RI'!G15,Parametri_BIA!$E$6:$E$10,0)),"")</f>
        <v/>
      </c>
      <c r="S15" s="16">
        <f t="shared" si="0"/>
        <v>0</v>
      </c>
      <c r="T15" s="16" t="str">
        <f>IFERROR(INDEX(Parametri_BIA!$F$6:$F$10,MATCH('Impatto RI'!I15,Parametri_BIA!$E$6:$E$10,0)),"")</f>
        <v/>
      </c>
      <c r="U15" s="16" t="str">
        <f>IFERROR(INDEX(Parametri_BIA!$F$6:$F$10,MATCH('Impatto RI'!J15,Parametri_BIA!$E$6:$E$10,0)),"")</f>
        <v/>
      </c>
      <c r="V15" s="16" t="str">
        <f>IFERROR(INDEX(Parametri_BIA!$F$6:$F$10,MATCH('Impatto RI'!K15,Parametri_BIA!$E$6:$E$10,0)),"")</f>
        <v/>
      </c>
      <c r="W15" s="16" t="str">
        <f>IFERROR(INDEX(Parametri_BIA!$F$6:$F$10,MATCH('Impatto RI'!L15,Parametri_BIA!$E$6:$E$10,0)),"")</f>
        <v/>
      </c>
      <c r="X15" s="16">
        <f t="shared" si="1"/>
        <v>0</v>
      </c>
    </row>
    <row r="16" spans="2:30" x14ac:dyDescent="0.45">
      <c r="B16" s="97">
        <f>'Appoggio_BIA Servizio'!$B$5</f>
        <v>0</v>
      </c>
      <c r="C16" s="155" t="str">
        <f>IF(Applicazioni!C17=0,"Inserire nome dell'Applicativo in perimetro",Applicazioni!C17)</f>
        <v>Inserire nome dell'Applicativo in perimetro</v>
      </c>
      <c r="D16" s="161"/>
      <c r="E16" s="161"/>
      <c r="F16" s="161"/>
      <c r="G16" s="161"/>
      <c r="H16" s="157"/>
      <c r="I16" s="161"/>
      <c r="J16" s="161"/>
      <c r="K16" s="161"/>
      <c r="L16" s="161"/>
      <c r="M16" s="159"/>
      <c r="N16" s="362"/>
      <c r="O16" s="16" t="str">
        <f>IFERROR(INDEX(Parametri_BIA!$F$6:$F$10,MATCH('Impatto RI'!D16,Parametri_BIA!$E$6:$E$10,0)),"")</f>
        <v/>
      </c>
      <c r="P16" s="16" t="str">
        <f>IFERROR(INDEX(Parametri_BIA!$F$6:$F$10,MATCH('Impatto RI'!E16,Parametri_BIA!$E$6:$E$10,0)),"")</f>
        <v/>
      </c>
      <c r="Q16" s="16" t="str">
        <f>IFERROR(INDEX(Parametri_BIA!$F$6:$F$10,MATCH('Impatto RI'!F16,Parametri_BIA!$E$6:$E$10,0)),"")</f>
        <v/>
      </c>
      <c r="R16" s="16" t="str">
        <f>IFERROR(INDEX(Parametri_BIA!$F$6:$F$10,MATCH('Impatto RI'!G16,Parametri_BIA!$E$6:$E$10,0)),"")</f>
        <v/>
      </c>
      <c r="S16" s="16">
        <f t="shared" si="0"/>
        <v>0</v>
      </c>
      <c r="T16" s="16" t="str">
        <f>IFERROR(INDEX(Parametri_BIA!$F$6:$F$10,MATCH('Impatto RI'!I16,Parametri_BIA!$E$6:$E$10,0)),"")</f>
        <v/>
      </c>
      <c r="U16" s="16" t="str">
        <f>IFERROR(INDEX(Parametri_BIA!$F$6:$F$10,MATCH('Impatto RI'!J16,Parametri_BIA!$E$6:$E$10,0)),"")</f>
        <v/>
      </c>
      <c r="V16" s="16" t="str">
        <f>IFERROR(INDEX(Parametri_BIA!$F$6:$F$10,MATCH('Impatto RI'!K16,Parametri_BIA!$E$6:$E$10,0)),"")</f>
        <v/>
      </c>
      <c r="W16" s="16" t="str">
        <f>IFERROR(INDEX(Parametri_BIA!$F$6:$F$10,MATCH('Impatto RI'!L16,Parametri_BIA!$E$6:$E$10,0)),"")</f>
        <v/>
      </c>
      <c r="X16" s="16">
        <f t="shared" si="1"/>
        <v>0</v>
      </c>
    </row>
    <row r="17" spans="2:24" x14ac:dyDescent="0.45">
      <c r="B17" s="97">
        <f>'Appoggio_BIA Servizio'!$B$5</f>
        <v>0</v>
      </c>
      <c r="C17" s="155" t="str">
        <f>IF(Applicazioni!C18=0,"Inserire nome dell'Applicativo in perimetro",Applicazioni!C18)</f>
        <v>Inserire nome dell'Applicativo in perimetro</v>
      </c>
      <c r="D17" s="161"/>
      <c r="E17" s="161"/>
      <c r="F17" s="161"/>
      <c r="G17" s="161"/>
      <c r="H17" s="157"/>
      <c r="I17" s="161"/>
      <c r="J17" s="161"/>
      <c r="K17" s="161"/>
      <c r="L17" s="161"/>
      <c r="M17" s="159"/>
      <c r="N17" s="362"/>
      <c r="O17" s="16" t="str">
        <f>IFERROR(INDEX(Parametri_BIA!$F$6:$F$10,MATCH('Impatto RI'!D17,Parametri_BIA!$E$6:$E$10,0)),"")</f>
        <v/>
      </c>
      <c r="P17" s="16" t="str">
        <f>IFERROR(INDEX(Parametri_BIA!$F$6:$F$10,MATCH('Impatto RI'!E17,Parametri_BIA!$E$6:$E$10,0)),"")</f>
        <v/>
      </c>
      <c r="Q17" s="16" t="str">
        <f>IFERROR(INDEX(Parametri_BIA!$F$6:$F$10,MATCH('Impatto RI'!F17,Parametri_BIA!$E$6:$E$10,0)),"")</f>
        <v/>
      </c>
      <c r="R17" s="16" t="str">
        <f>IFERROR(INDEX(Parametri_BIA!$F$6:$F$10,MATCH('Impatto RI'!G17,Parametri_BIA!$E$6:$E$10,0)),"")</f>
        <v/>
      </c>
      <c r="S17" s="16">
        <f t="shared" si="0"/>
        <v>0</v>
      </c>
      <c r="T17" s="16" t="str">
        <f>IFERROR(INDEX(Parametri_BIA!$F$6:$F$10,MATCH('Impatto RI'!I17,Parametri_BIA!$E$6:$E$10,0)),"")</f>
        <v/>
      </c>
      <c r="U17" s="16" t="str">
        <f>IFERROR(INDEX(Parametri_BIA!$F$6:$F$10,MATCH('Impatto RI'!J17,Parametri_BIA!$E$6:$E$10,0)),"")</f>
        <v/>
      </c>
      <c r="V17" s="16" t="str">
        <f>IFERROR(INDEX(Parametri_BIA!$F$6:$F$10,MATCH('Impatto RI'!K17,Parametri_BIA!$E$6:$E$10,0)),"")</f>
        <v/>
      </c>
      <c r="W17" s="16" t="str">
        <f>IFERROR(INDEX(Parametri_BIA!$F$6:$F$10,MATCH('Impatto RI'!L17,Parametri_BIA!$E$6:$E$10,0)),"")</f>
        <v/>
      </c>
      <c r="X17" s="16">
        <f t="shared" si="1"/>
        <v>0</v>
      </c>
    </row>
    <row r="18" spans="2:24" x14ac:dyDescent="0.45">
      <c r="B18" s="97">
        <f>'Appoggio_BIA Servizio'!$B$5</f>
        <v>0</v>
      </c>
      <c r="C18" s="156" t="str">
        <f>IF(Applicazioni!C19=0,"Inserire nome dell'Applicativo in perimetro",Applicazioni!C19)</f>
        <v>Inserire nome dell'Applicativo in perimetro</v>
      </c>
      <c r="D18" s="161"/>
      <c r="E18" s="161"/>
      <c r="F18" s="161"/>
      <c r="G18" s="161"/>
      <c r="H18" s="157"/>
      <c r="I18" s="161"/>
      <c r="J18" s="161"/>
      <c r="K18" s="161"/>
      <c r="L18" s="161"/>
      <c r="M18" s="159"/>
      <c r="N18" s="362"/>
      <c r="O18" s="16" t="str">
        <f>IFERROR(INDEX(Parametri_BIA!$F$6:$F$10,MATCH('Impatto RI'!D18,Parametri_BIA!$E$6:$E$10,0)),"")</f>
        <v/>
      </c>
      <c r="P18" s="16" t="str">
        <f>IFERROR(INDEX(Parametri_BIA!$F$6:$F$10,MATCH('Impatto RI'!E18,Parametri_BIA!$E$6:$E$10,0)),"")</f>
        <v/>
      </c>
      <c r="Q18" s="16" t="str">
        <f>IFERROR(INDEX(Parametri_BIA!$F$6:$F$10,MATCH('Impatto RI'!F18,Parametri_BIA!$E$6:$E$10,0)),"")</f>
        <v/>
      </c>
      <c r="R18" s="16" t="str">
        <f>IFERROR(INDEX(Parametri_BIA!$F$6:$F$10,MATCH('Impatto RI'!G18,Parametri_BIA!$E$6:$E$10,0)),"")</f>
        <v/>
      </c>
      <c r="S18" s="16">
        <f t="shared" si="0"/>
        <v>0</v>
      </c>
      <c r="T18" s="16" t="str">
        <f>IFERROR(INDEX(Parametri_BIA!$F$6:$F$10,MATCH('Impatto RI'!I18,Parametri_BIA!$E$6:$E$10,0)),"")</f>
        <v/>
      </c>
      <c r="U18" s="16" t="str">
        <f>IFERROR(INDEX(Parametri_BIA!$F$6:$F$10,MATCH('Impatto RI'!J18,Parametri_BIA!$E$6:$E$10,0)),"")</f>
        <v/>
      </c>
      <c r="V18" s="16" t="str">
        <f>IFERROR(INDEX(Parametri_BIA!$F$6:$F$10,MATCH('Impatto RI'!K18,Parametri_BIA!$E$6:$E$10,0)),"")</f>
        <v/>
      </c>
      <c r="W18" s="16" t="str">
        <f>IFERROR(INDEX(Parametri_BIA!$F$6:$F$10,MATCH('Impatto RI'!L18,Parametri_BIA!$E$6:$E$10,0)),"")</f>
        <v/>
      </c>
      <c r="X18" s="16">
        <f t="shared" si="1"/>
        <v>0</v>
      </c>
    </row>
    <row r="19" spans="2:24" x14ac:dyDescent="0.45">
      <c r="B19" s="97">
        <f>'Appoggio_BIA Servizio'!$B$5</f>
        <v>0</v>
      </c>
      <c r="C19" s="155" t="str">
        <f>IF(Applicazioni!C20=0,"Inserire nome dell'Applicativo in perimetro",Applicazioni!C20)</f>
        <v>Inserire nome dell'Applicativo in perimetro</v>
      </c>
      <c r="D19" s="161"/>
      <c r="E19" s="161"/>
      <c r="F19" s="161"/>
      <c r="G19" s="161"/>
      <c r="H19" s="157"/>
      <c r="I19" s="161"/>
      <c r="J19" s="161"/>
      <c r="K19" s="161"/>
      <c r="L19" s="161"/>
      <c r="M19" s="159"/>
      <c r="N19" s="362"/>
      <c r="O19" s="16" t="str">
        <f>IFERROR(INDEX(Parametri_BIA!$F$6:$F$10,MATCH('Impatto RI'!D19,Parametri_BIA!$E$6:$E$10,0)),"")</f>
        <v/>
      </c>
      <c r="P19" s="16" t="str">
        <f>IFERROR(INDEX(Parametri_BIA!$F$6:$F$10,MATCH('Impatto RI'!E19,Parametri_BIA!$E$6:$E$10,0)),"")</f>
        <v/>
      </c>
      <c r="Q19" s="16" t="str">
        <f>IFERROR(INDEX(Parametri_BIA!$F$6:$F$10,MATCH('Impatto RI'!F19,Parametri_BIA!$E$6:$E$10,0)),"")</f>
        <v/>
      </c>
      <c r="R19" s="16" t="str">
        <f>IFERROR(INDEX(Parametri_BIA!$F$6:$F$10,MATCH('Impatto RI'!G19,Parametri_BIA!$E$6:$E$10,0)),"")</f>
        <v/>
      </c>
      <c r="S19" s="16">
        <f t="shared" si="0"/>
        <v>0</v>
      </c>
      <c r="T19" s="16" t="str">
        <f>IFERROR(INDEX(Parametri_BIA!$F$6:$F$10,MATCH('Impatto RI'!I19,Parametri_BIA!$E$6:$E$10,0)),"")</f>
        <v/>
      </c>
      <c r="U19" s="16" t="str">
        <f>IFERROR(INDEX(Parametri_BIA!$F$6:$F$10,MATCH('Impatto RI'!J19,Parametri_BIA!$E$6:$E$10,0)),"")</f>
        <v/>
      </c>
      <c r="V19" s="16" t="str">
        <f>IFERROR(INDEX(Parametri_BIA!$F$6:$F$10,MATCH('Impatto RI'!K19,Parametri_BIA!$E$6:$E$10,0)),"")</f>
        <v/>
      </c>
      <c r="W19" s="16" t="str">
        <f>IFERROR(INDEX(Parametri_BIA!$F$6:$F$10,MATCH('Impatto RI'!L19,Parametri_BIA!$E$6:$E$10,0)),"")</f>
        <v/>
      </c>
      <c r="X19" s="16">
        <f t="shared" si="1"/>
        <v>0</v>
      </c>
    </row>
    <row r="20" spans="2:24" x14ac:dyDescent="0.45">
      <c r="B20" s="97">
        <f>'Appoggio_BIA Servizio'!$B$5</f>
        <v>0</v>
      </c>
      <c r="C20" s="155" t="str">
        <f>IF(Applicazioni!C21=0,"Inserire nome dell'Applicativo in perimetro",Applicazioni!C21)</f>
        <v>Inserire nome dell'Applicativo in perimetro</v>
      </c>
      <c r="D20" s="161"/>
      <c r="E20" s="161"/>
      <c r="F20" s="161"/>
      <c r="G20" s="161"/>
      <c r="H20" s="157"/>
      <c r="I20" s="161"/>
      <c r="J20" s="161"/>
      <c r="K20" s="161"/>
      <c r="L20" s="161"/>
      <c r="M20" s="159"/>
      <c r="N20" s="362"/>
      <c r="O20" s="16" t="str">
        <f>IFERROR(INDEX(Parametri_BIA!$F$6:$F$10,MATCH('Impatto RI'!D20,Parametri_BIA!$E$6:$E$10,0)),"")</f>
        <v/>
      </c>
      <c r="P20" s="16" t="str">
        <f>IFERROR(INDEX(Parametri_BIA!$F$6:$F$10,MATCH('Impatto RI'!E20,Parametri_BIA!$E$6:$E$10,0)),"")</f>
        <v/>
      </c>
      <c r="Q20" s="16" t="str">
        <f>IFERROR(INDEX(Parametri_BIA!$F$6:$F$10,MATCH('Impatto RI'!F20,Parametri_BIA!$E$6:$E$10,0)),"")</f>
        <v/>
      </c>
      <c r="R20" s="16" t="str">
        <f>IFERROR(INDEX(Parametri_BIA!$F$6:$F$10,MATCH('Impatto RI'!G20,Parametri_BIA!$E$6:$E$10,0)),"")</f>
        <v/>
      </c>
      <c r="S20" s="16">
        <f t="shared" si="0"/>
        <v>0</v>
      </c>
      <c r="T20" s="16" t="str">
        <f>IFERROR(INDEX(Parametri_BIA!$F$6:$F$10,MATCH('Impatto RI'!I20,Parametri_BIA!$E$6:$E$10,0)),"")</f>
        <v/>
      </c>
      <c r="U20" s="16" t="str">
        <f>IFERROR(INDEX(Parametri_BIA!$F$6:$F$10,MATCH('Impatto RI'!J20,Parametri_BIA!$E$6:$E$10,0)),"")</f>
        <v/>
      </c>
      <c r="V20" s="16" t="str">
        <f>IFERROR(INDEX(Parametri_BIA!$F$6:$F$10,MATCH('Impatto RI'!K20,Parametri_BIA!$E$6:$E$10,0)),"")</f>
        <v/>
      </c>
      <c r="W20" s="16" t="str">
        <f>IFERROR(INDEX(Parametri_BIA!$F$6:$F$10,MATCH('Impatto RI'!L20,Parametri_BIA!$E$6:$E$10,0)),"")</f>
        <v/>
      </c>
      <c r="X20" s="16">
        <f t="shared" si="1"/>
        <v>0</v>
      </c>
    </row>
    <row r="21" spans="2:24" x14ac:dyDescent="0.45">
      <c r="B21" s="97">
        <f>'Appoggio_BIA Servizio'!$B$5</f>
        <v>0</v>
      </c>
      <c r="C21" s="155" t="str">
        <f>IF(Applicazioni!C22=0,"Inserire nome dell'Applicativo in perimetro",Applicazioni!C22)</f>
        <v>Inserire nome dell'Applicativo in perimetro</v>
      </c>
      <c r="D21" s="161"/>
      <c r="E21" s="161"/>
      <c r="F21" s="161"/>
      <c r="G21" s="161"/>
      <c r="H21" s="157"/>
      <c r="I21" s="161"/>
      <c r="J21" s="161"/>
      <c r="K21" s="161"/>
      <c r="L21" s="161"/>
      <c r="M21" s="159"/>
      <c r="N21" s="362"/>
      <c r="O21" s="16" t="str">
        <f>IFERROR(INDEX(Parametri_BIA!$F$6:$F$10,MATCH('Impatto RI'!D21,Parametri_BIA!$E$6:$E$10,0)),"")</f>
        <v/>
      </c>
      <c r="P21" s="16" t="str">
        <f>IFERROR(INDEX(Parametri_BIA!$F$6:$F$10,MATCH('Impatto RI'!E21,Parametri_BIA!$E$6:$E$10,0)),"")</f>
        <v/>
      </c>
      <c r="Q21" s="16" t="str">
        <f>IFERROR(INDEX(Parametri_BIA!$F$6:$F$10,MATCH('Impatto RI'!F21,Parametri_BIA!$E$6:$E$10,0)),"")</f>
        <v/>
      </c>
      <c r="R21" s="16" t="str">
        <f>IFERROR(INDEX(Parametri_BIA!$F$6:$F$10,MATCH('Impatto RI'!G21,Parametri_BIA!$E$6:$E$10,0)),"")</f>
        <v/>
      </c>
      <c r="S21" s="16">
        <f t="shared" si="0"/>
        <v>0</v>
      </c>
      <c r="T21" s="16" t="str">
        <f>IFERROR(INDEX(Parametri_BIA!$F$6:$F$10,MATCH('Impatto RI'!I21,Parametri_BIA!$E$6:$E$10,0)),"")</f>
        <v/>
      </c>
      <c r="U21" s="16" t="str">
        <f>IFERROR(INDEX(Parametri_BIA!$F$6:$F$10,MATCH('Impatto RI'!J21,Parametri_BIA!$E$6:$E$10,0)),"")</f>
        <v/>
      </c>
      <c r="V21" s="16" t="str">
        <f>IFERROR(INDEX(Parametri_BIA!$F$6:$F$10,MATCH('Impatto RI'!K21,Parametri_BIA!$E$6:$E$10,0)),"")</f>
        <v/>
      </c>
      <c r="W21" s="16" t="str">
        <f>IFERROR(INDEX(Parametri_BIA!$F$6:$F$10,MATCH('Impatto RI'!L21,Parametri_BIA!$E$6:$E$10,0)),"")</f>
        <v/>
      </c>
      <c r="X21" s="16">
        <f t="shared" si="1"/>
        <v>0</v>
      </c>
    </row>
    <row r="22" spans="2:24" x14ac:dyDescent="0.45">
      <c r="B22" s="97">
        <f>'Appoggio_BIA Servizio'!$B$5</f>
        <v>0</v>
      </c>
      <c r="C22" s="155" t="str">
        <f>IF(Applicazioni!C23=0,"Inserire nome dell'Applicativo in perimetro",Applicazioni!C23)</f>
        <v>Inserire nome dell'Applicativo in perimetro</v>
      </c>
      <c r="D22" s="161"/>
      <c r="E22" s="161"/>
      <c r="F22" s="161"/>
      <c r="G22" s="161"/>
      <c r="H22" s="157"/>
      <c r="I22" s="161"/>
      <c r="J22" s="161"/>
      <c r="K22" s="161"/>
      <c r="L22" s="161"/>
      <c r="M22" s="159"/>
      <c r="N22" s="362"/>
      <c r="O22" s="16" t="str">
        <f>IFERROR(INDEX(Parametri_BIA!$F$6:$F$10,MATCH('Impatto RI'!D22,Parametri_BIA!$E$6:$E$10,0)),"")</f>
        <v/>
      </c>
      <c r="P22" s="16" t="str">
        <f>IFERROR(INDEX(Parametri_BIA!$F$6:$F$10,MATCH('Impatto RI'!E22,Parametri_BIA!$E$6:$E$10,0)),"")</f>
        <v/>
      </c>
      <c r="Q22" s="16" t="str">
        <f>IFERROR(INDEX(Parametri_BIA!$F$6:$F$10,MATCH('Impatto RI'!F22,Parametri_BIA!$E$6:$E$10,0)),"")</f>
        <v/>
      </c>
      <c r="R22" s="16" t="str">
        <f>IFERROR(INDEX(Parametri_BIA!$F$6:$F$10,MATCH('Impatto RI'!G22,Parametri_BIA!$E$6:$E$10,0)),"")</f>
        <v/>
      </c>
      <c r="S22" s="16">
        <f t="shared" si="0"/>
        <v>0</v>
      </c>
      <c r="T22" s="16" t="str">
        <f>IFERROR(INDEX(Parametri_BIA!$F$6:$F$10,MATCH('Impatto RI'!I22,Parametri_BIA!$E$6:$E$10,0)),"")</f>
        <v/>
      </c>
      <c r="U22" s="16" t="str">
        <f>IFERROR(INDEX(Parametri_BIA!$F$6:$F$10,MATCH('Impatto RI'!J22,Parametri_BIA!$E$6:$E$10,0)),"")</f>
        <v/>
      </c>
      <c r="V22" s="16" t="str">
        <f>IFERROR(INDEX(Parametri_BIA!$F$6:$F$10,MATCH('Impatto RI'!K22,Parametri_BIA!$E$6:$E$10,0)),"")</f>
        <v/>
      </c>
      <c r="W22" s="16" t="str">
        <f>IFERROR(INDEX(Parametri_BIA!$F$6:$F$10,MATCH('Impatto RI'!L22,Parametri_BIA!$E$6:$E$10,0)),"")</f>
        <v/>
      </c>
      <c r="X22" s="16">
        <f t="shared" si="1"/>
        <v>0</v>
      </c>
    </row>
    <row r="23" spans="2:24" x14ac:dyDescent="0.45">
      <c r="B23" s="97">
        <f>'Appoggio_BIA Servizio'!$B$5</f>
        <v>0</v>
      </c>
      <c r="C23" s="155" t="str">
        <f>IF(Applicazioni!C24=0,"Inserire nome dell'Applicativo in perimetro",Applicazioni!C24)</f>
        <v>Inserire nome dell'Applicativo in perimetro</v>
      </c>
      <c r="D23" s="161"/>
      <c r="E23" s="161"/>
      <c r="F23" s="161"/>
      <c r="G23" s="161"/>
      <c r="H23" s="157"/>
      <c r="I23" s="161"/>
      <c r="J23" s="161"/>
      <c r="K23" s="161"/>
      <c r="L23" s="161"/>
      <c r="M23" s="159"/>
      <c r="N23" s="362"/>
      <c r="O23" s="16" t="str">
        <f>IFERROR(INDEX(Parametri_BIA!$F$6:$F$10,MATCH('Impatto RI'!D23,Parametri_BIA!$E$6:$E$10,0)),"")</f>
        <v/>
      </c>
      <c r="P23" s="16" t="str">
        <f>IFERROR(INDEX(Parametri_BIA!$F$6:$F$10,MATCH('Impatto RI'!E23,Parametri_BIA!$E$6:$E$10,0)),"")</f>
        <v/>
      </c>
      <c r="Q23" s="16" t="str">
        <f>IFERROR(INDEX(Parametri_BIA!$F$6:$F$10,MATCH('Impatto RI'!F23,Parametri_BIA!$E$6:$E$10,0)),"")</f>
        <v/>
      </c>
      <c r="R23" s="16" t="str">
        <f>IFERROR(INDEX(Parametri_BIA!$F$6:$F$10,MATCH('Impatto RI'!G23,Parametri_BIA!$E$6:$E$10,0)),"")</f>
        <v/>
      </c>
      <c r="S23" s="16">
        <f t="shared" si="0"/>
        <v>0</v>
      </c>
      <c r="T23" s="16" t="str">
        <f>IFERROR(INDEX(Parametri_BIA!$F$6:$F$10,MATCH('Impatto RI'!I23,Parametri_BIA!$E$6:$E$10,0)),"")</f>
        <v/>
      </c>
      <c r="U23" s="16" t="str">
        <f>IFERROR(INDEX(Parametri_BIA!$F$6:$F$10,MATCH('Impatto RI'!J23,Parametri_BIA!$E$6:$E$10,0)),"")</f>
        <v/>
      </c>
      <c r="V23" s="16" t="str">
        <f>IFERROR(INDEX(Parametri_BIA!$F$6:$F$10,MATCH('Impatto RI'!K23,Parametri_BIA!$E$6:$E$10,0)),"")</f>
        <v/>
      </c>
      <c r="W23" s="16" t="str">
        <f>IFERROR(INDEX(Parametri_BIA!$F$6:$F$10,MATCH('Impatto RI'!L23,Parametri_BIA!$E$6:$E$10,0)),"")</f>
        <v/>
      </c>
      <c r="X23" s="16">
        <f t="shared" si="1"/>
        <v>0</v>
      </c>
    </row>
    <row r="24" spans="2:24" x14ac:dyDescent="0.45">
      <c r="O24" s="16"/>
      <c r="P24" s="16"/>
      <c r="Q24" s="16"/>
      <c r="R24" s="16"/>
      <c r="S24" s="16"/>
      <c r="T24" s="16"/>
      <c r="U24" s="16"/>
      <c r="V24" s="16"/>
      <c r="W24" s="16"/>
      <c r="X24" s="16"/>
    </row>
    <row r="25" spans="2:24" x14ac:dyDescent="0.45">
      <c r="O25" s="16"/>
      <c r="P25" s="16"/>
      <c r="Q25" s="16"/>
      <c r="R25" s="16"/>
      <c r="S25" s="16"/>
      <c r="T25" s="16"/>
      <c r="U25" s="16"/>
      <c r="V25" s="16"/>
      <c r="W25" s="16"/>
      <c r="X25" s="16"/>
    </row>
    <row r="26" spans="2:24" x14ac:dyDescent="0.45">
      <c r="O26" s="16"/>
      <c r="P26" s="16"/>
      <c r="Q26" s="16"/>
      <c r="R26" s="16"/>
      <c r="S26" s="16"/>
      <c r="T26" s="16"/>
      <c r="U26" s="16"/>
      <c r="V26" s="16"/>
      <c r="W26" s="16"/>
      <c r="X26" s="16"/>
    </row>
  </sheetData>
  <mergeCells count="5">
    <mergeCell ref="I4:M4"/>
    <mergeCell ref="D4:H4"/>
    <mergeCell ref="B2:M2"/>
    <mergeCell ref="O4:S4"/>
    <mergeCell ref="T4:X4"/>
  </mergeCells>
  <conditionalFormatting sqref="H6:H23">
    <cfRule type="cellIs" dxfId="229" priority="125" operator="equal">
      <formula>"IRRILEVANTE (1)"</formula>
    </cfRule>
    <cfRule type="cellIs" dxfId="228" priority="126" operator="equal">
      <formula>"BASSO (2)"</formula>
    </cfRule>
    <cfRule type="cellIs" dxfId="227" priority="127" operator="equal">
      <formula>"GRAVE (3)"</formula>
    </cfRule>
    <cfRule type="cellIs" dxfId="226" priority="128" operator="equal">
      <formula>"GRAVISSIMO (4)"</formula>
    </cfRule>
  </conditionalFormatting>
  <conditionalFormatting sqref="D6:G23">
    <cfRule type="cellIs" dxfId="225" priority="36" operator="equal">
      <formula>"Estremo"</formula>
    </cfRule>
    <cfRule type="cellIs" dxfId="224" priority="37" operator="equal">
      <formula>"Trascurabile"</formula>
    </cfRule>
    <cfRule type="cellIs" dxfId="223" priority="38" operator="equal">
      <formula>"Contenuto"</formula>
    </cfRule>
    <cfRule type="cellIs" dxfId="222" priority="39" operator="equal">
      <formula>"Significativo"</formula>
    </cfRule>
    <cfRule type="cellIs" dxfId="221" priority="40" operator="equal">
      <formula>"Alto"</formula>
    </cfRule>
  </conditionalFormatting>
  <conditionalFormatting sqref="I14:L14 L11:L13">
    <cfRule type="cellIs" dxfId="220" priority="31" operator="equal">
      <formula>"Estremo"</formula>
    </cfRule>
    <cfRule type="cellIs" dxfId="219" priority="32" operator="equal">
      <formula>"Trascurabile"</formula>
    </cfRule>
    <cfRule type="cellIs" dxfId="218" priority="33" operator="equal">
      <formula>"Contenuto"</formula>
    </cfRule>
    <cfRule type="cellIs" dxfId="217" priority="34" operator="equal">
      <formula>"Significativo"</formula>
    </cfRule>
    <cfRule type="cellIs" dxfId="216" priority="35" operator="equal">
      <formula>"Alto"</formula>
    </cfRule>
  </conditionalFormatting>
  <conditionalFormatting sqref="I6 K6:L6">
    <cfRule type="cellIs" dxfId="215" priority="26" operator="equal">
      <formula>"Estremo"</formula>
    </cfRule>
    <cfRule type="cellIs" dxfId="214" priority="27" operator="equal">
      <formula>"Trascurabile"</formula>
    </cfRule>
    <cfRule type="cellIs" dxfId="213" priority="28" operator="equal">
      <formula>"Contenuto"</formula>
    </cfRule>
    <cfRule type="cellIs" dxfId="212" priority="29" operator="equal">
      <formula>"Significativo"</formula>
    </cfRule>
    <cfRule type="cellIs" dxfId="211" priority="30" operator="equal">
      <formula>"Alto"</formula>
    </cfRule>
  </conditionalFormatting>
  <conditionalFormatting sqref="I9:L10 I7:I8 K7:L8">
    <cfRule type="cellIs" dxfId="210" priority="21" operator="equal">
      <formula>"Estremo"</formula>
    </cfRule>
    <cfRule type="cellIs" dxfId="209" priority="22" operator="equal">
      <formula>"Trascurabile"</formula>
    </cfRule>
    <cfRule type="cellIs" dxfId="208" priority="23" operator="equal">
      <formula>"Contenuto"</formula>
    </cfRule>
    <cfRule type="cellIs" dxfId="207" priority="24" operator="equal">
      <formula>"Significativo"</formula>
    </cfRule>
    <cfRule type="cellIs" dxfId="206" priority="25" operator="equal">
      <formula>"Alto"</formula>
    </cfRule>
  </conditionalFormatting>
  <conditionalFormatting sqref="I11:K11">
    <cfRule type="cellIs" dxfId="205" priority="16" operator="equal">
      <formula>"Estremo"</formula>
    </cfRule>
    <cfRule type="cellIs" dxfId="204" priority="17" operator="equal">
      <formula>"Trascurabile"</formula>
    </cfRule>
    <cfRule type="cellIs" dxfId="203" priority="18" operator="equal">
      <formula>"Contenuto"</formula>
    </cfRule>
    <cfRule type="cellIs" dxfId="202" priority="19" operator="equal">
      <formula>"Significativo"</formula>
    </cfRule>
    <cfRule type="cellIs" dxfId="201" priority="20" operator="equal">
      <formula>"Alto"</formula>
    </cfRule>
  </conditionalFormatting>
  <conditionalFormatting sqref="I12:K12">
    <cfRule type="cellIs" dxfId="200" priority="11" operator="equal">
      <formula>"Estremo"</formula>
    </cfRule>
    <cfRule type="cellIs" dxfId="199" priority="12" operator="equal">
      <formula>"Trascurabile"</formula>
    </cfRule>
    <cfRule type="cellIs" dxfId="198" priority="13" operator="equal">
      <formula>"Contenuto"</formula>
    </cfRule>
    <cfRule type="cellIs" dxfId="197" priority="14" operator="equal">
      <formula>"Significativo"</formula>
    </cfRule>
    <cfRule type="cellIs" dxfId="196" priority="15" operator="equal">
      <formula>"Alto"</formula>
    </cfRule>
  </conditionalFormatting>
  <conditionalFormatting sqref="I13:K13">
    <cfRule type="cellIs" dxfId="195" priority="6" operator="equal">
      <formula>"Estremo"</formula>
    </cfRule>
    <cfRule type="cellIs" dxfId="194" priority="7" operator="equal">
      <formula>"Trascurabile"</formula>
    </cfRule>
    <cfRule type="cellIs" dxfId="193" priority="8" operator="equal">
      <formula>"Contenuto"</formula>
    </cfRule>
    <cfRule type="cellIs" dxfId="192" priority="9" operator="equal">
      <formula>"Significativo"</formula>
    </cfRule>
    <cfRule type="cellIs" dxfId="191" priority="10" operator="equal">
      <formula>"Alto"</formula>
    </cfRule>
  </conditionalFormatting>
  <conditionalFormatting sqref="J6:J8">
    <cfRule type="cellIs" dxfId="190" priority="1" operator="equal">
      <formula>"Estremo"</formula>
    </cfRule>
    <cfRule type="cellIs" dxfId="189" priority="2" operator="equal">
      <formula>"Trascurabile"</formula>
    </cfRule>
    <cfRule type="cellIs" dxfId="188" priority="3" operator="equal">
      <formula>"Contenuto"</formula>
    </cfRule>
    <cfRule type="cellIs" dxfId="187" priority="4" operator="equal">
      <formula>"Significativo"</formula>
    </cfRule>
    <cfRule type="cellIs" dxfId="186" priority="5" operator="equal">
      <formula>"Alto"</formula>
    </cfRule>
  </conditionalFormatting>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D532445-9724-4275-8F3A-25E7D903C3A4}">
          <x14:formula1>
            <xm:f>Parametri_BIA!$E$6:$E$10</xm:f>
          </x14:formula1>
          <xm:sqref>D6:G23 I6:L23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37A38-1511-4E79-B5C0-DD1C20D412AE}">
  <sheetPr codeName="Foglio5">
    <tabColor rgb="FF7030A0"/>
  </sheetPr>
  <dimension ref="A1:F15"/>
  <sheetViews>
    <sheetView workbookViewId="0">
      <selection sqref="A1:F15"/>
    </sheetView>
  </sheetViews>
  <sheetFormatPr defaultColWidth="0" defaultRowHeight="14.75" customHeight="1" zeroHeight="1" x14ac:dyDescent="0.35"/>
  <cols>
    <col min="1" max="6" width="8.6328125" customWidth="1"/>
    <col min="7" max="16384" width="8.6328125" hidden="1"/>
  </cols>
  <sheetData>
    <row r="1" spans="1:6" ht="14.5" x14ac:dyDescent="0.35">
      <c r="A1" s="459" t="s">
        <v>606</v>
      </c>
      <c r="B1" s="459"/>
      <c r="C1" s="459"/>
      <c r="D1" s="459"/>
      <c r="E1" s="459"/>
      <c r="F1" s="459"/>
    </row>
    <row r="2" spans="1:6" ht="14.5" x14ac:dyDescent="0.35">
      <c r="A2" s="459"/>
      <c r="B2" s="459"/>
      <c r="C2" s="459"/>
      <c r="D2" s="459"/>
      <c r="E2" s="459"/>
      <c r="F2" s="459"/>
    </row>
    <row r="3" spans="1:6" ht="14.5" x14ac:dyDescent="0.35">
      <c r="A3" s="459"/>
      <c r="B3" s="459"/>
      <c r="C3" s="459"/>
      <c r="D3" s="459"/>
      <c r="E3" s="459"/>
      <c r="F3" s="459"/>
    </row>
    <row r="4" spans="1:6" ht="14.5" x14ac:dyDescent="0.35">
      <c r="A4" s="459"/>
      <c r="B4" s="459"/>
      <c r="C4" s="459"/>
      <c r="D4" s="459"/>
      <c r="E4" s="459"/>
      <c r="F4" s="459"/>
    </row>
    <row r="5" spans="1:6" ht="14.5" x14ac:dyDescent="0.35">
      <c r="A5" s="459"/>
      <c r="B5" s="459"/>
      <c r="C5" s="459"/>
      <c r="D5" s="459"/>
      <c r="E5" s="459"/>
      <c r="F5" s="459"/>
    </row>
    <row r="6" spans="1:6" ht="14.5" x14ac:dyDescent="0.35">
      <c r="A6" s="459"/>
      <c r="B6" s="459"/>
      <c r="C6" s="459"/>
      <c r="D6" s="459"/>
      <c r="E6" s="459"/>
      <c r="F6" s="459"/>
    </row>
    <row r="7" spans="1:6" ht="14.5" x14ac:dyDescent="0.35">
      <c r="A7" s="459"/>
      <c r="B7" s="459"/>
      <c r="C7" s="459"/>
      <c r="D7" s="459"/>
      <c r="E7" s="459"/>
      <c r="F7" s="459"/>
    </row>
    <row r="8" spans="1:6" ht="14.5" x14ac:dyDescent="0.35">
      <c r="A8" s="459"/>
      <c r="B8" s="459"/>
      <c r="C8" s="459"/>
      <c r="D8" s="459"/>
      <c r="E8" s="459"/>
      <c r="F8" s="459"/>
    </row>
    <row r="9" spans="1:6" ht="14.5" x14ac:dyDescent="0.35">
      <c r="A9" s="459"/>
      <c r="B9" s="459"/>
      <c r="C9" s="459"/>
      <c r="D9" s="459"/>
      <c r="E9" s="459"/>
      <c r="F9" s="459"/>
    </row>
    <row r="10" spans="1:6" ht="14.5" x14ac:dyDescent="0.35">
      <c r="A10" s="459"/>
      <c r="B10" s="459"/>
      <c r="C10" s="459"/>
      <c r="D10" s="459"/>
      <c r="E10" s="459"/>
      <c r="F10" s="459"/>
    </row>
    <row r="11" spans="1:6" ht="14.5" x14ac:dyDescent="0.35">
      <c r="A11" s="459"/>
      <c r="B11" s="459"/>
      <c r="C11" s="459"/>
      <c r="D11" s="459"/>
      <c r="E11" s="459"/>
      <c r="F11" s="459"/>
    </row>
    <row r="12" spans="1:6" ht="14.5" x14ac:dyDescent="0.35">
      <c r="A12" s="459"/>
      <c r="B12" s="459"/>
      <c r="C12" s="459"/>
      <c r="D12" s="459"/>
      <c r="E12" s="459"/>
      <c r="F12" s="459"/>
    </row>
    <row r="13" spans="1:6" ht="14.5" x14ac:dyDescent="0.35">
      <c r="A13" s="459"/>
      <c r="B13" s="459"/>
      <c r="C13" s="459"/>
      <c r="D13" s="459"/>
      <c r="E13" s="459"/>
      <c r="F13" s="459"/>
    </row>
    <row r="14" spans="1:6" ht="14.5" x14ac:dyDescent="0.35">
      <c r="A14" s="459"/>
      <c r="B14" s="459"/>
      <c r="C14" s="459"/>
      <c r="D14" s="459"/>
      <c r="E14" s="459"/>
      <c r="F14" s="459"/>
    </row>
    <row r="15" spans="1:6" ht="14.5" x14ac:dyDescent="0.35">
      <c r="A15" s="459"/>
      <c r="B15" s="459"/>
      <c r="C15" s="459"/>
      <c r="D15" s="459"/>
      <c r="E15" s="459"/>
      <c r="F15" s="459"/>
    </row>
  </sheetData>
  <mergeCells count="1">
    <mergeCell ref="A1:F15"/>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680FF-E447-44BD-8929-42ECFE4D96E6}">
  <sheetPr codeName="Foglio23">
    <tabColor rgb="FFC39BE1"/>
  </sheetPr>
  <dimension ref="A1:DJ140"/>
  <sheetViews>
    <sheetView showGridLines="0" zoomScale="60" zoomScaleNormal="60" workbookViewId="0">
      <pane xSplit="5" ySplit="5" topLeftCell="BG109" activePane="bottomRight" state="frozen"/>
      <selection pane="topRight" activeCell="B4" sqref="B4"/>
      <selection pane="bottomLeft" activeCell="B4" sqref="B4"/>
      <selection pane="bottomRight" activeCell="BJ110" sqref="BJ110"/>
    </sheetView>
  </sheetViews>
  <sheetFormatPr defaultColWidth="8.6328125" defaultRowHeight="17" outlineLevelCol="1" x14ac:dyDescent="0.35"/>
  <cols>
    <col min="1" max="1" width="7.453125" style="24" customWidth="1"/>
    <col min="2" max="2" width="18.6328125" style="24" bestFit="1" customWidth="1"/>
    <col min="3" max="3" width="18.54296875" style="24" customWidth="1"/>
    <col min="4" max="4" width="33.453125" style="24" customWidth="1"/>
    <col min="5" max="5" width="57.453125" style="24" customWidth="1"/>
    <col min="6" max="6" width="37.54296875" style="24" customWidth="1"/>
    <col min="7" max="7" width="30.36328125" style="36" customWidth="1" outlineLevel="1"/>
    <col min="8" max="8" width="26.36328125" style="36" customWidth="1" outlineLevel="1"/>
    <col min="9" max="30" width="6.36328125" style="26" customWidth="1" outlineLevel="1"/>
    <col min="31" max="34" width="5.6328125" style="24" customWidth="1" outlineLevel="1"/>
    <col min="35" max="36" width="7.36328125" style="24" customWidth="1" outlineLevel="1"/>
    <col min="37" max="57" width="5.6328125" style="24" customWidth="1" outlineLevel="1"/>
    <col min="58" max="58" width="14.36328125" style="26" customWidth="1" outlineLevel="1"/>
    <col min="59" max="59" width="46.36328125" style="24" customWidth="1"/>
    <col min="60" max="60" width="26.6328125" style="24" customWidth="1"/>
    <col min="61" max="61" width="19.453125" style="24" customWidth="1"/>
    <col min="62" max="62" width="33.36328125" style="24" customWidth="1"/>
    <col min="63" max="63" width="53" style="24" customWidth="1"/>
    <col min="64" max="66" width="38.36328125" style="24" customWidth="1"/>
    <col min="67" max="67" width="19.54296875" style="23" customWidth="1"/>
    <col min="68" max="68" width="16.6328125" style="21" customWidth="1"/>
    <col min="69" max="69" width="8.6328125" style="21"/>
    <col min="70" max="84" width="7.36328125" style="385" bestFit="1" customWidth="1"/>
    <col min="85" max="85" width="7.6328125" style="385" bestFit="1" customWidth="1"/>
    <col min="86" max="87" width="4.453125" style="385" bestFit="1" customWidth="1"/>
    <col min="88" max="88" width="14" style="385" bestFit="1" customWidth="1"/>
    <col min="89" max="89" width="10.6328125" style="385" bestFit="1" customWidth="1"/>
    <col min="90" max="90" width="7.6328125" style="385" bestFit="1" customWidth="1"/>
    <col min="91" max="91" width="10.6328125" style="385" bestFit="1" customWidth="1"/>
    <col min="92" max="99" width="7.36328125" style="385" bestFit="1" customWidth="1"/>
    <col min="100" max="106" width="7.36328125" style="21" bestFit="1" customWidth="1"/>
    <col min="107" max="107" width="7.6328125" style="21" bestFit="1" customWidth="1"/>
    <col min="108" max="109" width="4.453125" style="21" bestFit="1" customWidth="1"/>
    <col min="110" max="110" width="14" style="21" bestFit="1" customWidth="1"/>
    <col min="111" max="111" width="10.6328125" style="21" bestFit="1" customWidth="1"/>
    <col min="112" max="112" width="7.6328125" style="21" bestFit="1" customWidth="1"/>
    <col min="113" max="113" width="10.6328125" style="21" bestFit="1" customWidth="1"/>
    <col min="114" max="114" width="8.6328125" style="21"/>
    <col min="115" max="16384" width="8.6328125" style="24"/>
  </cols>
  <sheetData>
    <row r="1" spans="1:114" ht="34.4" customHeight="1" x14ac:dyDescent="0.35"/>
    <row r="2" spans="1:114" x14ac:dyDescent="0.35">
      <c r="B2" s="184" t="s">
        <v>607</v>
      </c>
      <c r="C2" s="184"/>
      <c r="D2" s="184"/>
      <c r="E2" s="184"/>
      <c r="F2" s="184"/>
      <c r="G2" s="323"/>
      <c r="H2" s="323"/>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323"/>
      <c r="BM2" s="323"/>
      <c r="BN2" s="323"/>
      <c r="BO2" s="327"/>
    </row>
    <row r="3" spans="1:114" s="19" customFormat="1" ht="24" customHeight="1" x14ac:dyDescent="0.45">
      <c r="C3" s="20"/>
      <c r="F3" s="21"/>
      <c r="G3" s="354"/>
      <c r="H3" s="354"/>
      <c r="I3" s="22"/>
      <c r="J3" s="22"/>
      <c r="K3" s="22"/>
      <c r="L3" s="22"/>
      <c r="M3" s="22"/>
      <c r="N3" s="22"/>
      <c r="O3" s="22"/>
      <c r="P3" s="22"/>
      <c r="Q3" s="22"/>
      <c r="R3" s="22"/>
      <c r="S3" s="22"/>
      <c r="T3" s="22"/>
      <c r="U3" s="22"/>
      <c r="V3" s="22"/>
      <c r="W3" s="22"/>
      <c r="X3" s="22"/>
      <c r="Y3" s="22"/>
      <c r="Z3" s="22"/>
      <c r="AA3" s="22"/>
      <c r="AB3" s="22"/>
      <c r="AC3" s="22"/>
      <c r="AD3" s="22"/>
      <c r="AE3" s="332">
        <f>VLOOKUP(AE5,'Engagement Scope'!$C:$E,3,FALSE)</f>
        <v>0</v>
      </c>
      <c r="AF3" s="332">
        <f>VLOOKUP(AF5,'Engagement Scope'!$C:$E,3,FALSE)</f>
        <v>0</v>
      </c>
      <c r="AG3" s="332">
        <f>VLOOKUP(AG5,'Engagement Scope'!$C:$E,3,FALSE)</f>
        <v>0</v>
      </c>
      <c r="AH3" s="332">
        <f>VLOOKUP(AH5,'Engagement Scope'!$C:$E,3,FALSE)</f>
        <v>0</v>
      </c>
      <c r="AI3" s="332">
        <f>VLOOKUP(AI5,'Engagement Scope'!$C:$E,3,FALSE)</f>
        <v>0</v>
      </c>
      <c r="AJ3" s="332">
        <f>VLOOKUP(AJ5,'Engagement Scope'!$C:$E,3,FALSE)</f>
        <v>0</v>
      </c>
      <c r="AK3" s="332">
        <f>VLOOKUP(AK5,'Engagement Scope'!$C:$E,3,FALSE)</f>
        <v>0</v>
      </c>
      <c r="AL3" s="332">
        <f>VLOOKUP(AL5,'Engagement Scope'!$C:$E,3,FALSE)</f>
        <v>0</v>
      </c>
      <c r="AM3" s="332">
        <f>VLOOKUP(AM5,'Engagement Scope'!$C:$E,3,FALSE)</f>
        <v>0</v>
      </c>
      <c r="AN3" s="332">
        <f>VLOOKUP(AN5,'Engagement Scope'!$C:$E,3,FALSE)</f>
        <v>0</v>
      </c>
      <c r="AO3" s="332">
        <f>VLOOKUP(AO5,'Engagement Scope'!$C:$E,3,FALSE)</f>
        <v>0</v>
      </c>
      <c r="AP3" s="332">
        <f>VLOOKUP(AP5,'Engagement Scope'!$C:$E,3,FALSE)</f>
        <v>0</v>
      </c>
      <c r="AQ3" s="332">
        <f>VLOOKUP(AQ5,'Engagement Scope'!$C:$E,3,FALSE)</f>
        <v>0</v>
      </c>
      <c r="AR3" s="332">
        <f>VLOOKUP(AR5,'Engagement Scope'!$C:$E,3,FALSE)</f>
        <v>0</v>
      </c>
      <c r="AS3" s="332">
        <f>VLOOKUP(AS5,'Engagement Scope'!$C:$E,3,FALSE)</f>
        <v>0</v>
      </c>
      <c r="AT3" s="332">
        <f>VLOOKUP(AT5,'Engagement Scope'!$C:$E,3,FALSE)</f>
        <v>0</v>
      </c>
      <c r="AU3" s="332">
        <f>VLOOKUP(AU5,'Engagement Scope'!$C:$E,3,FALSE)</f>
        <v>0</v>
      </c>
      <c r="AV3" s="332">
        <f>VLOOKUP(AV5,'Engagement Scope'!$C:$E,3,FALSE)</f>
        <v>0</v>
      </c>
      <c r="AW3" s="332">
        <f>VLOOKUP(AW5,'Engagement Scope'!$C:$E,3,FALSE)</f>
        <v>0</v>
      </c>
      <c r="AX3" s="332">
        <f>VLOOKUP(AX5,'Engagement Scope'!$C:$E,3,FALSE)</f>
        <v>0</v>
      </c>
      <c r="AY3" s="332">
        <f>VLOOKUP(AY5,'Engagement Scope'!$C:$E,3,FALSE)</f>
        <v>0</v>
      </c>
      <c r="AZ3" s="332">
        <f>VLOOKUP(AZ5,'Engagement Scope'!$C:$E,3,FALSE)</f>
        <v>0</v>
      </c>
      <c r="BA3" s="332">
        <f>VLOOKUP(BA5,'Engagement Scope'!$C:$E,3,FALSE)</f>
        <v>0</v>
      </c>
      <c r="BB3" s="332">
        <f>VLOOKUP(BB5,'Engagement Scope'!$C:$E,3,FALSE)</f>
        <v>0</v>
      </c>
      <c r="BC3" s="332">
        <f>VLOOKUP(BC5,'Engagement Scope'!$C:$E,3,FALSE)</f>
        <v>0</v>
      </c>
      <c r="BD3" s="332">
        <f>VLOOKUP(BD5,'Engagement Scope'!$C:$E,3,FALSE)</f>
        <v>0</v>
      </c>
      <c r="BE3" s="332">
        <f>VLOOKUP(BE5,'Engagement Scope'!$C:$E,3,FALSE)</f>
        <v>0</v>
      </c>
      <c r="BF3" s="22"/>
      <c r="BO3" s="23"/>
      <c r="BP3" s="21"/>
      <c r="BQ3" s="21"/>
      <c r="BR3" s="385"/>
      <c r="BS3" s="385"/>
      <c r="BT3" s="385"/>
      <c r="BU3" s="385"/>
      <c r="BV3" s="385"/>
      <c r="BW3" s="385"/>
      <c r="BX3" s="385"/>
      <c r="BY3" s="385"/>
      <c r="BZ3" s="385"/>
      <c r="CA3" s="385"/>
      <c r="CB3" s="385"/>
      <c r="CC3" s="385"/>
      <c r="CD3" s="385"/>
      <c r="CE3" s="385"/>
      <c r="CF3" s="385"/>
      <c r="CG3" s="385"/>
      <c r="CH3" s="385"/>
      <c r="CI3" s="385"/>
      <c r="CJ3" s="385"/>
      <c r="CK3" s="385"/>
      <c r="CL3" s="385"/>
      <c r="CM3" s="385"/>
      <c r="CN3" s="385"/>
      <c r="CO3" s="385"/>
      <c r="CP3" s="385"/>
      <c r="CQ3" s="385"/>
      <c r="CR3" s="385"/>
      <c r="CS3" s="385"/>
      <c r="CT3" s="385"/>
      <c r="CU3" s="385"/>
      <c r="CV3" s="21"/>
      <c r="CW3" s="21"/>
      <c r="CX3" s="21"/>
      <c r="CY3" s="21"/>
      <c r="CZ3" s="21"/>
      <c r="DA3" s="21"/>
      <c r="DB3" s="21"/>
      <c r="DC3" s="21"/>
      <c r="DD3" s="21"/>
      <c r="DE3" s="21"/>
      <c r="DF3" s="21"/>
      <c r="DG3" s="21"/>
      <c r="DH3" s="21"/>
      <c r="DI3" s="21"/>
      <c r="DJ3" s="21"/>
    </row>
    <row r="4" spans="1:114" ht="14.75" customHeight="1" x14ac:dyDescent="0.35">
      <c r="B4" s="463" t="s">
        <v>608</v>
      </c>
      <c r="C4" s="463"/>
      <c r="D4" s="463"/>
      <c r="E4" s="463"/>
      <c r="F4" s="463"/>
      <c r="G4" s="462" t="s">
        <v>609</v>
      </c>
      <c r="H4" s="462"/>
      <c r="I4" s="461" t="s">
        <v>610</v>
      </c>
      <c r="J4" s="461"/>
      <c r="K4" s="461"/>
      <c r="L4" s="461"/>
      <c r="M4" s="461"/>
      <c r="N4" s="461"/>
      <c r="O4" s="461"/>
      <c r="P4" s="461"/>
      <c r="Q4" s="461"/>
      <c r="R4" s="461"/>
      <c r="S4" s="461"/>
      <c r="T4" s="461"/>
      <c r="U4" s="461"/>
      <c r="V4" s="461"/>
      <c r="W4" s="461"/>
      <c r="X4" s="461"/>
      <c r="Y4" s="461"/>
      <c r="Z4" s="461"/>
      <c r="AA4" s="461"/>
      <c r="AB4" s="461"/>
      <c r="AC4" s="461"/>
      <c r="AD4" s="461"/>
      <c r="AE4" s="465" t="s">
        <v>611</v>
      </c>
      <c r="AF4" s="465"/>
      <c r="AG4" s="465"/>
      <c r="AH4" s="465"/>
      <c r="AI4" s="465"/>
      <c r="AJ4" s="465"/>
      <c r="AK4" s="465"/>
      <c r="AL4" s="465"/>
      <c r="AM4" s="465"/>
      <c r="AN4" s="465"/>
      <c r="AO4" s="465"/>
      <c r="AP4" s="465"/>
      <c r="AQ4" s="465"/>
      <c r="AR4" s="465"/>
      <c r="AS4" s="465"/>
      <c r="AT4" s="465"/>
      <c r="AU4" s="465"/>
      <c r="AV4" s="465"/>
      <c r="AW4" s="465"/>
      <c r="AX4" s="465"/>
      <c r="AY4" s="465"/>
      <c r="AZ4" s="465"/>
      <c r="BA4" s="465"/>
      <c r="BB4" s="465"/>
      <c r="BC4" s="465"/>
      <c r="BD4" s="465"/>
      <c r="BE4" s="25"/>
      <c r="BG4" s="464" t="s">
        <v>612</v>
      </c>
      <c r="BH4" s="464"/>
      <c r="BI4" s="464"/>
      <c r="BJ4" s="464"/>
      <c r="BK4" s="464"/>
      <c r="BL4" s="460" t="s">
        <v>613</v>
      </c>
      <c r="BM4" s="460"/>
      <c r="BN4" s="460"/>
      <c r="BO4" s="328"/>
      <c r="BR4" s="386" t="s">
        <v>614</v>
      </c>
      <c r="BS4" s="386"/>
      <c r="BT4" s="386"/>
      <c r="BU4" s="386"/>
      <c r="BV4" s="386"/>
      <c r="BW4" s="386"/>
      <c r="BX4" s="386"/>
      <c r="BY4" s="386"/>
      <c r="BZ4" s="386"/>
      <c r="CA4" s="386"/>
      <c r="CB4" s="386"/>
      <c r="CC4" s="386"/>
      <c r="CD4" s="386"/>
      <c r="CE4" s="386"/>
      <c r="CF4" s="386"/>
      <c r="CG4" s="386"/>
      <c r="CH4" s="386"/>
      <c r="CI4" s="386"/>
      <c r="CJ4" s="386"/>
      <c r="CK4" s="386"/>
      <c r="CL4" s="386"/>
      <c r="CM4" s="386"/>
      <c r="CN4" s="387" t="s">
        <v>615</v>
      </c>
      <c r="CO4" s="387"/>
      <c r="CP4" s="387"/>
      <c r="CQ4" s="387"/>
      <c r="CR4" s="387"/>
      <c r="CS4" s="387"/>
      <c r="CT4" s="387"/>
      <c r="CU4" s="387"/>
      <c r="CV4" s="387"/>
      <c r="CW4" s="387"/>
      <c r="CX4" s="387"/>
      <c r="CY4" s="387"/>
      <c r="CZ4" s="387"/>
      <c r="DA4" s="387"/>
      <c r="DB4" s="387"/>
      <c r="DC4" s="387"/>
      <c r="DD4" s="387"/>
      <c r="DE4" s="387"/>
      <c r="DF4" s="387"/>
      <c r="DG4" s="387"/>
      <c r="DH4" s="387"/>
      <c r="DI4" s="387"/>
    </row>
    <row r="5" spans="1:114" ht="150.65" customHeight="1" x14ac:dyDescent="0.35">
      <c r="B5" s="356" t="s">
        <v>116</v>
      </c>
      <c r="C5" s="337" t="s">
        <v>616</v>
      </c>
      <c r="D5" s="356" t="s">
        <v>617</v>
      </c>
      <c r="E5" s="356" t="s">
        <v>618</v>
      </c>
      <c r="F5" s="286" t="s">
        <v>619</v>
      </c>
      <c r="G5" s="356" t="s">
        <v>614</v>
      </c>
      <c r="H5" s="355" t="s">
        <v>615</v>
      </c>
      <c r="I5" s="333" t="s">
        <v>620</v>
      </c>
      <c r="J5" s="333" t="s">
        <v>621</v>
      </c>
      <c r="K5" s="333" t="s">
        <v>622</v>
      </c>
      <c r="L5" s="333" t="s">
        <v>623</v>
      </c>
      <c r="M5" s="333" t="s">
        <v>624</v>
      </c>
      <c r="N5" s="333" t="s">
        <v>625</v>
      </c>
      <c r="O5" s="333" t="s">
        <v>626</v>
      </c>
      <c r="P5" s="333" t="s">
        <v>627</v>
      </c>
      <c r="Q5" s="333" t="s">
        <v>628</v>
      </c>
      <c r="R5" s="333" t="s">
        <v>629</v>
      </c>
      <c r="S5" s="333" t="s">
        <v>630</v>
      </c>
      <c r="T5" s="333" t="s">
        <v>631</v>
      </c>
      <c r="U5" s="334" t="s">
        <v>632</v>
      </c>
      <c r="V5" s="334" t="s">
        <v>633</v>
      </c>
      <c r="W5" s="334" t="s">
        <v>634</v>
      </c>
      <c r="X5" s="335" t="s">
        <v>635</v>
      </c>
      <c r="Y5" s="335" t="s">
        <v>636</v>
      </c>
      <c r="Z5" s="335" t="s">
        <v>637</v>
      </c>
      <c r="AA5" s="335" t="s">
        <v>638</v>
      </c>
      <c r="AB5" s="335" t="s">
        <v>639</v>
      </c>
      <c r="AC5" s="335" t="s">
        <v>640</v>
      </c>
      <c r="AD5" s="335" t="s">
        <v>641</v>
      </c>
      <c r="AE5" s="220" t="s">
        <v>388</v>
      </c>
      <c r="AF5" s="220" t="s">
        <v>390</v>
      </c>
      <c r="AG5" s="220" t="s">
        <v>392</v>
      </c>
      <c r="AH5" s="220" t="s">
        <v>394</v>
      </c>
      <c r="AI5" s="221" t="s">
        <v>396</v>
      </c>
      <c r="AJ5" s="221" t="s">
        <v>398</v>
      </c>
      <c r="AK5" s="221" t="s">
        <v>400</v>
      </c>
      <c r="AL5" s="221" t="s">
        <v>404</v>
      </c>
      <c r="AM5" s="221" t="s">
        <v>402</v>
      </c>
      <c r="AN5" s="221" t="s">
        <v>406</v>
      </c>
      <c r="AO5" s="221" t="s">
        <v>408</v>
      </c>
      <c r="AP5" s="221" t="s">
        <v>410</v>
      </c>
      <c r="AQ5" s="221" t="s">
        <v>412</v>
      </c>
      <c r="AR5" s="221" t="s">
        <v>414</v>
      </c>
      <c r="AS5" s="221" t="s">
        <v>418</v>
      </c>
      <c r="AT5" s="221" t="s">
        <v>420</v>
      </c>
      <c r="AU5" s="221" t="s">
        <v>422</v>
      </c>
      <c r="AV5" s="221" t="s">
        <v>424</v>
      </c>
      <c r="AW5" s="221" t="s">
        <v>426</v>
      </c>
      <c r="AX5" s="221" t="s">
        <v>428</v>
      </c>
      <c r="AY5" s="221" t="s">
        <v>430</v>
      </c>
      <c r="AZ5" s="221" t="s">
        <v>432</v>
      </c>
      <c r="BA5" s="221" t="s">
        <v>434</v>
      </c>
      <c r="BB5" s="221" t="s">
        <v>436</v>
      </c>
      <c r="BC5" s="221" t="s">
        <v>438</v>
      </c>
      <c r="BD5" s="221" t="s">
        <v>440</v>
      </c>
      <c r="BE5" s="221" t="s">
        <v>442</v>
      </c>
      <c r="BF5" s="222" t="s">
        <v>642</v>
      </c>
      <c r="BG5" s="223" t="s">
        <v>643</v>
      </c>
      <c r="BH5" s="223" t="s">
        <v>644</v>
      </c>
      <c r="BI5" s="223" t="s">
        <v>376</v>
      </c>
      <c r="BJ5" s="223" t="s">
        <v>378</v>
      </c>
      <c r="BK5" s="224" t="s">
        <v>73</v>
      </c>
      <c r="BL5" s="326" t="s">
        <v>645</v>
      </c>
      <c r="BM5" s="326" t="s">
        <v>646</v>
      </c>
      <c r="BN5" s="326" t="s">
        <v>647</v>
      </c>
      <c r="BO5" s="329"/>
      <c r="BP5" s="388" t="s">
        <v>648</v>
      </c>
      <c r="BQ5" s="388" t="s">
        <v>649</v>
      </c>
      <c r="BR5" s="389" t="s">
        <v>620</v>
      </c>
      <c r="BS5" s="389" t="s">
        <v>621</v>
      </c>
      <c r="BT5" s="389" t="s">
        <v>622</v>
      </c>
      <c r="BU5" s="389" t="s">
        <v>623</v>
      </c>
      <c r="BV5" s="389" t="s">
        <v>624</v>
      </c>
      <c r="BW5" s="389" t="s">
        <v>625</v>
      </c>
      <c r="BX5" s="389" t="s">
        <v>626</v>
      </c>
      <c r="BY5" s="389" t="s">
        <v>627</v>
      </c>
      <c r="BZ5" s="389" t="s">
        <v>628</v>
      </c>
      <c r="CA5" s="389" t="s">
        <v>629</v>
      </c>
      <c r="CB5" s="389" t="s">
        <v>630</v>
      </c>
      <c r="CC5" s="389" t="s">
        <v>631</v>
      </c>
      <c r="CD5" s="389" t="s">
        <v>632</v>
      </c>
      <c r="CE5" s="389" t="s">
        <v>633</v>
      </c>
      <c r="CF5" s="389" t="s">
        <v>634</v>
      </c>
      <c r="CG5" s="390" t="s">
        <v>635</v>
      </c>
      <c r="CH5" s="390" t="s">
        <v>636</v>
      </c>
      <c r="CI5" s="390" t="s">
        <v>637</v>
      </c>
      <c r="CJ5" s="390" t="s">
        <v>638</v>
      </c>
      <c r="CK5" s="390" t="s">
        <v>639</v>
      </c>
      <c r="CL5" s="390" t="s">
        <v>640</v>
      </c>
      <c r="CM5" s="390" t="s">
        <v>641</v>
      </c>
      <c r="CN5" s="389" t="s">
        <v>620</v>
      </c>
      <c r="CO5" s="389" t="s">
        <v>621</v>
      </c>
      <c r="CP5" s="389" t="s">
        <v>622</v>
      </c>
      <c r="CQ5" s="389" t="s">
        <v>623</v>
      </c>
      <c r="CR5" s="389" t="s">
        <v>624</v>
      </c>
      <c r="CS5" s="389" t="s">
        <v>625</v>
      </c>
      <c r="CT5" s="389" t="s">
        <v>626</v>
      </c>
      <c r="CU5" s="389" t="s">
        <v>627</v>
      </c>
      <c r="CV5" s="389" t="s">
        <v>628</v>
      </c>
      <c r="CW5" s="389" t="s">
        <v>629</v>
      </c>
      <c r="CX5" s="389" t="s">
        <v>630</v>
      </c>
      <c r="CY5" s="389" t="s">
        <v>631</v>
      </c>
      <c r="CZ5" s="389" t="s">
        <v>632</v>
      </c>
      <c r="DA5" s="389" t="s">
        <v>633</v>
      </c>
      <c r="DB5" s="389" t="s">
        <v>634</v>
      </c>
      <c r="DC5" s="390" t="s">
        <v>635</v>
      </c>
      <c r="DD5" s="390" t="s">
        <v>636</v>
      </c>
      <c r="DE5" s="390" t="s">
        <v>637</v>
      </c>
      <c r="DF5" s="390" t="s">
        <v>638</v>
      </c>
      <c r="DG5" s="390" t="s">
        <v>639</v>
      </c>
      <c r="DH5" s="390" t="s">
        <v>640</v>
      </c>
      <c r="DI5" s="390" t="s">
        <v>641</v>
      </c>
    </row>
    <row r="6" spans="1:114" ht="85" x14ac:dyDescent="0.35">
      <c r="A6" s="21" t="s">
        <v>650</v>
      </c>
      <c r="B6" s="391">
        <f>'Appoggio_BIA Servizio'!$B$5</f>
        <v>0</v>
      </c>
      <c r="C6" s="392" t="s">
        <v>651</v>
      </c>
      <c r="D6" s="392" t="s">
        <v>652</v>
      </c>
      <c r="E6" s="393" t="s">
        <v>653</v>
      </c>
      <c r="F6" s="240" t="s">
        <v>654</v>
      </c>
      <c r="G6" s="240" t="s">
        <v>655</v>
      </c>
      <c r="H6" s="240"/>
      <c r="I6" s="240">
        <v>1</v>
      </c>
      <c r="J6" s="240">
        <v>1</v>
      </c>
      <c r="K6" s="240"/>
      <c r="L6" s="394"/>
      <c r="M6" s="240"/>
      <c r="N6" s="240">
        <v>1</v>
      </c>
      <c r="O6" s="394"/>
      <c r="P6" s="394">
        <v>0.7</v>
      </c>
      <c r="Q6" s="240"/>
      <c r="R6" s="394"/>
      <c r="S6" s="394"/>
      <c r="T6" s="394">
        <v>1</v>
      </c>
      <c r="U6" s="394">
        <v>1</v>
      </c>
      <c r="V6" s="394">
        <v>1</v>
      </c>
      <c r="W6" s="394"/>
      <c r="X6" s="394"/>
      <c r="Y6" s="394"/>
      <c r="Z6" s="394"/>
      <c r="AA6" s="394"/>
      <c r="AB6" s="240"/>
      <c r="AC6" s="394"/>
      <c r="AD6" s="394"/>
      <c r="AE6" s="395"/>
      <c r="AF6" s="395"/>
      <c r="AG6" s="395"/>
      <c r="AH6" s="395"/>
      <c r="AI6" s="395"/>
      <c r="AJ6" s="395"/>
      <c r="AK6" s="395"/>
      <c r="AL6" s="395"/>
      <c r="AM6" s="395"/>
      <c r="AN6" s="395"/>
      <c r="AO6" s="395"/>
      <c r="AP6" s="395"/>
      <c r="AQ6" s="395"/>
      <c r="AR6" s="395"/>
      <c r="AS6" s="395"/>
      <c r="AT6" s="395">
        <v>1</v>
      </c>
      <c r="AU6" s="395"/>
      <c r="AV6" s="395"/>
      <c r="AW6" s="395"/>
      <c r="AX6" s="395"/>
      <c r="AY6" s="395"/>
      <c r="AZ6" s="395"/>
      <c r="BA6" s="395"/>
      <c r="BB6" s="395"/>
      <c r="BC6" s="395"/>
      <c r="BD6" s="395"/>
      <c r="BE6" s="395"/>
      <c r="BF6" s="225">
        <f t="shared" ref="BF6:BF37" si="0">SUM(IF(AE$3="Sì",AE6,0),IF(AF$3="Sì",AF6,0),IF(AG$3="Sì",AG6,0),IF(AH$3="Sì",AH6,0),IF(AI$3="Sì",AI6,0),IF(AJ$3="Sì",AJ6,0),IF(AK$3="Sì",AK6,0),IF(AL$3="Sì",AL6,0),IF(AM$3="Sì",AM6,0),IF(AN$3="Sì",AN6,0),IF(AO$3="Sì",AO6,0),IF(AP$3="Sì",AP6,0),IF(AQ$3="Sì",AQ6,0),IF(AR$3="Sì",AR6,0),IF(AS$3="Sì",AS6,0),IF(AT$3="Sì",AT6,0),IF(AU$3="Sì",AU6,0),IF(AV$3="Sì",AV6,0),IF(AW$3="Sì",AW6,0),IF(AX$3="Sì",AX6,0),IF(AY$3="Sì",AY6,0),IF(AZ$3="Sì",AZ6,0),IF(BA$3="Sì",BA6,0),IF(BB$3="Sì",BB6,0),IF(BC$3="Sì",BC6,0),IF(BD$3="Sì",BD6,0),IF(BE$3="Sì",BE6,0))</f>
        <v>0</v>
      </c>
      <c r="BG6" s="226" t="str">
        <f t="shared" ref="BG6:BG37" si="1">IF(BF6&gt;=1,"Applicabile","Non Applicabile")</f>
        <v>Non Applicabile</v>
      </c>
      <c r="BH6" s="226" t="s">
        <v>656</v>
      </c>
      <c r="BI6" s="226"/>
      <c r="BJ6" s="229"/>
      <c r="BK6" s="227"/>
      <c r="BL6" s="324" t="s">
        <v>657</v>
      </c>
      <c r="BM6" s="324" t="s">
        <v>658</v>
      </c>
      <c r="BN6" s="324" t="s">
        <v>659</v>
      </c>
      <c r="BO6" s="330"/>
      <c r="BP6" s="385" t="str">
        <f>IF(G6="X",
   IF(BG6="Applicabile",
      IF(BJ6&lt;&gt;"",
         _xlfn.XLOOKUP($BJ6,Parametri_RA!$B:$B,Parametri_RA!$D:$D,0),
         0),
      ""),
   "")</f>
        <v/>
      </c>
      <c r="BQ6" s="385" t="str">
        <f>IF(H6="X",
   IF(BG6="Applicabile",
      IF(BJ6&lt;&gt;"",
         _xlfn.XLOOKUP($BJ6,Parametri_RA!$B:$B,Parametri_RA!$D:$D,0),
         0),
      ""),
   "")</f>
        <v/>
      </c>
      <c r="BR6" s="385" t="str">
        <f t="shared" ref="BR6" si="2">IF($BP6&lt;&gt;"",IF(I6&lt;&gt;"",$BP6*I6,""),"")</f>
        <v/>
      </c>
      <c r="BS6" s="385" t="str">
        <f t="shared" ref="BS6" si="3">IF($BP6&lt;&gt;"",IF(J6&lt;&gt;"",$BP6*J6,""),"")</f>
        <v/>
      </c>
      <c r="BT6" s="385" t="str">
        <f t="shared" ref="BT6" si="4">IF($BP6&lt;&gt;"",IF(K6&lt;&gt;"",$BP6*K6,""),"")</f>
        <v/>
      </c>
      <c r="BU6" s="385" t="str">
        <f t="shared" ref="BU6" si="5">IF($BP6&lt;&gt;"",IF(L6&lt;&gt;"",$BP6*L6,""),"")</f>
        <v/>
      </c>
      <c r="BV6" s="385" t="str">
        <f t="shared" ref="BV6" si="6">IF($BP6&lt;&gt;"",IF(M6&lt;&gt;"",$BP6*M6,""),"")</f>
        <v/>
      </c>
      <c r="BW6" s="385" t="str">
        <f t="shared" ref="BW6" si="7">IF($BP6&lt;&gt;"",IF(N6&lt;&gt;"",$BP6*N6,""),"")</f>
        <v/>
      </c>
      <c r="BX6" s="385" t="str">
        <f t="shared" ref="BX6" si="8">IF($BP6&lt;&gt;"",IF(O6&lt;&gt;"",$BP6*O6,""),"")</f>
        <v/>
      </c>
      <c r="BY6" s="385" t="str">
        <f t="shared" ref="BY6" si="9">IF($BP6&lt;&gt;"",IF(P6&lt;&gt;"",$BP6*P6,""),"")</f>
        <v/>
      </c>
      <c r="BZ6" s="385" t="str">
        <f t="shared" ref="BZ6" si="10">IF($BP6&lt;&gt;"",IF(Q6&lt;&gt;"",$BP6*Q6,""),"")</f>
        <v/>
      </c>
      <c r="CA6" s="385" t="str">
        <f t="shared" ref="CA6" si="11">IF($BP6&lt;&gt;"",IF(R6&lt;&gt;"",$BP6*R6,""),"")</f>
        <v/>
      </c>
      <c r="CB6" s="385" t="str">
        <f t="shared" ref="CB6" si="12">IF($BP6&lt;&gt;"",IF(S6&lt;&gt;"",$BP6*S6,""),"")</f>
        <v/>
      </c>
      <c r="CC6" s="385" t="str">
        <f t="shared" ref="CC6" si="13">IF($BP6&lt;&gt;"",IF(T6&lt;&gt;"",$BP6*T6,""),"")</f>
        <v/>
      </c>
      <c r="CD6" s="385" t="str">
        <f t="shared" ref="CD6" si="14">IF($BP6&lt;&gt;"",IF(U6&lt;&gt;"",$BP6*U6,""),"")</f>
        <v/>
      </c>
      <c r="CE6" s="385" t="str">
        <f t="shared" ref="CE6" si="15">IF($BP6&lt;&gt;"",IF(V6&lt;&gt;"",$BP6*V6,""),"")</f>
        <v/>
      </c>
      <c r="CF6" s="385" t="str">
        <f t="shared" ref="CF6" si="16">IF($BP6&lt;&gt;"",IF(W6&lt;&gt;"",$BP6*W6,""),"")</f>
        <v/>
      </c>
      <c r="CG6" s="385" t="str">
        <f t="shared" ref="CG6" si="17">IF($BP6&lt;&gt;"",IF(X6&lt;&gt;"",$BP6*X6,""),"")</f>
        <v/>
      </c>
      <c r="CH6" s="385" t="str">
        <f t="shared" ref="CH6" si="18">IF($BP6&lt;&gt;"",IF(Y6&lt;&gt;"",$BP6*Y6,""),"")</f>
        <v/>
      </c>
      <c r="CI6" s="385" t="str">
        <f t="shared" ref="CI6" si="19">IF($BP6&lt;&gt;"",IF(Z6&lt;&gt;"",$BP6*Z6,""),"")</f>
        <v/>
      </c>
      <c r="CJ6" s="385" t="str">
        <f t="shared" ref="CJ6" si="20">IF($BP6&lt;&gt;"",IF(AA6&lt;&gt;"",$BP6*AA6,""),"")</f>
        <v/>
      </c>
      <c r="CK6" s="385" t="str">
        <f t="shared" ref="CK6" si="21">IF($BP6&lt;&gt;"",IF(AB6&lt;&gt;"",$BP6*AB6,""),"")</f>
        <v/>
      </c>
      <c r="CL6" s="385" t="str">
        <f t="shared" ref="CL6" si="22">IF($BP6&lt;&gt;"",IF(AC6&lt;&gt;"",$BP6*AC6,""),"")</f>
        <v/>
      </c>
      <c r="CM6" s="385" t="str">
        <f t="shared" ref="CM6" si="23">IF($BP6&lt;&gt;"",IF(AD6&lt;&gt;"",$BP6*AD6,""),"")</f>
        <v/>
      </c>
      <c r="CN6" s="385" t="str">
        <f t="shared" ref="CN6" si="24">IF($BQ6&lt;&gt;"",IF(I6&lt;&gt;"",$BQ6*I6,""),"")</f>
        <v/>
      </c>
      <c r="CO6" s="385" t="str">
        <f t="shared" ref="CO6" si="25">IF($BQ6&lt;&gt;"",IF(J6&lt;&gt;"",$BQ6*J6,""),"")</f>
        <v/>
      </c>
      <c r="CP6" s="385" t="str">
        <f t="shared" ref="CP6" si="26">IF($BQ6&lt;&gt;"",IF(K6&lt;&gt;"",$BQ6*K6,""),"")</f>
        <v/>
      </c>
      <c r="CQ6" s="385" t="str">
        <f t="shared" ref="CQ6" si="27">IF($BQ6&lt;&gt;"",IF(L6&lt;&gt;"",$BQ6*L6,""),"")</f>
        <v/>
      </c>
      <c r="CR6" s="385" t="str">
        <f t="shared" ref="CR6" si="28">IF($BQ6&lt;&gt;"",IF(M6&lt;&gt;"",$BQ6*M6,""),"")</f>
        <v/>
      </c>
      <c r="CS6" s="385" t="str">
        <f t="shared" ref="CS6" si="29">IF($BQ6&lt;&gt;"",IF(N6&lt;&gt;"",$BQ6*N6,""),"")</f>
        <v/>
      </c>
      <c r="CT6" s="385" t="str">
        <f t="shared" ref="CT6" si="30">IF($BQ6&lt;&gt;"",IF(O6&lt;&gt;"",$BQ6*O6,""),"")</f>
        <v/>
      </c>
      <c r="CU6" s="385" t="str">
        <f t="shared" ref="CU6" si="31">IF($BQ6&lt;&gt;"",IF(P6&lt;&gt;"",$BQ6*P6,""),"")</f>
        <v/>
      </c>
      <c r="CV6" s="385" t="str">
        <f t="shared" ref="CV6" si="32">IF($BQ6&lt;&gt;"",IF(Q6&lt;&gt;"",$BQ6*Q6,""),"")</f>
        <v/>
      </c>
      <c r="CW6" s="385" t="str">
        <f t="shared" ref="CW6" si="33">IF($BQ6&lt;&gt;"",IF(R6&lt;&gt;"",$BQ6*R6,""),"")</f>
        <v/>
      </c>
      <c r="CX6" s="385" t="str">
        <f t="shared" ref="CX6" si="34">IF($BQ6&lt;&gt;"",IF(S6&lt;&gt;"",$BQ6*S6,""),"")</f>
        <v/>
      </c>
      <c r="CY6" s="385" t="str">
        <f t="shared" ref="CY6" si="35">IF($BQ6&lt;&gt;"",IF(T6&lt;&gt;"",$BQ6*T6,""),"")</f>
        <v/>
      </c>
      <c r="CZ6" s="385" t="str">
        <f t="shared" ref="CZ6" si="36">IF($BQ6&lt;&gt;"",IF(U6&lt;&gt;"",$BQ6*U6,""),"")</f>
        <v/>
      </c>
      <c r="DA6" s="385" t="str">
        <f t="shared" ref="DA6" si="37">IF($BQ6&lt;&gt;"",IF(V6&lt;&gt;"",$BQ6*V6,""),"")</f>
        <v/>
      </c>
      <c r="DB6" s="385" t="str">
        <f t="shared" ref="DB6" si="38">IF($BQ6&lt;&gt;"",IF(W6&lt;&gt;"",$BQ6*W6,""),"")</f>
        <v/>
      </c>
      <c r="DC6" s="385" t="str">
        <f t="shared" ref="DC6" si="39">IF($BQ6&lt;&gt;"",IF(X6&lt;&gt;"",$BQ6*X6,""),"")</f>
        <v/>
      </c>
      <c r="DD6" s="385" t="str">
        <f t="shared" ref="DD6" si="40">IF($BQ6&lt;&gt;"",IF(Y6&lt;&gt;"",$BQ6*Y6,""),"")</f>
        <v/>
      </c>
      <c r="DE6" s="385" t="str">
        <f t="shared" ref="DE6" si="41">IF($BQ6&lt;&gt;"",IF(Z6&lt;&gt;"",$BQ6*Z6,""),"")</f>
        <v/>
      </c>
      <c r="DF6" s="385" t="str">
        <f t="shared" ref="DF6" si="42">IF($BQ6&lt;&gt;"",IF(AA6&lt;&gt;"",$BQ6*AA6,""),"")</f>
        <v/>
      </c>
      <c r="DG6" s="385" t="str">
        <f t="shared" ref="DG6" si="43">IF($BQ6&lt;&gt;"",IF(AB6&lt;&gt;"",$BQ6*AB6,""),"")</f>
        <v/>
      </c>
      <c r="DH6" s="385" t="str">
        <f t="shared" ref="DH6" si="44">IF($BQ6&lt;&gt;"",IF(AC6&lt;&gt;"",$BQ6*AC6,""),"")</f>
        <v/>
      </c>
      <c r="DI6" s="385" t="str">
        <f t="shared" ref="DI6" si="45">IF($BQ6&lt;&gt;"",IF(AD6&lt;&gt;"",$BQ6*AD6,""),"")</f>
        <v/>
      </c>
    </row>
    <row r="7" spans="1:114" ht="68" x14ac:dyDescent="0.35">
      <c r="A7" s="21" t="s">
        <v>660</v>
      </c>
      <c r="B7" s="396">
        <f>'Appoggio_BIA Servizio'!$B$5</f>
        <v>0</v>
      </c>
      <c r="C7" s="392" t="s">
        <v>651</v>
      </c>
      <c r="D7" s="392" t="s">
        <v>661</v>
      </c>
      <c r="E7" s="393" t="s">
        <v>662</v>
      </c>
      <c r="F7" s="240" t="s">
        <v>663</v>
      </c>
      <c r="G7" s="240" t="s">
        <v>655</v>
      </c>
      <c r="H7" s="240"/>
      <c r="I7" s="240">
        <v>0.4</v>
      </c>
      <c r="J7" s="240">
        <v>0.4</v>
      </c>
      <c r="K7" s="240"/>
      <c r="L7" s="394"/>
      <c r="M7" s="240"/>
      <c r="N7" s="240">
        <v>0.4</v>
      </c>
      <c r="O7" s="394"/>
      <c r="P7" s="394">
        <v>0.7</v>
      </c>
      <c r="Q7" s="240"/>
      <c r="R7" s="394"/>
      <c r="S7" s="394">
        <v>1</v>
      </c>
      <c r="T7" s="394">
        <v>0.4</v>
      </c>
      <c r="U7" s="394"/>
      <c r="V7" s="394"/>
      <c r="W7" s="394"/>
      <c r="X7" s="394"/>
      <c r="Y7" s="394"/>
      <c r="Z7" s="394"/>
      <c r="AA7" s="394"/>
      <c r="AB7" s="240"/>
      <c r="AC7" s="394"/>
      <c r="AD7" s="394"/>
      <c r="AE7" s="395"/>
      <c r="AF7" s="395"/>
      <c r="AG7" s="395"/>
      <c r="AH7" s="395"/>
      <c r="AI7" s="395"/>
      <c r="AJ7" s="395"/>
      <c r="AK7" s="395"/>
      <c r="AL7" s="395"/>
      <c r="AM7" s="395"/>
      <c r="AN7" s="395"/>
      <c r="AO7" s="395"/>
      <c r="AP7" s="395"/>
      <c r="AQ7" s="395"/>
      <c r="AR7" s="395"/>
      <c r="AS7" s="395"/>
      <c r="AT7" s="395">
        <v>1</v>
      </c>
      <c r="AU7" s="395"/>
      <c r="AV7" s="395"/>
      <c r="AW7" s="395"/>
      <c r="AX7" s="395"/>
      <c r="AY7" s="395"/>
      <c r="AZ7" s="395"/>
      <c r="BA7" s="395"/>
      <c r="BB7" s="395"/>
      <c r="BC7" s="395"/>
      <c r="BD7" s="395"/>
      <c r="BE7" s="395"/>
      <c r="BF7" s="225">
        <f t="shared" si="0"/>
        <v>0</v>
      </c>
      <c r="BG7" s="226" t="str">
        <f t="shared" si="1"/>
        <v>Non Applicabile</v>
      </c>
      <c r="BH7" s="226" t="s">
        <v>664</v>
      </c>
      <c r="BI7" s="226"/>
      <c r="BJ7" s="229"/>
      <c r="BK7" s="227"/>
      <c r="BL7" s="324" t="s">
        <v>665</v>
      </c>
      <c r="BM7" s="324" t="s">
        <v>666</v>
      </c>
      <c r="BN7" s="324" t="s">
        <v>667</v>
      </c>
      <c r="BO7" s="330"/>
      <c r="BP7" s="385" t="str">
        <f>IF(G7="X",
   IF(BG7="Applicabile",
      IF(BJ7&lt;&gt;"",
         _xlfn.XLOOKUP($BJ7,Parametri_RA!$B:$B,Parametri_RA!$D:$D,0),
         0),
      ""),
   "")</f>
        <v/>
      </c>
      <c r="BQ7" s="385" t="str">
        <f>IF(H7="X",
   IF(BG7="Applicabile",
      IF(BJ7&lt;&gt;"",
         _xlfn.XLOOKUP($BJ7,Parametri_RA!$B:$B,Parametri_RA!$D:$D,0),
         0),
      ""),
   "")</f>
        <v/>
      </c>
      <c r="BR7" s="385" t="str">
        <f t="shared" ref="BR7:BR70" si="46">IF($BP7&lt;&gt;"",IF(I7&lt;&gt;"",$BP7*I7,""),"")</f>
        <v/>
      </c>
      <c r="BS7" s="385" t="str">
        <f t="shared" ref="BS7:BS70" si="47">IF($BP7&lt;&gt;"",IF(J7&lt;&gt;"",$BP7*J7,""),"")</f>
        <v/>
      </c>
      <c r="BT7" s="385" t="str">
        <f t="shared" ref="BT7:BT70" si="48">IF($BP7&lt;&gt;"",IF(K7&lt;&gt;"",$BP7*K7,""),"")</f>
        <v/>
      </c>
      <c r="BU7" s="385" t="str">
        <f t="shared" ref="BU7:BU70" si="49">IF($BP7&lt;&gt;"",IF(L7&lt;&gt;"",$BP7*L7,""),"")</f>
        <v/>
      </c>
      <c r="BV7" s="385" t="str">
        <f t="shared" ref="BV7:BV70" si="50">IF($BP7&lt;&gt;"",IF(M7&lt;&gt;"",$BP7*M7,""),"")</f>
        <v/>
      </c>
      <c r="BW7" s="385" t="str">
        <f t="shared" ref="BW7:BW70" si="51">IF($BP7&lt;&gt;"",IF(N7&lt;&gt;"",$BP7*N7,""),"")</f>
        <v/>
      </c>
      <c r="BX7" s="385" t="str">
        <f t="shared" ref="BX7:BX70" si="52">IF($BP7&lt;&gt;"",IF(O7&lt;&gt;"",$BP7*O7,""),"")</f>
        <v/>
      </c>
      <c r="BY7" s="385" t="str">
        <f t="shared" ref="BY7:BY70" si="53">IF($BP7&lt;&gt;"",IF(P7&lt;&gt;"",$BP7*P7,""),"")</f>
        <v/>
      </c>
      <c r="BZ7" s="385" t="str">
        <f t="shared" ref="BZ7:BZ70" si="54">IF($BP7&lt;&gt;"",IF(Q7&lt;&gt;"",$BP7*Q7,""),"")</f>
        <v/>
      </c>
      <c r="CA7" s="385" t="str">
        <f t="shared" ref="CA7:CA70" si="55">IF($BP7&lt;&gt;"",IF(R7&lt;&gt;"",$BP7*R7,""),"")</f>
        <v/>
      </c>
      <c r="CB7" s="385" t="str">
        <f t="shared" ref="CB7:CB70" si="56">IF($BP7&lt;&gt;"",IF(S7&lt;&gt;"",$BP7*S7,""),"")</f>
        <v/>
      </c>
      <c r="CC7" s="385" t="str">
        <f t="shared" ref="CC7:CC70" si="57">IF($BP7&lt;&gt;"",IF(T7&lt;&gt;"",$BP7*T7,""),"")</f>
        <v/>
      </c>
      <c r="CD7" s="385" t="str">
        <f t="shared" ref="CD7:CD70" si="58">IF($BP7&lt;&gt;"",IF(U7&lt;&gt;"",$BP7*U7,""),"")</f>
        <v/>
      </c>
      <c r="CE7" s="385" t="str">
        <f t="shared" ref="CE7:CE70" si="59">IF($BP7&lt;&gt;"",IF(V7&lt;&gt;"",$BP7*V7,""),"")</f>
        <v/>
      </c>
      <c r="CF7" s="385" t="str">
        <f t="shared" ref="CF7:CF70" si="60">IF($BP7&lt;&gt;"",IF(W7&lt;&gt;"",$BP7*W7,""),"")</f>
        <v/>
      </c>
      <c r="CG7" s="385" t="str">
        <f t="shared" ref="CG7:CG70" si="61">IF($BP7&lt;&gt;"",IF(X7&lt;&gt;"",$BP7*X7,""),"")</f>
        <v/>
      </c>
      <c r="CH7" s="385" t="str">
        <f t="shared" ref="CH7:CH70" si="62">IF($BP7&lt;&gt;"",IF(Y7&lt;&gt;"",$BP7*Y7,""),"")</f>
        <v/>
      </c>
      <c r="CI7" s="385" t="str">
        <f t="shared" ref="CI7:CI70" si="63">IF($BP7&lt;&gt;"",IF(Z7&lt;&gt;"",$BP7*Z7,""),"")</f>
        <v/>
      </c>
      <c r="CJ7" s="385" t="str">
        <f t="shared" ref="CJ7:CJ70" si="64">IF($BP7&lt;&gt;"",IF(AA7&lt;&gt;"",$BP7*AA7,""),"")</f>
        <v/>
      </c>
      <c r="CK7" s="385" t="str">
        <f t="shared" ref="CK7:CK70" si="65">IF($BP7&lt;&gt;"",IF(AB7&lt;&gt;"",$BP7*AB7,""),"")</f>
        <v/>
      </c>
      <c r="CL7" s="385" t="str">
        <f t="shared" ref="CL7:CL70" si="66">IF($BP7&lt;&gt;"",IF(AC7&lt;&gt;"",$BP7*AC7,""),"")</f>
        <v/>
      </c>
      <c r="CM7" s="385" t="str">
        <f t="shared" ref="CM7:CM70" si="67">IF($BP7&lt;&gt;"",IF(AD7&lt;&gt;"",$BP7*AD7,""),"")</f>
        <v/>
      </c>
      <c r="CN7" s="385" t="str">
        <f t="shared" ref="CN7:CN70" si="68">IF($BQ7&lt;&gt;"",IF(I7&lt;&gt;"",$BQ7*I7,""),"")</f>
        <v/>
      </c>
      <c r="CO7" s="385" t="str">
        <f t="shared" ref="CO7:CO70" si="69">IF($BQ7&lt;&gt;"",IF(J7&lt;&gt;"",$BQ7*J7,""),"")</f>
        <v/>
      </c>
      <c r="CP7" s="385" t="str">
        <f t="shared" ref="CP7:CP70" si="70">IF($BQ7&lt;&gt;"",IF(K7&lt;&gt;"",$BQ7*K7,""),"")</f>
        <v/>
      </c>
      <c r="CQ7" s="385" t="str">
        <f t="shared" ref="CQ7:CQ70" si="71">IF($BQ7&lt;&gt;"",IF(L7&lt;&gt;"",$BQ7*L7,""),"")</f>
        <v/>
      </c>
      <c r="CR7" s="385" t="str">
        <f t="shared" ref="CR7:CR70" si="72">IF($BQ7&lt;&gt;"",IF(M7&lt;&gt;"",$BQ7*M7,""),"")</f>
        <v/>
      </c>
      <c r="CS7" s="385" t="str">
        <f t="shared" ref="CS7:CS70" si="73">IF($BQ7&lt;&gt;"",IF(N7&lt;&gt;"",$BQ7*N7,""),"")</f>
        <v/>
      </c>
      <c r="CT7" s="385" t="str">
        <f t="shared" ref="CT7:CT70" si="74">IF($BQ7&lt;&gt;"",IF(O7&lt;&gt;"",$BQ7*O7,""),"")</f>
        <v/>
      </c>
      <c r="CU7" s="385" t="str">
        <f t="shared" ref="CU7:CU70" si="75">IF($BQ7&lt;&gt;"",IF(P7&lt;&gt;"",$BQ7*P7,""),"")</f>
        <v/>
      </c>
      <c r="CV7" s="385" t="str">
        <f t="shared" ref="CV7:CV70" si="76">IF($BQ7&lt;&gt;"",IF(Q7&lt;&gt;"",$BQ7*Q7,""),"")</f>
        <v/>
      </c>
      <c r="CW7" s="385" t="str">
        <f t="shared" ref="CW7:CW70" si="77">IF($BQ7&lt;&gt;"",IF(R7&lt;&gt;"",$BQ7*R7,""),"")</f>
        <v/>
      </c>
      <c r="CX7" s="385" t="str">
        <f t="shared" ref="CX7:CX70" si="78">IF($BQ7&lt;&gt;"",IF(S7&lt;&gt;"",$BQ7*S7,""),"")</f>
        <v/>
      </c>
      <c r="CY7" s="385" t="str">
        <f t="shared" ref="CY7:CY70" si="79">IF($BQ7&lt;&gt;"",IF(T7&lt;&gt;"",$BQ7*T7,""),"")</f>
        <v/>
      </c>
      <c r="CZ7" s="385" t="str">
        <f t="shared" ref="CZ7:CZ70" si="80">IF($BQ7&lt;&gt;"",IF(U7&lt;&gt;"",$BQ7*U7,""),"")</f>
        <v/>
      </c>
      <c r="DA7" s="385" t="str">
        <f t="shared" ref="DA7:DA70" si="81">IF($BQ7&lt;&gt;"",IF(V7&lt;&gt;"",$BQ7*V7,""),"")</f>
        <v/>
      </c>
      <c r="DB7" s="385" t="str">
        <f t="shared" ref="DB7:DB70" si="82">IF($BQ7&lt;&gt;"",IF(W7&lt;&gt;"",$BQ7*W7,""),"")</f>
        <v/>
      </c>
      <c r="DC7" s="385" t="str">
        <f t="shared" ref="DC7:DC70" si="83">IF($BQ7&lt;&gt;"",IF(X7&lt;&gt;"",$BQ7*X7,""),"")</f>
        <v/>
      </c>
      <c r="DD7" s="385" t="str">
        <f t="shared" ref="DD7:DD70" si="84">IF($BQ7&lt;&gt;"",IF(Y7&lt;&gt;"",$BQ7*Y7,""),"")</f>
        <v/>
      </c>
      <c r="DE7" s="385" t="str">
        <f t="shared" ref="DE7:DE70" si="85">IF($BQ7&lt;&gt;"",IF(Z7&lt;&gt;"",$BQ7*Z7,""),"")</f>
        <v/>
      </c>
      <c r="DF7" s="385" t="str">
        <f t="shared" ref="DF7:DF70" si="86">IF($BQ7&lt;&gt;"",IF(AA7&lt;&gt;"",$BQ7*AA7,""),"")</f>
        <v/>
      </c>
      <c r="DG7" s="385" t="str">
        <f t="shared" ref="DG7:DG70" si="87">IF($BQ7&lt;&gt;"",IF(AB7&lt;&gt;"",$BQ7*AB7,""),"")</f>
        <v/>
      </c>
      <c r="DH7" s="385" t="str">
        <f t="shared" ref="DH7:DH70" si="88">IF($BQ7&lt;&gt;"",IF(AC7&lt;&gt;"",$BQ7*AC7,""),"")</f>
        <v/>
      </c>
      <c r="DI7" s="385" t="str">
        <f t="shared" ref="DI7:DI70" si="89">IF($BQ7&lt;&gt;"",IF(AD7&lt;&gt;"",$BQ7*AD7,""),"")</f>
        <v/>
      </c>
    </row>
    <row r="8" spans="1:114" ht="82.5" x14ac:dyDescent="0.35">
      <c r="A8" s="21" t="s">
        <v>668</v>
      </c>
      <c r="B8" s="396">
        <f>'Appoggio_BIA Servizio'!$B$5</f>
        <v>0</v>
      </c>
      <c r="C8" s="392" t="s">
        <v>651</v>
      </c>
      <c r="D8" s="392" t="s">
        <v>669</v>
      </c>
      <c r="E8" s="393" t="s">
        <v>670</v>
      </c>
      <c r="F8" s="240" t="s">
        <v>671</v>
      </c>
      <c r="G8" s="240" t="s">
        <v>655</v>
      </c>
      <c r="H8" s="240" t="s">
        <v>655</v>
      </c>
      <c r="I8" s="240">
        <v>1</v>
      </c>
      <c r="J8" s="240">
        <v>1</v>
      </c>
      <c r="K8" s="240"/>
      <c r="L8" s="394"/>
      <c r="M8" s="240"/>
      <c r="N8" s="240">
        <v>1</v>
      </c>
      <c r="O8" s="394"/>
      <c r="P8" s="240">
        <v>1</v>
      </c>
      <c r="Q8" s="240"/>
      <c r="R8" s="394"/>
      <c r="S8" s="394"/>
      <c r="T8" s="394">
        <v>1</v>
      </c>
      <c r="U8" s="394">
        <v>1</v>
      </c>
      <c r="V8" s="394"/>
      <c r="W8" s="394"/>
      <c r="X8" s="394"/>
      <c r="Y8" s="394"/>
      <c r="Z8" s="394"/>
      <c r="AA8" s="394"/>
      <c r="AB8" s="240"/>
      <c r="AC8" s="394"/>
      <c r="AD8" s="394"/>
      <c r="AE8" s="395"/>
      <c r="AF8" s="395"/>
      <c r="AG8" s="395"/>
      <c r="AH8" s="395"/>
      <c r="AI8" s="395"/>
      <c r="AJ8" s="395"/>
      <c r="AK8" s="395"/>
      <c r="AL8" s="395"/>
      <c r="AM8" s="395"/>
      <c r="AN8" s="395"/>
      <c r="AO8" s="395"/>
      <c r="AP8" s="395"/>
      <c r="AQ8" s="395"/>
      <c r="AR8" s="395"/>
      <c r="AS8" s="395"/>
      <c r="AT8" s="395">
        <v>1</v>
      </c>
      <c r="AU8" s="395"/>
      <c r="AV8" s="395"/>
      <c r="AW8" s="395"/>
      <c r="AX8" s="395"/>
      <c r="AY8" s="395"/>
      <c r="AZ8" s="395"/>
      <c r="BA8" s="395"/>
      <c r="BB8" s="395"/>
      <c r="BC8" s="395"/>
      <c r="BD8" s="395"/>
      <c r="BE8" s="395"/>
      <c r="BF8" s="225">
        <f t="shared" si="0"/>
        <v>0</v>
      </c>
      <c r="BG8" s="226" t="str">
        <f t="shared" si="1"/>
        <v>Non Applicabile</v>
      </c>
      <c r="BH8" s="226" t="s">
        <v>672</v>
      </c>
      <c r="BI8" s="226"/>
      <c r="BJ8" s="229"/>
      <c r="BK8" s="227"/>
      <c r="BL8" s="324" t="s">
        <v>673</v>
      </c>
      <c r="BM8" s="324" t="s">
        <v>674</v>
      </c>
      <c r="BN8" s="324" t="s">
        <v>675</v>
      </c>
      <c r="BO8" s="330"/>
      <c r="BP8" s="385" t="str">
        <f>IF(G8="X",
   IF(BG8="Applicabile",
      IF(BJ8&lt;&gt;"",
         _xlfn.XLOOKUP($BJ8,Parametri_RA!$B:$B,Parametri_RA!$D:$D,0),
         0),
      ""),
   "")</f>
        <v/>
      </c>
      <c r="BQ8" s="385" t="str">
        <f>IF(H8="X",
   IF(BG8="Applicabile",
      IF(BJ8&lt;&gt;"",
         _xlfn.XLOOKUP($BJ8,Parametri_RA!$B:$B,Parametri_RA!$D:$D,0),
         0),
      ""),
   "")</f>
        <v/>
      </c>
      <c r="BR8" s="385" t="str">
        <f t="shared" si="46"/>
        <v/>
      </c>
      <c r="BS8" s="385" t="str">
        <f t="shared" si="47"/>
        <v/>
      </c>
      <c r="BT8" s="385" t="str">
        <f t="shared" si="48"/>
        <v/>
      </c>
      <c r="BU8" s="385" t="str">
        <f t="shared" si="49"/>
        <v/>
      </c>
      <c r="BV8" s="385" t="str">
        <f t="shared" si="50"/>
        <v/>
      </c>
      <c r="BW8" s="385" t="str">
        <f t="shared" si="51"/>
        <v/>
      </c>
      <c r="BX8" s="385" t="str">
        <f t="shared" si="52"/>
        <v/>
      </c>
      <c r="BY8" s="385" t="str">
        <f t="shared" si="53"/>
        <v/>
      </c>
      <c r="BZ8" s="385" t="str">
        <f t="shared" si="54"/>
        <v/>
      </c>
      <c r="CA8" s="385" t="str">
        <f t="shared" si="55"/>
        <v/>
      </c>
      <c r="CB8" s="385" t="str">
        <f t="shared" si="56"/>
        <v/>
      </c>
      <c r="CC8" s="385" t="str">
        <f t="shared" si="57"/>
        <v/>
      </c>
      <c r="CD8" s="385" t="str">
        <f t="shared" si="58"/>
        <v/>
      </c>
      <c r="CE8" s="385" t="str">
        <f t="shared" si="59"/>
        <v/>
      </c>
      <c r="CF8" s="385" t="str">
        <f t="shared" si="60"/>
        <v/>
      </c>
      <c r="CG8" s="385" t="str">
        <f t="shared" si="61"/>
        <v/>
      </c>
      <c r="CH8" s="385" t="str">
        <f t="shared" si="62"/>
        <v/>
      </c>
      <c r="CI8" s="385" t="str">
        <f t="shared" si="63"/>
        <v/>
      </c>
      <c r="CJ8" s="385" t="str">
        <f t="shared" si="64"/>
        <v/>
      </c>
      <c r="CK8" s="385" t="str">
        <f t="shared" si="65"/>
        <v/>
      </c>
      <c r="CL8" s="385" t="str">
        <f t="shared" si="66"/>
        <v/>
      </c>
      <c r="CM8" s="385" t="str">
        <f t="shared" si="67"/>
        <v/>
      </c>
      <c r="CN8" s="385" t="str">
        <f t="shared" si="68"/>
        <v/>
      </c>
      <c r="CO8" s="385" t="str">
        <f t="shared" si="69"/>
        <v/>
      </c>
      <c r="CP8" s="385" t="str">
        <f t="shared" si="70"/>
        <v/>
      </c>
      <c r="CQ8" s="385" t="str">
        <f t="shared" si="71"/>
        <v/>
      </c>
      <c r="CR8" s="385" t="str">
        <f t="shared" si="72"/>
        <v/>
      </c>
      <c r="CS8" s="385" t="str">
        <f t="shared" si="73"/>
        <v/>
      </c>
      <c r="CT8" s="385" t="str">
        <f t="shared" si="74"/>
        <v/>
      </c>
      <c r="CU8" s="385" t="str">
        <f t="shared" si="75"/>
        <v/>
      </c>
      <c r="CV8" s="385" t="str">
        <f t="shared" si="76"/>
        <v/>
      </c>
      <c r="CW8" s="385" t="str">
        <f t="shared" si="77"/>
        <v/>
      </c>
      <c r="CX8" s="385" t="str">
        <f t="shared" si="78"/>
        <v/>
      </c>
      <c r="CY8" s="385" t="str">
        <f t="shared" si="79"/>
        <v/>
      </c>
      <c r="CZ8" s="385" t="str">
        <f t="shared" si="80"/>
        <v/>
      </c>
      <c r="DA8" s="385" t="str">
        <f t="shared" si="81"/>
        <v/>
      </c>
      <c r="DB8" s="385" t="str">
        <f t="shared" si="82"/>
        <v/>
      </c>
      <c r="DC8" s="385" t="str">
        <f t="shared" si="83"/>
        <v/>
      </c>
      <c r="DD8" s="385" t="str">
        <f t="shared" si="84"/>
        <v/>
      </c>
      <c r="DE8" s="385" t="str">
        <f t="shared" si="85"/>
        <v/>
      </c>
      <c r="DF8" s="385" t="str">
        <f t="shared" si="86"/>
        <v/>
      </c>
      <c r="DG8" s="385" t="str">
        <f t="shared" si="87"/>
        <v/>
      </c>
      <c r="DH8" s="385" t="str">
        <f t="shared" si="88"/>
        <v/>
      </c>
      <c r="DI8" s="385" t="str">
        <f t="shared" si="89"/>
        <v/>
      </c>
    </row>
    <row r="9" spans="1:114" ht="85" x14ac:dyDescent="0.35">
      <c r="A9" s="21" t="s">
        <v>676</v>
      </c>
      <c r="B9" s="396">
        <f>'Appoggio_BIA Servizio'!$B$5</f>
        <v>0</v>
      </c>
      <c r="C9" s="392" t="s">
        <v>651</v>
      </c>
      <c r="D9" s="392" t="s">
        <v>677</v>
      </c>
      <c r="E9" s="393" t="s">
        <v>678</v>
      </c>
      <c r="F9" s="240" t="s">
        <v>671</v>
      </c>
      <c r="G9" s="240" t="s">
        <v>655</v>
      </c>
      <c r="H9" s="240"/>
      <c r="I9" s="240">
        <v>0.7</v>
      </c>
      <c r="J9" s="240">
        <v>0.7</v>
      </c>
      <c r="K9" s="240"/>
      <c r="L9" s="394"/>
      <c r="M9" s="240"/>
      <c r="N9" s="240">
        <v>0.7</v>
      </c>
      <c r="O9" s="394"/>
      <c r="P9" s="394"/>
      <c r="Q9" s="240"/>
      <c r="R9" s="394"/>
      <c r="S9" s="394"/>
      <c r="T9" s="240">
        <v>0.7</v>
      </c>
      <c r="U9" s="240">
        <v>0.7</v>
      </c>
      <c r="V9" s="394"/>
      <c r="W9" s="394"/>
      <c r="X9" s="394"/>
      <c r="Y9" s="394"/>
      <c r="Z9" s="394"/>
      <c r="AA9" s="394"/>
      <c r="AB9" s="240"/>
      <c r="AC9" s="394"/>
      <c r="AD9" s="394"/>
      <c r="AE9" s="395"/>
      <c r="AF9" s="395"/>
      <c r="AG9" s="395"/>
      <c r="AH9" s="395"/>
      <c r="AI9" s="395"/>
      <c r="AJ9" s="395"/>
      <c r="AK9" s="395"/>
      <c r="AL9" s="395"/>
      <c r="AM9" s="395"/>
      <c r="AN9" s="395"/>
      <c r="AO9" s="395"/>
      <c r="AP9" s="395"/>
      <c r="AQ9" s="395"/>
      <c r="AR9" s="395"/>
      <c r="AS9" s="395"/>
      <c r="AT9" s="395">
        <v>1</v>
      </c>
      <c r="AU9" s="395"/>
      <c r="AV9" s="395"/>
      <c r="AW9" s="395"/>
      <c r="AX9" s="395"/>
      <c r="AY9" s="395"/>
      <c r="AZ9" s="395"/>
      <c r="BA9" s="395"/>
      <c r="BB9" s="395"/>
      <c r="BC9" s="395"/>
      <c r="BD9" s="395"/>
      <c r="BE9" s="395"/>
      <c r="BF9" s="225">
        <f t="shared" si="0"/>
        <v>0</v>
      </c>
      <c r="BG9" s="226" t="str">
        <f t="shared" si="1"/>
        <v>Non Applicabile</v>
      </c>
      <c r="BH9" s="226" t="s">
        <v>679</v>
      </c>
      <c r="BI9" s="226"/>
      <c r="BJ9" s="229"/>
      <c r="BK9" s="227"/>
      <c r="BL9" s="324" t="s">
        <v>680</v>
      </c>
      <c r="BM9" s="324" t="s">
        <v>681</v>
      </c>
      <c r="BN9" s="324" t="s">
        <v>682</v>
      </c>
      <c r="BO9" s="330"/>
      <c r="BP9" s="385" t="str">
        <f>IF(G9="X",
   IF(BG9="Applicabile",
      IF(BJ9&lt;&gt;"",
         _xlfn.XLOOKUP($BJ9,Parametri_RA!$B:$B,Parametri_RA!$D:$D,0),
         0),
      ""),
   "")</f>
        <v/>
      </c>
      <c r="BQ9" s="385" t="str">
        <f>IF(H9="X",
   IF(BG9="Applicabile",
      IF(BJ9&lt;&gt;"",
         _xlfn.XLOOKUP($BJ9,Parametri_RA!$B:$B,Parametri_RA!$D:$D,0),
         0),
      ""),
   "")</f>
        <v/>
      </c>
      <c r="BR9" s="385" t="str">
        <f t="shared" si="46"/>
        <v/>
      </c>
      <c r="BS9" s="385" t="str">
        <f t="shared" si="47"/>
        <v/>
      </c>
      <c r="BT9" s="385" t="str">
        <f t="shared" si="48"/>
        <v/>
      </c>
      <c r="BU9" s="385" t="str">
        <f t="shared" si="49"/>
        <v/>
      </c>
      <c r="BV9" s="385" t="str">
        <f t="shared" si="50"/>
        <v/>
      </c>
      <c r="BW9" s="385" t="str">
        <f t="shared" si="51"/>
        <v/>
      </c>
      <c r="BX9" s="385" t="str">
        <f t="shared" si="52"/>
        <v/>
      </c>
      <c r="BY9" s="385" t="str">
        <f t="shared" si="53"/>
        <v/>
      </c>
      <c r="BZ9" s="385" t="str">
        <f t="shared" si="54"/>
        <v/>
      </c>
      <c r="CA9" s="385" t="str">
        <f t="shared" si="55"/>
        <v/>
      </c>
      <c r="CB9" s="385" t="str">
        <f t="shared" si="56"/>
        <v/>
      </c>
      <c r="CC9" s="385" t="str">
        <f t="shared" si="57"/>
        <v/>
      </c>
      <c r="CD9" s="385" t="str">
        <f t="shared" si="58"/>
        <v/>
      </c>
      <c r="CE9" s="385" t="str">
        <f t="shared" si="59"/>
        <v/>
      </c>
      <c r="CF9" s="385" t="str">
        <f t="shared" si="60"/>
        <v/>
      </c>
      <c r="CG9" s="385" t="str">
        <f t="shared" si="61"/>
        <v/>
      </c>
      <c r="CH9" s="385" t="str">
        <f t="shared" si="62"/>
        <v/>
      </c>
      <c r="CI9" s="385" t="str">
        <f t="shared" si="63"/>
        <v/>
      </c>
      <c r="CJ9" s="385" t="str">
        <f t="shared" si="64"/>
        <v/>
      </c>
      <c r="CK9" s="385" t="str">
        <f t="shared" si="65"/>
        <v/>
      </c>
      <c r="CL9" s="385" t="str">
        <f t="shared" si="66"/>
        <v/>
      </c>
      <c r="CM9" s="385" t="str">
        <f t="shared" si="67"/>
        <v/>
      </c>
      <c r="CN9" s="385" t="str">
        <f t="shared" si="68"/>
        <v/>
      </c>
      <c r="CO9" s="385" t="str">
        <f t="shared" si="69"/>
        <v/>
      </c>
      <c r="CP9" s="385" t="str">
        <f t="shared" si="70"/>
        <v/>
      </c>
      <c r="CQ9" s="385" t="str">
        <f t="shared" si="71"/>
        <v/>
      </c>
      <c r="CR9" s="385" t="str">
        <f t="shared" si="72"/>
        <v/>
      </c>
      <c r="CS9" s="385" t="str">
        <f t="shared" si="73"/>
        <v/>
      </c>
      <c r="CT9" s="385" t="str">
        <f t="shared" si="74"/>
        <v/>
      </c>
      <c r="CU9" s="385" t="str">
        <f t="shared" si="75"/>
        <v/>
      </c>
      <c r="CV9" s="385" t="str">
        <f t="shared" si="76"/>
        <v/>
      </c>
      <c r="CW9" s="385" t="str">
        <f t="shared" si="77"/>
        <v/>
      </c>
      <c r="CX9" s="385" t="str">
        <f t="shared" si="78"/>
        <v/>
      </c>
      <c r="CY9" s="385" t="str">
        <f t="shared" si="79"/>
        <v/>
      </c>
      <c r="CZ9" s="385" t="str">
        <f t="shared" si="80"/>
        <v/>
      </c>
      <c r="DA9" s="385" t="str">
        <f t="shared" si="81"/>
        <v/>
      </c>
      <c r="DB9" s="385" t="str">
        <f t="shared" si="82"/>
        <v/>
      </c>
      <c r="DC9" s="385" t="str">
        <f t="shared" si="83"/>
        <v/>
      </c>
      <c r="DD9" s="385" t="str">
        <f t="shared" si="84"/>
        <v/>
      </c>
      <c r="DE9" s="385" t="str">
        <f t="shared" si="85"/>
        <v/>
      </c>
      <c r="DF9" s="385" t="str">
        <f t="shared" si="86"/>
        <v/>
      </c>
      <c r="DG9" s="385" t="str">
        <f t="shared" si="87"/>
        <v/>
      </c>
      <c r="DH9" s="385" t="str">
        <f t="shared" si="88"/>
        <v/>
      </c>
      <c r="DI9" s="385" t="str">
        <f t="shared" si="89"/>
        <v/>
      </c>
    </row>
    <row r="10" spans="1:114" ht="68" x14ac:dyDescent="0.35">
      <c r="A10" s="21" t="s">
        <v>683</v>
      </c>
      <c r="B10" s="396">
        <f>'Appoggio_BIA Servizio'!$B$5</f>
        <v>0</v>
      </c>
      <c r="C10" s="392" t="s">
        <v>651</v>
      </c>
      <c r="D10" s="392" t="s">
        <v>684</v>
      </c>
      <c r="E10" s="393" t="s">
        <v>685</v>
      </c>
      <c r="F10" s="240" t="s">
        <v>671</v>
      </c>
      <c r="G10" s="240" t="s">
        <v>655</v>
      </c>
      <c r="H10" s="240"/>
      <c r="I10" s="240">
        <v>0.7</v>
      </c>
      <c r="J10" s="240">
        <v>0.7</v>
      </c>
      <c r="K10" s="240"/>
      <c r="L10" s="394"/>
      <c r="M10" s="240"/>
      <c r="N10" s="240">
        <v>0.7</v>
      </c>
      <c r="O10" s="394"/>
      <c r="P10" s="240">
        <v>0.4</v>
      </c>
      <c r="Q10" s="240"/>
      <c r="R10" s="394"/>
      <c r="S10" s="394"/>
      <c r="T10" s="394">
        <v>0.7</v>
      </c>
      <c r="U10" s="394"/>
      <c r="V10" s="394"/>
      <c r="W10" s="394"/>
      <c r="X10" s="394"/>
      <c r="Y10" s="394"/>
      <c r="Z10" s="394"/>
      <c r="AA10" s="394"/>
      <c r="AB10" s="240"/>
      <c r="AC10" s="394"/>
      <c r="AD10" s="394"/>
      <c r="AE10" s="395"/>
      <c r="AF10" s="395"/>
      <c r="AG10" s="395"/>
      <c r="AH10" s="395"/>
      <c r="AI10" s="395"/>
      <c r="AJ10" s="395"/>
      <c r="AK10" s="395"/>
      <c r="AL10" s="395"/>
      <c r="AM10" s="395"/>
      <c r="AN10" s="395"/>
      <c r="AO10" s="395"/>
      <c r="AP10" s="395"/>
      <c r="AQ10" s="395"/>
      <c r="AR10" s="395"/>
      <c r="AS10" s="395"/>
      <c r="AT10" s="395">
        <v>1</v>
      </c>
      <c r="AU10" s="395"/>
      <c r="AV10" s="395"/>
      <c r="AW10" s="395"/>
      <c r="AX10" s="395"/>
      <c r="AY10" s="395"/>
      <c r="AZ10" s="395"/>
      <c r="BA10" s="395"/>
      <c r="BB10" s="395"/>
      <c r="BC10" s="395"/>
      <c r="BD10" s="395"/>
      <c r="BE10" s="395"/>
      <c r="BF10" s="225">
        <f t="shared" si="0"/>
        <v>0</v>
      </c>
      <c r="BG10" s="226" t="str">
        <f t="shared" si="1"/>
        <v>Non Applicabile</v>
      </c>
      <c r="BH10" s="226" t="s">
        <v>686</v>
      </c>
      <c r="BI10" s="226"/>
      <c r="BJ10" s="229"/>
      <c r="BK10" s="227"/>
      <c r="BL10" s="324" t="s">
        <v>687</v>
      </c>
      <c r="BM10" s="324" t="s">
        <v>688</v>
      </c>
      <c r="BN10" s="324" t="s">
        <v>689</v>
      </c>
      <c r="BO10" s="330"/>
      <c r="BP10" s="385" t="str">
        <f>IF(G10="X",
   IF(BG10="Applicabile",
      IF(BJ10&lt;&gt;"",
         _xlfn.XLOOKUP($BJ10,Parametri_RA!$B:$B,Parametri_RA!$D:$D,0),
         0),
      ""),
   "")</f>
        <v/>
      </c>
      <c r="BQ10" s="385" t="str">
        <f>IF(H10="X",
   IF(BG10="Applicabile",
      IF(BJ10&lt;&gt;"",
         _xlfn.XLOOKUP($BJ10,Parametri_RA!$B:$B,Parametri_RA!$D:$D,0),
         0),
      ""),
   "")</f>
        <v/>
      </c>
      <c r="BR10" s="385" t="str">
        <f t="shared" si="46"/>
        <v/>
      </c>
      <c r="BS10" s="385" t="str">
        <f t="shared" si="47"/>
        <v/>
      </c>
      <c r="BT10" s="385" t="str">
        <f t="shared" si="48"/>
        <v/>
      </c>
      <c r="BU10" s="385" t="str">
        <f t="shared" si="49"/>
        <v/>
      </c>
      <c r="BV10" s="385" t="str">
        <f t="shared" si="50"/>
        <v/>
      </c>
      <c r="BW10" s="385" t="str">
        <f t="shared" si="51"/>
        <v/>
      </c>
      <c r="BX10" s="385" t="str">
        <f t="shared" si="52"/>
        <v/>
      </c>
      <c r="BY10" s="385" t="str">
        <f t="shared" si="53"/>
        <v/>
      </c>
      <c r="BZ10" s="385" t="str">
        <f t="shared" si="54"/>
        <v/>
      </c>
      <c r="CA10" s="385" t="str">
        <f t="shared" si="55"/>
        <v/>
      </c>
      <c r="CB10" s="385" t="str">
        <f t="shared" si="56"/>
        <v/>
      </c>
      <c r="CC10" s="385" t="str">
        <f t="shared" si="57"/>
        <v/>
      </c>
      <c r="CD10" s="385" t="str">
        <f t="shared" si="58"/>
        <v/>
      </c>
      <c r="CE10" s="385" t="str">
        <f t="shared" si="59"/>
        <v/>
      </c>
      <c r="CF10" s="385" t="str">
        <f t="shared" si="60"/>
        <v/>
      </c>
      <c r="CG10" s="385" t="str">
        <f t="shared" si="61"/>
        <v/>
      </c>
      <c r="CH10" s="385" t="str">
        <f t="shared" si="62"/>
        <v/>
      </c>
      <c r="CI10" s="385" t="str">
        <f t="shared" si="63"/>
        <v/>
      </c>
      <c r="CJ10" s="385" t="str">
        <f t="shared" si="64"/>
        <v/>
      </c>
      <c r="CK10" s="385" t="str">
        <f t="shared" si="65"/>
        <v/>
      </c>
      <c r="CL10" s="385" t="str">
        <f t="shared" si="66"/>
        <v/>
      </c>
      <c r="CM10" s="385" t="str">
        <f t="shared" si="67"/>
        <v/>
      </c>
      <c r="CN10" s="385" t="str">
        <f t="shared" si="68"/>
        <v/>
      </c>
      <c r="CO10" s="385" t="str">
        <f t="shared" si="69"/>
        <v/>
      </c>
      <c r="CP10" s="385" t="str">
        <f t="shared" si="70"/>
        <v/>
      </c>
      <c r="CQ10" s="385" t="str">
        <f t="shared" si="71"/>
        <v/>
      </c>
      <c r="CR10" s="385" t="str">
        <f t="shared" si="72"/>
        <v/>
      </c>
      <c r="CS10" s="385" t="str">
        <f t="shared" si="73"/>
        <v/>
      </c>
      <c r="CT10" s="385" t="str">
        <f t="shared" si="74"/>
        <v/>
      </c>
      <c r="CU10" s="385" t="str">
        <f t="shared" si="75"/>
        <v/>
      </c>
      <c r="CV10" s="385" t="str">
        <f t="shared" si="76"/>
        <v/>
      </c>
      <c r="CW10" s="385" t="str">
        <f t="shared" si="77"/>
        <v/>
      </c>
      <c r="CX10" s="385" t="str">
        <f t="shared" si="78"/>
        <v/>
      </c>
      <c r="CY10" s="385" t="str">
        <f t="shared" si="79"/>
        <v/>
      </c>
      <c r="CZ10" s="385" t="str">
        <f t="shared" si="80"/>
        <v/>
      </c>
      <c r="DA10" s="385" t="str">
        <f t="shared" si="81"/>
        <v/>
      </c>
      <c r="DB10" s="385" t="str">
        <f t="shared" si="82"/>
        <v/>
      </c>
      <c r="DC10" s="385" t="str">
        <f t="shared" si="83"/>
        <v/>
      </c>
      <c r="DD10" s="385" t="str">
        <f t="shared" si="84"/>
        <v/>
      </c>
      <c r="DE10" s="385" t="str">
        <f t="shared" si="85"/>
        <v/>
      </c>
      <c r="DF10" s="385" t="str">
        <f t="shared" si="86"/>
        <v/>
      </c>
      <c r="DG10" s="385" t="str">
        <f t="shared" si="87"/>
        <v/>
      </c>
      <c r="DH10" s="385" t="str">
        <f t="shared" si="88"/>
        <v/>
      </c>
      <c r="DI10" s="385" t="str">
        <f t="shared" si="89"/>
        <v/>
      </c>
    </row>
    <row r="11" spans="1:114" ht="41.75" customHeight="1" x14ac:dyDescent="0.35">
      <c r="A11" s="21" t="s">
        <v>690</v>
      </c>
      <c r="B11" s="396">
        <f>'Appoggio_BIA Servizio'!$B$5</f>
        <v>0</v>
      </c>
      <c r="C11" s="392" t="s">
        <v>651</v>
      </c>
      <c r="D11" s="392" t="s">
        <v>691</v>
      </c>
      <c r="E11" s="393" t="s">
        <v>692</v>
      </c>
      <c r="F11" s="240" t="s">
        <v>663</v>
      </c>
      <c r="G11" s="240" t="s">
        <v>655</v>
      </c>
      <c r="H11" s="240"/>
      <c r="I11" s="240">
        <v>0.4</v>
      </c>
      <c r="J11" s="240">
        <v>0.4</v>
      </c>
      <c r="K11" s="240"/>
      <c r="L11" s="394"/>
      <c r="M11" s="240"/>
      <c r="N11" s="240">
        <v>0.4</v>
      </c>
      <c r="O11" s="394"/>
      <c r="P11" s="394"/>
      <c r="Q11" s="240"/>
      <c r="R11" s="394"/>
      <c r="S11" s="394">
        <v>0.7</v>
      </c>
      <c r="T11" s="394">
        <v>0.7</v>
      </c>
      <c r="U11" s="240">
        <v>0.7</v>
      </c>
      <c r="V11" s="394"/>
      <c r="W11" s="394"/>
      <c r="X11" s="394"/>
      <c r="Y11" s="394"/>
      <c r="Z11" s="394"/>
      <c r="AA11" s="394"/>
      <c r="AB11" s="240"/>
      <c r="AC11" s="394"/>
      <c r="AD11" s="394"/>
      <c r="AE11" s="395"/>
      <c r="AF11" s="395"/>
      <c r="AG11" s="395"/>
      <c r="AH11" s="395"/>
      <c r="AI11" s="395"/>
      <c r="AJ11" s="395"/>
      <c r="AK11" s="395"/>
      <c r="AL11" s="395"/>
      <c r="AM11" s="395"/>
      <c r="AN11" s="395"/>
      <c r="AO11" s="395"/>
      <c r="AP11" s="395"/>
      <c r="AQ11" s="395"/>
      <c r="AR11" s="395"/>
      <c r="AS11" s="395"/>
      <c r="AT11" s="395">
        <v>1</v>
      </c>
      <c r="AU11" s="395"/>
      <c r="AV11" s="395"/>
      <c r="AW11" s="395"/>
      <c r="AX11" s="395"/>
      <c r="AY11" s="395"/>
      <c r="AZ11" s="395"/>
      <c r="BA11" s="395"/>
      <c r="BB11" s="395"/>
      <c r="BC11" s="395"/>
      <c r="BD11" s="395"/>
      <c r="BE11" s="395"/>
      <c r="BF11" s="225">
        <f t="shared" si="0"/>
        <v>0</v>
      </c>
      <c r="BG11" s="226" t="str">
        <f t="shared" si="1"/>
        <v>Non Applicabile</v>
      </c>
      <c r="BH11" s="226" t="s">
        <v>693</v>
      </c>
      <c r="BI11" s="226"/>
      <c r="BJ11" s="229"/>
      <c r="BK11" s="227"/>
      <c r="BL11" s="324" t="s">
        <v>694</v>
      </c>
      <c r="BM11" s="324" t="s">
        <v>695</v>
      </c>
      <c r="BN11" s="324" t="s">
        <v>696</v>
      </c>
      <c r="BO11" s="330"/>
      <c r="BP11" s="385" t="str">
        <f>IF(G11="X",
   IF(BG11="Applicabile",
      IF(BJ11&lt;&gt;"",
         _xlfn.XLOOKUP($BJ11,Parametri_RA!$B:$B,Parametri_RA!$D:$D,0),
         0),
      ""),
   "")</f>
        <v/>
      </c>
      <c r="BQ11" s="385" t="str">
        <f>IF(H11="X",
   IF(BG11="Applicabile",
      IF(BJ11&lt;&gt;"",
         _xlfn.XLOOKUP($BJ11,Parametri_RA!$B:$B,Parametri_RA!$D:$D,0),
         0),
      ""),
   "")</f>
        <v/>
      </c>
      <c r="BR11" s="385" t="str">
        <f t="shared" si="46"/>
        <v/>
      </c>
      <c r="BS11" s="385" t="str">
        <f t="shared" si="47"/>
        <v/>
      </c>
      <c r="BT11" s="385" t="str">
        <f t="shared" si="48"/>
        <v/>
      </c>
      <c r="BU11" s="385" t="str">
        <f t="shared" si="49"/>
        <v/>
      </c>
      <c r="BV11" s="385" t="str">
        <f t="shared" si="50"/>
        <v/>
      </c>
      <c r="BW11" s="385" t="str">
        <f t="shared" si="51"/>
        <v/>
      </c>
      <c r="BX11" s="385" t="str">
        <f t="shared" si="52"/>
        <v/>
      </c>
      <c r="BY11" s="385" t="str">
        <f t="shared" si="53"/>
        <v/>
      </c>
      <c r="BZ11" s="385" t="str">
        <f t="shared" si="54"/>
        <v/>
      </c>
      <c r="CA11" s="385" t="str">
        <f t="shared" si="55"/>
        <v/>
      </c>
      <c r="CB11" s="385" t="str">
        <f t="shared" si="56"/>
        <v/>
      </c>
      <c r="CC11" s="385" t="str">
        <f t="shared" si="57"/>
        <v/>
      </c>
      <c r="CD11" s="385" t="str">
        <f t="shared" si="58"/>
        <v/>
      </c>
      <c r="CE11" s="385" t="str">
        <f t="shared" si="59"/>
        <v/>
      </c>
      <c r="CF11" s="385" t="str">
        <f t="shared" si="60"/>
        <v/>
      </c>
      <c r="CG11" s="385" t="str">
        <f t="shared" si="61"/>
        <v/>
      </c>
      <c r="CH11" s="385" t="str">
        <f t="shared" si="62"/>
        <v/>
      </c>
      <c r="CI11" s="385" t="str">
        <f t="shared" si="63"/>
        <v/>
      </c>
      <c r="CJ11" s="385" t="str">
        <f t="shared" si="64"/>
        <v/>
      </c>
      <c r="CK11" s="385" t="str">
        <f t="shared" si="65"/>
        <v/>
      </c>
      <c r="CL11" s="385" t="str">
        <f t="shared" si="66"/>
        <v/>
      </c>
      <c r="CM11" s="385" t="str">
        <f t="shared" si="67"/>
        <v/>
      </c>
      <c r="CN11" s="385" t="str">
        <f t="shared" si="68"/>
        <v/>
      </c>
      <c r="CO11" s="385" t="str">
        <f t="shared" si="69"/>
        <v/>
      </c>
      <c r="CP11" s="385" t="str">
        <f t="shared" si="70"/>
        <v/>
      </c>
      <c r="CQ11" s="385" t="str">
        <f t="shared" si="71"/>
        <v/>
      </c>
      <c r="CR11" s="385" t="str">
        <f t="shared" si="72"/>
        <v/>
      </c>
      <c r="CS11" s="385" t="str">
        <f t="shared" si="73"/>
        <v/>
      </c>
      <c r="CT11" s="385" t="str">
        <f t="shared" si="74"/>
        <v/>
      </c>
      <c r="CU11" s="385" t="str">
        <f t="shared" si="75"/>
        <v/>
      </c>
      <c r="CV11" s="385" t="str">
        <f t="shared" si="76"/>
        <v/>
      </c>
      <c r="CW11" s="385" t="str">
        <f t="shared" si="77"/>
        <v/>
      </c>
      <c r="CX11" s="385" t="str">
        <f t="shared" si="78"/>
        <v/>
      </c>
      <c r="CY11" s="385" t="str">
        <f t="shared" si="79"/>
        <v/>
      </c>
      <c r="CZ11" s="385" t="str">
        <f t="shared" si="80"/>
        <v/>
      </c>
      <c r="DA11" s="385" t="str">
        <f t="shared" si="81"/>
        <v/>
      </c>
      <c r="DB11" s="385" t="str">
        <f t="shared" si="82"/>
        <v/>
      </c>
      <c r="DC11" s="385" t="str">
        <f t="shared" si="83"/>
        <v/>
      </c>
      <c r="DD11" s="385" t="str">
        <f t="shared" si="84"/>
        <v/>
      </c>
      <c r="DE11" s="385" t="str">
        <f t="shared" si="85"/>
        <v/>
      </c>
      <c r="DF11" s="385" t="str">
        <f t="shared" si="86"/>
        <v/>
      </c>
      <c r="DG11" s="385" t="str">
        <f t="shared" si="87"/>
        <v/>
      </c>
      <c r="DH11" s="385" t="str">
        <f t="shared" si="88"/>
        <v/>
      </c>
      <c r="DI11" s="385" t="str">
        <f t="shared" si="89"/>
        <v/>
      </c>
    </row>
    <row r="12" spans="1:114" ht="82.5" x14ac:dyDescent="0.35">
      <c r="A12" s="21" t="s">
        <v>697</v>
      </c>
      <c r="B12" s="396">
        <f>'Appoggio_BIA Servizio'!$B$5</f>
        <v>0</v>
      </c>
      <c r="C12" s="392" t="s">
        <v>651</v>
      </c>
      <c r="D12" s="392" t="s">
        <v>698</v>
      </c>
      <c r="E12" s="393" t="s">
        <v>699</v>
      </c>
      <c r="F12" s="240" t="s">
        <v>671</v>
      </c>
      <c r="G12" s="240" t="s">
        <v>655</v>
      </c>
      <c r="H12" s="240"/>
      <c r="I12" s="240">
        <v>0.7</v>
      </c>
      <c r="J12" s="240">
        <v>0.7</v>
      </c>
      <c r="K12" s="240"/>
      <c r="L12" s="394"/>
      <c r="M12" s="240"/>
      <c r="N12" s="240">
        <v>0.7</v>
      </c>
      <c r="O12" s="394"/>
      <c r="P12" s="240">
        <v>0.7</v>
      </c>
      <c r="Q12" s="240"/>
      <c r="R12" s="394"/>
      <c r="S12" s="394"/>
      <c r="T12" s="394">
        <v>0.7</v>
      </c>
      <c r="U12" s="394"/>
      <c r="V12" s="394">
        <v>0.7</v>
      </c>
      <c r="W12" s="394"/>
      <c r="X12" s="394"/>
      <c r="Y12" s="394"/>
      <c r="Z12" s="394"/>
      <c r="AA12" s="394"/>
      <c r="AB12" s="240"/>
      <c r="AC12" s="394"/>
      <c r="AD12" s="394"/>
      <c r="AE12" s="395"/>
      <c r="AF12" s="395"/>
      <c r="AG12" s="395"/>
      <c r="AH12" s="395"/>
      <c r="AI12" s="395"/>
      <c r="AJ12" s="395"/>
      <c r="AK12" s="395"/>
      <c r="AL12" s="395"/>
      <c r="AM12" s="395"/>
      <c r="AN12" s="395"/>
      <c r="AO12" s="395"/>
      <c r="AP12" s="395"/>
      <c r="AQ12" s="395"/>
      <c r="AR12" s="395"/>
      <c r="AS12" s="395"/>
      <c r="AT12" s="395">
        <v>1</v>
      </c>
      <c r="AU12" s="395"/>
      <c r="AV12" s="395"/>
      <c r="AW12" s="395"/>
      <c r="AX12" s="395"/>
      <c r="AY12" s="395"/>
      <c r="AZ12" s="395"/>
      <c r="BA12" s="395"/>
      <c r="BB12" s="395"/>
      <c r="BC12" s="395"/>
      <c r="BD12" s="395"/>
      <c r="BE12" s="395"/>
      <c r="BF12" s="225">
        <f t="shared" si="0"/>
        <v>0</v>
      </c>
      <c r="BG12" s="226" t="str">
        <f t="shared" si="1"/>
        <v>Non Applicabile</v>
      </c>
      <c r="BH12" s="226" t="s">
        <v>700</v>
      </c>
      <c r="BI12" s="226"/>
      <c r="BJ12" s="229"/>
      <c r="BK12" s="227"/>
      <c r="BL12" s="324" t="s">
        <v>701</v>
      </c>
      <c r="BM12" s="324" t="s">
        <v>702</v>
      </c>
      <c r="BN12" s="324" t="s">
        <v>703</v>
      </c>
      <c r="BO12" s="330"/>
      <c r="BP12" s="385" t="str">
        <f>IF(G12="X",
   IF(BG12="Applicabile",
      IF(BJ12&lt;&gt;"",
         _xlfn.XLOOKUP($BJ12,Parametri_RA!$B:$B,Parametri_RA!$D:$D,0),
         0),
      ""),
   "")</f>
        <v/>
      </c>
      <c r="BQ12" s="385" t="str">
        <f>IF(H12="X",
   IF(BG12="Applicabile",
      IF(BJ12&lt;&gt;"",
         _xlfn.XLOOKUP($BJ12,Parametri_RA!$B:$B,Parametri_RA!$D:$D,0),
         0),
      ""),
   "")</f>
        <v/>
      </c>
      <c r="BR12" s="385" t="str">
        <f t="shared" si="46"/>
        <v/>
      </c>
      <c r="BS12" s="385" t="str">
        <f t="shared" si="47"/>
        <v/>
      </c>
      <c r="BT12" s="385" t="str">
        <f t="shared" si="48"/>
        <v/>
      </c>
      <c r="BU12" s="385" t="str">
        <f t="shared" si="49"/>
        <v/>
      </c>
      <c r="BV12" s="385" t="str">
        <f t="shared" si="50"/>
        <v/>
      </c>
      <c r="BW12" s="385" t="str">
        <f t="shared" si="51"/>
        <v/>
      </c>
      <c r="BX12" s="385" t="str">
        <f t="shared" si="52"/>
        <v/>
      </c>
      <c r="BY12" s="385" t="str">
        <f t="shared" si="53"/>
        <v/>
      </c>
      <c r="BZ12" s="385" t="str">
        <f t="shared" si="54"/>
        <v/>
      </c>
      <c r="CA12" s="385" t="str">
        <f t="shared" si="55"/>
        <v/>
      </c>
      <c r="CB12" s="385" t="str">
        <f t="shared" si="56"/>
        <v/>
      </c>
      <c r="CC12" s="385" t="str">
        <f t="shared" si="57"/>
        <v/>
      </c>
      <c r="CD12" s="385" t="str">
        <f t="shared" si="58"/>
        <v/>
      </c>
      <c r="CE12" s="385" t="str">
        <f t="shared" si="59"/>
        <v/>
      </c>
      <c r="CF12" s="385" t="str">
        <f t="shared" si="60"/>
        <v/>
      </c>
      <c r="CG12" s="385" t="str">
        <f t="shared" si="61"/>
        <v/>
      </c>
      <c r="CH12" s="385" t="str">
        <f t="shared" si="62"/>
        <v/>
      </c>
      <c r="CI12" s="385" t="str">
        <f t="shared" si="63"/>
        <v/>
      </c>
      <c r="CJ12" s="385" t="str">
        <f t="shared" si="64"/>
        <v/>
      </c>
      <c r="CK12" s="385" t="str">
        <f t="shared" si="65"/>
        <v/>
      </c>
      <c r="CL12" s="385" t="str">
        <f t="shared" si="66"/>
        <v/>
      </c>
      <c r="CM12" s="385" t="str">
        <f t="shared" si="67"/>
        <v/>
      </c>
      <c r="CN12" s="385" t="str">
        <f t="shared" si="68"/>
        <v/>
      </c>
      <c r="CO12" s="385" t="str">
        <f t="shared" si="69"/>
        <v/>
      </c>
      <c r="CP12" s="385" t="str">
        <f t="shared" si="70"/>
        <v/>
      </c>
      <c r="CQ12" s="385" t="str">
        <f t="shared" si="71"/>
        <v/>
      </c>
      <c r="CR12" s="385" t="str">
        <f t="shared" si="72"/>
        <v/>
      </c>
      <c r="CS12" s="385" t="str">
        <f t="shared" si="73"/>
        <v/>
      </c>
      <c r="CT12" s="385" t="str">
        <f t="shared" si="74"/>
        <v/>
      </c>
      <c r="CU12" s="385" t="str">
        <f t="shared" si="75"/>
        <v/>
      </c>
      <c r="CV12" s="385" t="str">
        <f t="shared" si="76"/>
        <v/>
      </c>
      <c r="CW12" s="385" t="str">
        <f t="shared" si="77"/>
        <v/>
      </c>
      <c r="CX12" s="385" t="str">
        <f t="shared" si="78"/>
        <v/>
      </c>
      <c r="CY12" s="385" t="str">
        <f t="shared" si="79"/>
        <v/>
      </c>
      <c r="CZ12" s="385" t="str">
        <f t="shared" si="80"/>
        <v/>
      </c>
      <c r="DA12" s="385" t="str">
        <f t="shared" si="81"/>
        <v/>
      </c>
      <c r="DB12" s="385" t="str">
        <f t="shared" si="82"/>
        <v/>
      </c>
      <c r="DC12" s="385" t="str">
        <f t="shared" si="83"/>
        <v/>
      </c>
      <c r="DD12" s="385" t="str">
        <f t="shared" si="84"/>
        <v/>
      </c>
      <c r="DE12" s="385" t="str">
        <f t="shared" si="85"/>
        <v/>
      </c>
      <c r="DF12" s="385" t="str">
        <f t="shared" si="86"/>
        <v/>
      </c>
      <c r="DG12" s="385" t="str">
        <f t="shared" si="87"/>
        <v/>
      </c>
      <c r="DH12" s="385" t="str">
        <f t="shared" si="88"/>
        <v/>
      </c>
      <c r="DI12" s="385" t="str">
        <f t="shared" si="89"/>
        <v/>
      </c>
    </row>
    <row r="13" spans="1:114" ht="82.5" x14ac:dyDescent="0.35">
      <c r="A13" s="21" t="s">
        <v>704</v>
      </c>
      <c r="B13" s="396">
        <f>'Appoggio_BIA Servizio'!$B$5</f>
        <v>0</v>
      </c>
      <c r="C13" s="392" t="s">
        <v>651</v>
      </c>
      <c r="D13" s="392" t="s">
        <v>705</v>
      </c>
      <c r="E13" s="393" t="s">
        <v>706</v>
      </c>
      <c r="F13" s="240" t="s">
        <v>671</v>
      </c>
      <c r="G13" s="240" t="s">
        <v>655</v>
      </c>
      <c r="H13" s="240"/>
      <c r="I13" s="240">
        <v>1</v>
      </c>
      <c r="J13" s="240">
        <v>1</v>
      </c>
      <c r="K13" s="240"/>
      <c r="L13" s="394"/>
      <c r="M13" s="240"/>
      <c r="N13" s="240">
        <v>1</v>
      </c>
      <c r="O13" s="394"/>
      <c r="P13" s="240">
        <v>1</v>
      </c>
      <c r="Q13" s="240"/>
      <c r="R13" s="394"/>
      <c r="S13" s="394"/>
      <c r="T13" s="394">
        <v>1</v>
      </c>
      <c r="U13" s="394">
        <v>1</v>
      </c>
      <c r="V13" s="394"/>
      <c r="W13" s="394"/>
      <c r="X13" s="394"/>
      <c r="Y13" s="394"/>
      <c r="Z13" s="394"/>
      <c r="AA13" s="394"/>
      <c r="AB13" s="240"/>
      <c r="AC13" s="394"/>
      <c r="AD13" s="394"/>
      <c r="AE13" s="395"/>
      <c r="AF13" s="395"/>
      <c r="AG13" s="395"/>
      <c r="AH13" s="395"/>
      <c r="AI13" s="395"/>
      <c r="AJ13" s="395"/>
      <c r="AK13" s="395"/>
      <c r="AL13" s="395"/>
      <c r="AM13" s="395"/>
      <c r="AN13" s="395"/>
      <c r="AO13" s="395"/>
      <c r="AP13" s="395"/>
      <c r="AQ13" s="395"/>
      <c r="AR13" s="395"/>
      <c r="AS13" s="395"/>
      <c r="AT13" s="395">
        <v>1</v>
      </c>
      <c r="AU13" s="395"/>
      <c r="AV13" s="395"/>
      <c r="AW13" s="395"/>
      <c r="AX13" s="395"/>
      <c r="AY13" s="395"/>
      <c r="AZ13" s="395"/>
      <c r="BA13" s="395"/>
      <c r="BB13" s="395"/>
      <c r="BC13" s="395"/>
      <c r="BD13" s="395"/>
      <c r="BE13" s="395"/>
      <c r="BF13" s="225">
        <f t="shared" si="0"/>
        <v>0</v>
      </c>
      <c r="BG13" s="226" t="str">
        <f t="shared" si="1"/>
        <v>Non Applicabile</v>
      </c>
      <c r="BH13" s="226" t="s">
        <v>707</v>
      </c>
      <c r="BI13" s="226"/>
      <c r="BJ13" s="229"/>
      <c r="BK13" s="227"/>
      <c r="BL13" s="324" t="s">
        <v>708</v>
      </c>
      <c r="BM13" s="324" t="s">
        <v>709</v>
      </c>
      <c r="BN13" s="324" t="s">
        <v>710</v>
      </c>
      <c r="BO13" s="330"/>
      <c r="BP13" s="385" t="str">
        <f>IF(G13="X",
   IF(BG13="Applicabile",
      IF(BJ13&lt;&gt;"",
         _xlfn.XLOOKUP($BJ13,Parametri_RA!$B:$B,Parametri_RA!$D:$D,0),
         0),
      ""),
   "")</f>
        <v/>
      </c>
      <c r="BQ13" s="385" t="str">
        <f>IF(H13="X",
   IF(BG13="Applicabile",
      IF(BJ13&lt;&gt;"",
         _xlfn.XLOOKUP($BJ13,Parametri_RA!$B:$B,Parametri_RA!$D:$D,0),
         0),
      ""),
   "")</f>
        <v/>
      </c>
      <c r="BR13" s="385" t="str">
        <f t="shared" si="46"/>
        <v/>
      </c>
      <c r="BS13" s="385" t="str">
        <f t="shared" si="47"/>
        <v/>
      </c>
      <c r="BT13" s="385" t="str">
        <f t="shared" si="48"/>
        <v/>
      </c>
      <c r="BU13" s="385" t="str">
        <f t="shared" si="49"/>
        <v/>
      </c>
      <c r="BV13" s="385" t="str">
        <f t="shared" si="50"/>
        <v/>
      </c>
      <c r="BW13" s="385" t="str">
        <f t="shared" si="51"/>
        <v/>
      </c>
      <c r="BX13" s="385" t="str">
        <f t="shared" si="52"/>
        <v/>
      </c>
      <c r="BY13" s="385" t="str">
        <f t="shared" si="53"/>
        <v/>
      </c>
      <c r="BZ13" s="385" t="str">
        <f t="shared" si="54"/>
        <v/>
      </c>
      <c r="CA13" s="385" t="str">
        <f t="shared" si="55"/>
        <v/>
      </c>
      <c r="CB13" s="385" t="str">
        <f t="shared" si="56"/>
        <v/>
      </c>
      <c r="CC13" s="385" t="str">
        <f t="shared" si="57"/>
        <v/>
      </c>
      <c r="CD13" s="385" t="str">
        <f t="shared" si="58"/>
        <v/>
      </c>
      <c r="CE13" s="385" t="str">
        <f t="shared" si="59"/>
        <v/>
      </c>
      <c r="CF13" s="385" t="str">
        <f t="shared" si="60"/>
        <v/>
      </c>
      <c r="CG13" s="385" t="str">
        <f t="shared" si="61"/>
        <v/>
      </c>
      <c r="CH13" s="385" t="str">
        <f t="shared" si="62"/>
        <v/>
      </c>
      <c r="CI13" s="385" t="str">
        <f t="shared" si="63"/>
        <v/>
      </c>
      <c r="CJ13" s="385" t="str">
        <f t="shared" si="64"/>
        <v/>
      </c>
      <c r="CK13" s="385" t="str">
        <f t="shared" si="65"/>
        <v/>
      </c>
      <c r="CL13" s="385" t="str">
        <f t="shared" si="66"/>
        <v/>
      </c>
      <c r="CM13" s="385" t="str">
        <f t="shared" si="67"/>
        <v/>
      </c>
      <c r="CN13" s="385" t="str">
        <f t="shared" si="68"/>
        <v/>
      </c>
      <c r="CO13" s="385" t="str">
        <f t="shared" si="69"/>
        <v/>
      </c>
      <c r="CP13" s="385" t="str">
        <f t="shared" si="70"/>
        <v/>
      </c>
      <c r="CQ13" s="385" t="str">
        <f t="shared" si="71"/>
        <v/>
      </c>
      <c r="CR13" s="385" t="str">
        <f t="shared" si="72"/>
        <v/>
      </c>
      <c r="CS13" s="385" t="str">
        <f t="shared" si="73"/>
        <v/>
      </c>
      <c r="CT13" s="385" t="str">
        <f t="shared" si="74"/>
        <v/>
      </c>
      <c r="CU13" s="385" t="str">
        <f t="shared" si="75"/>
        <v/>
      </c>
      <c r="CV13" s="385" t="str">
        <f t="shared" si="76"/>
        <v/>
      </c>
      <c r="CW13" s="385" t="str">
        <f t="shared" si="77"/>
        <v/>
      </c>
      <c r="CX13" s="385" t="str">
        <f t="shared" si="78"/>
        <v/>
      </c>
      <c r="CY13" s="385" t="str">
        <f t="shared" si="79"/>
        <v/>
      </c>
      <c r="CZ13" s="385" t="str">
        <f t="shared" si="80"/>
        <v/>
      </c>
      <c r="DA13" s="385" t="str">
        <f t="shared" si="81"/>
        <v/>
      </c>
      <c r="DB13" s="385" t="str">
        <f t="shared" si="82"/>
        <v/>
      </c>
      <c r="DC13" s="385" t="str">
        <f t="shared" si="83"/>
        <v/>
      </c>
      <c r="DD13" s="385" t="str">
        <f t="shared" si="84"/>
        <v/>
      </c>
      <c r="DE13" s="385" t="str">
        <f t="shared" si="85"/>
        <v/>
      </c>
      <c r="DF13" s="385" t="str">
        <f t="shared" si="86"/>
        <v/>
      </c>
      <c r="DG13" s="385" t="str">
        <f t="shared" si="87"/>
        <v/>
      </c>
      <c r="DH13" s="385" t="str">
        <f t="shared" si="88"/>
        <v/>
      </c>
      <c r="DI13" s="385" t="str">
        <f t="shared" si="89"/>
        <v/>
      </c>
    </row>
    <row r="14" spans="1:114" ht="85" x14ac:dyDescent="0.35">
      <c r="A14" s="21" t="s">
        <v>711</v>
      </c>
      <c r="B14" s="396">
        <f>'Appoggio_BIA Servizio'!$B$5</f>
        <v>0</v>
      </c>
      <c r="C14" s="392" t="s">
        <v>651</v>
      </c>
      <c r="D14" s="392" t="s">
        <v>712</v>
      </c>
      <c r="E14" s="393" t="s">
        <v>713</v>
      </c>
      <c r="F14" s="240" t="s">
        <v>663</v>
      </c>
      <c r="G14" s="240" t="s">
        <v>655</v>
      </c>
      <c r="H14" s="240"/>
      <c r="I14" s="240">
        <v>0.4</v>
      </c>
      <c r="J14" s="240">
        <v>0.4</v>
      </c>
      <c r="K14" s="240"/>
      <c r="L14" s="394"/>
      <c r="M14" s="240"/>
      <c r="N14" s="240">
        <v>0.4</v>
      </c>
      <c r="O14" s="394"/>
      <c r="P14" s="394">
        <v>0.7</v>
      </c>
      <c r="Q14" s="240"/>
      <c r="R14" s="394"/>
      <c r="S14" s="394">
        <v>0.7</v>
      </c>
      <c r="T14" s="394">
        <v>0.7</v>
      </c>
      <c r="U14" s="394">
        <v>0.7</v>
      </c>
      <c r="V14" s="394"/>
      <c r="W14" s="394"/>
      <c r="X14" s="394"/>
      <c r="Y14" s="394"/>
      <c r="Z14" s="394"/>
      <c r="AA14" s="394"/>
      <c r="AB14" s="240"/>
      <c r="AC14" s="394"/>
      <c r="AD14" s="394"/>
      <c r="AE14" s="395"/>
      <c r="AF14" s="395"/>
      <c r="AG14" s="395"/>
      <c r="AH14" s="395"/>
      <c r="AI14" s="395"/>
      <c r="AJ14" s="395"/>
      <c r="AK14" s="395"/>
      <c r="AL14" s="395"/>
      <c r="AM14" s="395"/>
      <c r="AN14" s="395"/>
      <c r="AO14" s="395"/>
      <c r="AP14" s="395"/>
      <c r="AQ14" s="395"/>
      <c r="AR14" s="395"/>
      <c r="AS14" s="395"/>
      <c r="AT14" s="395">
        <v>1</v>
      </c>
      <c r="AU14" s="395"/>
      <c r="AV14" s="395"/>
      <c r="AW14" s="395"/>
      <c r="AX14" s="395"/>
      <c r="AY14" s="395"/>
      <c r="AZ14" s="395"/>
      <c r="BA14" s="395"/>
      <c r="BB14" s="395"/>
      <c r="BC14" s="395"/>
      <c r="BD14" s="395"/>
      <c r="BE14" s="395"/>
      <c r="BF14" s="225">
        <f t="shared" si="0"/>
        <v>0</v>
      </c>
      <c r="BG14" s="226" t="str">
        <f t="shared" si="1"/>
        <v>Non Applicabile</v>
      </c>
      <c r="BH14" s="226" t="s">
        <v>714</v>
      </c>
      <c r="BI14" s="226"/>
      <c r="BJ14" s="229"/>
      <c r="BK14" s="227"/>
      <c r="BL14" s="324" t="s">
        <v>715</v>
      </c>
      <c r="BM14" s="324" t="s">
        <v>716</v>
      </c>
      <c r="BN14" s="324" t="s">
        <v>717</v>
      </c>
      <c r="BO14" s="330"/>
      <c r="BP14" s="385" t="str">
        <f>IF(G14="X",
   IF(BG14="Applicabile",
      IF(BJ14&lt;&gt;"",
         _xlfn.XLOOKUP($BJ14,Parametri_RA!$B:$B,Parametri_RA!$D:$D,0),
         0),
      ""),
   "")</f>
        <v/>
      </c>
      <c r="BQ14" s="385" t="str">
        <f>IF(H14="X",
   IF(BG14="Applicabile",
      IF(BJ14&lt;&gt;"",
         _xlfn.XLOOKUP($BJ14,Parametri_RA!$B:$B,Parametri_RA!$D:$D,0),
         0),
      ""),
   "")</f>
        <v/>
      </c>
      <c r="BR14" s="385" t="str">
        <f t="shared" si="46"/>
        <v/>
      </c>
      <c r="BS14" s="385" t="str">
        <f t="shared" si="47"/>
        <v/>
      </c>
      <c r="BT14" s="385" t="str">
        <f t="shared" si="48"/>
        <v/>
      </c>
      <c r="BU14" s="385" t="str">
        <f t="shared" si="49"/>
        <v/>
      </c>
      <c r="BV14" s="385" t="str">
        <f t="shared" si="50"/>
        <v/>
      </c>
      <c r="BW14" s="385" t="str">
        <f t="shared" si="51"/>
        <v/>
      </c>
      <c r="BX14" s="385" t="str">
        <f t="shared" si="52"/>
        <v/>
      </c>
      <c r="BY14" s="385" t="str">
        <f t="shared" si="53"/>
        <v/>
      </c>
      <c r="BZ14" s="385" t="str">
        <f t="shared" si="54"/>
        <v/>
      </c>
      <c r="CA14" s="385" t="str">
        <f t="shared" si="55"/>
        <v/>
      </c>
      <c r="CB14" s="385" t="str">
        <f t="shared" si="56"/>
        <v/>
      </c>
      <c r="CC14" s="385" t="str">
        <f t="shared" si="57"/>
        <v/>
      </c>
      <c r="CD14" s="385" t="str">
        <f t="shared" si="58"/>
        <v/>
      </c>
      <c r="CE14" s="385" t="str">
        <f t="shared" si="59"/>
        <v/>
      </c>
      <c r="CF14" s="385" t="str">
        <f t="shared" si="60"/>
        <v/>
      </c>
      <c r="CG14" s="385" t="str">
        <f t="shared" si="61"/>
        <v/>
      </c>
      <c r="CH14" s="385" t="str">
        <f t="shared" si="62"/>
        <v/>
      </c>
      <c r="CI14" s="385" t="str">
        <f t="shared" si="63"/>
        <v/>
      </c>
      <c r="CJ14" s="385" t="str">
        <f t="shared" si="64"/>
        <v/>
      </c>
      <c r="CK14" s="385" t="str">
        <f t="shared" si="65"/>
        <v/>
      </c>
      <c r="CL14" s="385" t="str">
        <f t="shared" si="66"/>
        <v/>
      </c>
      <c r="CM14" s="385" t="str">
        <f t="shared" si="67"/>
        <v/>
      </c>
      <c r="CN14" s="385" t="str">
        <f t="shared" si="68"/>
        <v/>
      </c>
      <c r="CO14" s="385" t="str">
        <f t="shared" si="69"/>
        <v/>
      </c>
      <c r="CP14" s="385" t="str">
        <f t="shared" si="70"/>
        <v/>
      </c>
      <c r="CQ14" s="385" t="str">
        <f t="shared" si="71"/>
        <v/>
      </c>
      <c r="CR14" s="385" t="str">
        <f t="shared" si="72"/>
        <v/>
      </c>
      <c r="CS14" s="385" t="str">
        <f t="shared" si="73"/>
        <v/>
      </c>
      <c r="CT14" s="385" t="str">
        <f t="shared" si="74"/>
        <v/>
      </c>
      <c r="CU14" s="385" t="str">
        <f t="shared" si="75"/>
        <v/>
      </c>
      <c r="CV14" s="385" t="str">
        <f t="shared" si="76"/>
        <v/>
      </c>
      <c r="CW14" s="385" t="str">
        <f t="shared" si="77"/>
        <v/>
      </c>
      <c r="CX14" s="385" t="str">
        <f t="shared" si="78"/>
        <v/>
      </c>
      <c r="CY14" s="385" t="str">
        <f t="shared" si="79"/>
        <v/>
      </c>
      <c r="CZ14" s="385" t="str">
        <f t="shared" si="80"/>
        <v/>
      </c>
      <c r="DA14" s="385" t="str">
        <f t="shared" si="81"/>
        <v/>
      </c>
      <c r="DB14" s="385" t="str">
        <f t="shared" si="82"/>
        <v/>
      </c>
      <c r="DC14" s="385" t="str">
        <f t="shared" si="83"/>
        <v/>
      </c>
      <c r="DD14" s="385" t="str">
        <f t="shared" si="84"/>
        <v/>
      </c>
      <c r="DE14" s="385" t="str">
        <f t="shared" si="85"/>
        <v/>
      </c>
      <c r="DF14" s="385" t="str">
        <f t="shared" si="86"/>
        <v/>
      </c>
      <c r="DG14" s="385" t="str">
        <f t="shared" si="87"/>
        <v/>
      </c>
      <c r="DH14" s="385" t="str">
        <f t="shared" si="88"/>
        <v/>
      </c>
      <c r="DI14" s="385" t="str">
        <f t="shared" si="89"/>
        <v/>
      </c>
    </row>
    <row r="15" spans="1:114" ht="51" x14ac:dyDescent="0.35">
      <c r="A15" s="21" t="s">
        <v>718</v>
      </c>
      <c r="B15" s="396">
        <f>'Appoggio_BIA Servizio'!$B$5</f>
        <v>0</v>
      </c>
      <c r="C15" s="392" t="s">
        <v>651</v>
      </c>
      <c r="D15" s="392" t="s">
        <v>719</v>
      </c>
      <c r="E15" s="393" t="s">
        <v>720</v>
      </c>
      <c r="F15" s="240" t="s">
        <v>663</v>
      </c>
      <c r="G15" s="240" t="s">
        <v>655</v>
      </c>
      <c r="H15" s="240"/>
      <c r="I15" s="240">
        <v>0.4</v>
      </c>
      <c r="J15" s="240">
        <v>0.4</v>
      </c>
      <c r="K15" s="240"/>
      <c r="L15" s="394"/>
      <c r="M15" s="240"/>
      <c r="N15" s="240">
        <v>0.4</v>
      </c>
      <c r="O15" s="394"/>
      <c r="P15" s="240">
        <v>0.4</v>
      </c>
      <c r="Q15" s="240"/>
      <c r="R15" s="394"/>
      <c r="S15" s="394"/>
      <c r="T15" s="394">
        <v>0.4</v>
      </c>
      <c r="U15" s="394">
        <v>0.4</v>
      </c>
      <c r="V15" s="394"/>
      <c r="W15" s="394"/>
      <c r="X15" s="394"/>
      <c r="Y15" s="394"/>
      <c r="Z15" s="394"/>
      <c r="AA15" s="394"/>
      <c r="AB15" s="240"/>
      <c r="AC15" s="394"/>
      <c r="AD15" s="394"/>
      <c r="AE15" s="395"/>
      <c r="AF15" s="395"/>
      <c r="AG15" s="395"/>
      <c r="AH15" s="395"/>
      <c r="AI15" s="395"/>
      <c r="AJ15" s="395"/>
      <c r="AK15" s="395"/>
      <c r="AL15" s="395"/>
      <c r="AM15" s="395"/>
      <c r="AN15" s="395"/>
      <c r="AO15" s="395"/>
      <c r="AP15" s="395"/>
      <c r="AQ15" s="395"/>
      <c r="AR15" s="395"/>
      <c r="AS15" s="395"/>
      <c r="AT15" s="395">
        <v>1</v>
      </c>
      <c r="AU15" s="395"/>
      <c r="AV15" s="395"/>
      <c r="AW15" s="395"/>
      <c r="AX15" s="395"/>
      <c r="AY15" s="395"/>
      <c r="AZ15" s="395"/>
      <c r="BA15" s="395"/>
      <c r="BB15" s="395"/>
      <c r="BC15" s="395"/>
      <c r="BD15" s="395"/>
      <c r="BE15" s="395"/>
      <c r="BF15" s="225">
        <f t="shared" si="0"/>
        <v>0</v>
      </c>
      <c r="BG15" s="226" t="str">
        <f t="shared" si="1"/>
        <v>Non Applicabile</v>
      </c>
      <c r="BH15" s="226" t="s">
        <v>721</v>
      </c>
      <c r="BI15" s="226"/>
      <c r="BJ15" s="229"/>
      <c r="BK15" s="227"/>
      <c r="BL15" s="324" t="s">
        <v>722</v>
      </c>
      <c r="BM15" s="324" t="s">
        <v>723</v>
      </c>
      <c r="BN15" s="324" t="s">
        <v>724</v>
      </c>
      <c r="BO15" s="330"/>
      <c r="BP15" s="385" t="str">
        <f>IF(G15="X",
   IF(BG15="Applicabile",
      IF(BJ15&lt;&gt;"",
         _xlfn.XLOOKUP($BJ15,Parametri_RA!$B:$B,Parametri_RA!$D:$D,0),
         0),
      ""),
   "")</f>
        <v/>
      </c>
      <c r="BQ15" s="385" t="str">
        <f>IF(H15="X",
   IF(BG15="Applicabile",
      IF(BJ15&lt;&gt;"",
         _xlfn.XLOOKUP($BJ15,Parametri_RA!$B:$B,Parametri_RA!$D:$D,0),
         0),
      ""),
   "")</f>
        <v/>
      </c>
      <c r="BR15" s="385" t="str">
        <f t="shared" si="46"/>
        <v/>
      </c>
      <c r="BS15" s="385" t="str">
        <f t="shared" si="47"/>
        <v/>
      </c>
      <c r="BT15" s="385" t="str">
        <f t="shared" si="48"/>
        <v/>
      </c>
      <c r="BU15" s="385" t="str">
        <f t="shared" si="49"/>
        <v/>
      </c>
      <c r="BV15" s="385" t="str">
        <f t="shared" si="50"/>
        <v/>
      </c>
      <c r="BW15" s="385" t="str">
        <f t="shared" si="51"/>
        <v/>
      </c>
      <c r="BX15" s="385" t="str">
        <f t="shared" si="52"/>
        <v/>
      </c>
      <c r="BY15" s="385" t="str">
        <f t="shared" si="53"/>
        <v/>
      </c>
      <c r="BZ15" s="385" t="str">
        <f t="shared" si="54"/>
        <v/>
      </c>
      <c r="CA15" s="385" t="str">
        <f t="shared" si="55"/>
        <v/>
      </c>
      <c r="CB15" s="385" t="str">
        <f t="shared" si="56"/>
        <v/>
      </c>
      <c r="CC15" s="385" t="str">
        <f t="shared" si="57"/>
        <v/>
      </c>
      <c r="CD15" s="385" t="str">
        <f t="shared" si="58"/>
        <v/>
      </c>
      <c r="CE15" s="385" t="str">
        <f t="shared" si="59"/>
        <v/>
      </c>
      <c r="CF15" s="385" t="str">
        <f t="shared" si="60"/>
        <v/>
      </c>
      <c r="CG15" s="385" t="str">
        <f t="shared" si="61"/>
        <v/>
      </c>
      <c r="CH15" s="385" t="str">
        <f t="shared" si="62"/>
        <v/>
      </c>
      <c r="CI15" s="385" t="str">
        <f t="shared" si="63"/>
        <v/>
      </c>
      <c r="CJ15" s="385" t="str">
        <f t="shared" si="64"/>
        <v/>
      </c>
      <c r="CK15" s="385" t="str">
        <f t="shared" si="65"/>
        <v/>
      </c>
      <c r="CL15" s="385" t="str">
        <f t="shared" si="66"/>
        <v/>
      </c>
      <c r="CM15" s="385" t="str">
        <f t="shared" si="67"/>
        <v/>
      </c>
      <c r="CN15" s="385" t="str">
        <f t="shared" si="68"/>
        <v/>
      </c>
      <c r="CO15" s="385" t="str">
        <f t="shared" si="69"/>
        <v/>
      </c>
      <c r="CP15" s="385" t="str">
        <f t="shared" si="70"/>
        <v/>
      </c>
      <c r="CQ15" s="385" t="str">
        <f t="shared" si="71"/>
        <v/>
      </c>
      <c r="CR15" s="385" t="str">
        <f t="shared" si="72"/>
        <v/>
      </c>
      <c r="CS15" s="385" t="str">
        <f t="shared" si="73"/>
        <v/>
      </c>
      <c r="CT15" s="385" t="str">
        <f t="shared" si="74"/>
        <v/>
      </c>
      <c r="CU15" s="385" t="str">
        <f t="shared" si="75"/>
        <v/>
      </c>
      <c r="CV15" s="385" t="str">
        <f t="shared" si="76"/>
        <v/>
      </c>
      <c r="CW15" s="385" t="str">
        <f t="shared" si="77"/>
        <v/>
      </c>
      <c r="CX15" s="385" t="str">
        <f t="shared" si="78"/>
        <v/>
      </c>
      <c r="CY15" s="385" t="str">
        <f t="shared" si="79"/>
        <v/>
      </c>
      <c r="CZ15" s="385" t="str">
        <f t="shared" si="80"/>
        <v/>
      </c>
      <c r="DA15" s="385" t="str">
        <f t="shared" si="81"/>
        <v/>
      </c>
      <c r="DB15" s="385" t="str">
        <f t="shared" si="82"/>
        <v/>
      </c>
      <c r="DC15" s="385" t="str">
        <f t="shared" si="83"/>
        <v/>
      </c>
      <c r="DD15" s="385" t="str">
        <f t="shared" si="84"/>
        <v/>
      </c>
      <c r="DE15" s="385" t="str">
        <f t="shared" si="85"/>
        <v/>
      </c>
      <c r="DF15" s="385" t="str">
        <f t="shared" si="86"/>
        <v/>
      </c>
      <c r="DG15" s="385" t="str">
        <f t="shared" si="87"/>
        <v/>
      </c>
      <c r="DH15" s="385" t="str">
        <f t="shared" si="88"/>
        <v/>
      </c>
      <c r="DI15" s="385" t="str">
        <f t="shared" si="89"/>
        <v/>
      </c>
    </row>
    <row r="16" spans="1:114" ht="66" x14ac:dyDescent="0.35">
      <c r="A16" s="21" t="s">
        <v>725</v>
      </c>
      <c r="B16" s="396">
        <f>'Appoggio_BIA Servizio'!$B$5</f>
        <v>0</v>
      </c>
      <c r="C16" s="392" t="s">
        <v>651</v>
      </c>
      <c r="D16" s="392" t="s">
        <v>726</v>
      </c>
      <c r="E16" s="393" t="s">
        <v>727</v>
      </c>
      <c r="F16" s="240" t="s">
        <v>654</v>
      </c>
      <c r="G16" s="240" t="s">
        <v>655</v>
      </c>
      <c r="H16" s="240" t="s">
        <v>655</v>
      </c>
      <c r="I16" s="240">
        <v>1</v>
      </c>
      <c r="J16" s="240">
        <v>1</v>
      </c>
      <c r="K16" s="240"/>
      <c r="L16" s="394"/>
      <c r="M16" s="240"/>
      <c r="N16" s="240">
        <v>1</v>
      </c>
      <c r="O16" s="394"/>
      <c r="P16" s="394">
        <v>1</v>
      </c>
      <c r="Q16" s="240"/>
      <c r="R16" s="394"/>
      <c r="S16" s="394"/>
      <c r="T16" s="394">
        <v>1</v>
      </c>
      <c r="U16" s="394">
        <v>1</v>
      </c>
      <c r="V16" s="394"/>
      <c r="W16" s="394"/>
      <c r="X16" s="394"/>
      <c r="Y16" s="394"/>
      <c r="Z16" s="394"/>
      <c r="AA16" s="394"/>
      <c r="AB16" s="240"/>
      <c r="AC16" s="394"/>
      <c r="AD16" s="394"/>
      <c r="AE16" s="395"/>
      <c r="AF16" s="395"/>
      <c r="AG16" s="395"/>
      <c r="AH16" s="395"/>
      <c r="AI16" s="395"/>
      <c r="AJ16" s="395"/>
      <c r="AK16" s="395"/>
      <c r="AL16" s="395"/>
      <c r="AM16" s="395"/>
      <c r="AN16" s="395"/>
      <c r="AO16" s="395"/>
      <c r="AP16" s="395"/>
      <c r="AQ16" s="395"/>
      <c r="AR16" s="395"/>
      <c r="AS16" s="395"/>
      <c r="AT16" s="395">
        <v>1</v>
      </c>
      <c r="AU16" s="395"/>
      <c r="AV16" s="395"/>
      <c r="AW16" s="395"/>
      <c r="AX16" s="395"/>
      <c r="AY16" s="395"/>
      <c r="AZ16" s="395"/>
      <c r="BA16" s="395"/>
      <c r="BB16" s="395"/>
      <c r="BC16" s="395"/>
      <c r="BD16" s="395"/>
      <c r="BE16" s="395"/>
      <c r="BF16" s="225">
        <f t="shared" si="0"/>
        <v>0</v>
      </c>
      <c r="BG16" s="226" t="str">
        <f t="shared" si="1"/>
        <v>Non Applicabile</v>
      </c>
      <c r="BH16" s="226" t="s">
        <v>728</v>
      </c>
      <c r="BI16" s="226"/>
      <c r="BJ16" s="229"/>
      <c r="BK16" s="227"/>
      <c r="BL16" s="324" t="s">
        <v>729</v>
      </c>
      <c r="BM16" s="324" t="s">
        <v>730</v>
      </c>
      <c r="BN16" s="324" t="s">
        <v>731</v>
      </c>
      <c r="BO16" s="330"/>
      <c r="BP16" s="385" t="str">
        <f>IF(G16="X",
   IF(BG16="Applicabile",
      IF(BJ16&lt;&gt;"",
         _xlfn.XLOOKUP($BJ16,Parametri_RA!$B:$B,Parametri_RA!$D:$D,0),
         0),
      ""),
   "")</f>
        <v/>
      </c>
      <c r="BQ16" s="385" t="str">
        <f>IF(H16="X",
   IF(BG16="Applicabile",
      IF(BJ16&lt;&gt;"",
         _xlfn.XLOOKUP($BJ16,Parametri_RA!$B:$B,Parametri_RA!$D:$D,0),
         0),
      ""),
   "")</f>
        <v/>
      </c>
      <c r="BR16" s="385" t="str">
        <f t="shared" si="46"/>
        <v/>
      </c>
      <c r="BS16" s="385" t="str">
        <f t="shared" si="47"/>
        <v/>
      </c>
      <c r="BT16" s="385" t="str">
        <f t="shared" si="48"/>
        <v/>
      </c>
      <c r="BU16" s="385" t="str">
        <f t="shared" si="49"/>
        <v/>
      </c>
      <c r="BV16" s="385" t="str">
        <f t="shared" si="50"/>
        <v/>
      </c>
      <c r="BW16" s="385" t="str">
        <f t="shared" si="51"/>
        <v/>
      </c>
      <c r="BX16" s="385" t="str">
        <f t="shared" si="52"/>
        <v/>
      </c>
      <c r="BY16" s="385" t="str">
        <f t="shared" si="53"/>
        <v/>
      </c>
      <c r="BZ16" s="385" t="str">
        <f t="shared" si="54"/>
        <v/>
      </c>
      <c r="CA16" s="385" t="str">
        <f t="shared" si="55"/>
        <v/>
      </c>
      <c r="CB16" s="385" t="str">
        <f t="shared" si="56"/>
        <v/>
      </c>
      <c r="CC16" s="385" t="str">
        <f t="shared" si="57"/>
        <v/>
      </c>
      <c r="CD16" s="385" t="str">
        <f t="shared" si="58"/>
        <v/>
      </c>
      <c r="CE16" s="385" t="str">
        <f t="shared" si="59"/>
        <v/>
      </c>
      <c r="CF16" s="385" t="str">
        <f t="shared" si="60"/>
        <v/>
      </c>
      <c r="CG16" s="385" t="str">
        <f t="shared" si="61"/>
        <v/>
      </c>
      <c r="CH16" s="385" t="str">
        <f t="shared" si="62"/>
        <v/>
      </c>
      <c r="CI16" s="385" t="str">
        <f t="shared" si="63"/>
        <v/>
      </c>
      <c r="CJ16" s="385" t="str">
        <f t="shared" si="64"/>
        <v/>
      </c>
      <c r="CK16" s="385" t="str">
        <f t="shared" si="65"/>
        <v/>
      </c>
      <c r="CL16" s="385" t="str">
        <f t="shared" si="66"/>
        <v/>
      </c>
      <c r="CM16" s="385" t="str">
        <f t="shared" si="67"/>
        <v/>
      </c>
      <c r="CN16" s="385" t="str">
        <f t="shared" si="68"/>
        <v/>
      </c>
      <c r="CO16" s="385" t="str">
        <f t="shared" si="69"/>
        <v/>
      </c>
      <c r="CP16" s="385" t="str">
        <f t="shared" si="70"/>
        <v/>
      </c>
      <c r="CQ16" s="385" t="str">
        <f t="shared" si="71"/>
        <v/>
      </c>
      <c r="CR16" s="385" t="str">
        <f t="shared" si="72"/>
        <v/>
      </c>
      <c r="CS16" s="385" t="str">
        <f t="shared" si="73"/>
        <v/>
      </c>
      <c r="CT16" s="385" t="str">
        <f t="shared" si="74"/>
        <v/>
      </c>
      <c r="CU16" s="385" t="str">
        <f t="shared" si="75"/>
        <v/>
      </c>
      <c r="CV16" s="385" t="str">
        <f t="shared" si="76"/>
        <v/>
      </c>
      <c r="CW16" s="385" t="str">
        <f t="shared" si="77"/>
        <v/>
      </c>
      <c r="CX16" s="385" t="str">
        <f t="shared" si="78"/>
        <v/>
      </c>
      <c r="CY16" s="385" t="str">
        <f t="shared" si="79"/>
        <v/>
      </c>
      <c r="CZ16" s="385" t="str">
        <f t="shared" si="80"/>
        <v/>
      </c>
      <c r="DA16" s="385" t="str">
        <f t="shared" si="81"/>
        <v/>
      </c>
      <c r="DB16" s="385" t="str">
        <f t="shared" si="82"/>
        <v/>
      </c>
      <c r="DC16" s="385" t="str">
        <f t="shared" si="83"/>
        <v/>
      </c>
      <c r="DD16" s="385" t="str">
        <f t="shared" si="84"/>
        <v/>
      </c>
      <c r="DE16" s="385" t="str">
        <f t="shared" si="85"/>
        <v/>
      </c>
      <c r="DF16" s="385" t="str">
        <f t="shared" si="86"/>
        <v/>
      </c>
      <c r="DG16" s="385" t="str">
        <f t="shared" si="87"/>
        <v/>
      </c>
      <c r="DH16" s="385" t="str">
        <f t="shared" si="88"/>
        <v/>
      </c>
      <c r="DI16" s="385" t="str">
        <f t="shared" si="89"/>
        <v/>
      </c>
    </row>
    <row r="17" spans="1:113" ht="82.5" x14ac:dyDescent="0.35">
      <c r="A17" s="21" t="s">
        <v>732</v>
      </c>
      <c r="B17" s="396">
        <f>'Appoggio_BIA Servizio'!$B$5</f>
        <v>0</v>
      </c>
      <c r="C17" s="392" t="s">
        <v>651</v>
      </c>
      <c r="D17" s="392" t="s">
        <v>733</v>
      </c>
      <c r="E17" s="393" t="s">
        <v>734</v>
      </c>
      <c r="F17" s="240" t="s">
        <v>654</v>
      </c>
      <c r="G17" s="240" t="s">
        <v>655</v>
      </c>
      <c r="H17" s="240" t="s">
        <v>655</v>
      </c>
      <c r="I17" s="240">
        <v>1</v>
      </c>
      <c r="J17" s="240">
        <v>1</v>
      </c>
      <c r="K17" s="240"/>
      <c r="L17" s="394"/>
      <c r="M17" s="240"/>
      <c r="N17" s="240">
        <v>1</v>
      </c>
      <c r="O17" s="394"/>
      <c r="P17" s="394">
        <v>0.7</v>
      </c>
      <c r="Q17" s="240"/>
      <c r="R17" s="394"/>
      <c r="S17" s="394">
        <v>0.7</v>
      </c>
      <c r="T17" s="394">
        <v>0.7</v>
      </c>
      <c r="U17" s="394">
        <v>0.7</v>
      </c>
      <c r="V17" s="394">
        <v>0.7</v>
      </c>
      <c r="W17" s="394">
        <v>0.4</v>
      </c>
      <c r="X17" s="394"/>
      <c r="Y17" s="394"/>
      <c r="Z17" s="394"/>
      <c r="AA17" s="394"/>
      <c r="AB17" s="240"/>
      <c r="AC17" s="394"/>
      <c r="AD17" s="394"/>
      <c r="AE17" s="395"/>
      <c r="AF17" s="395"/>
      <c r="AG17" s="395"/>
      <c r="AH17" s="395"/>
      <c r="AI17" s="395"/>
      <c r="AJ17" s="395"/>
      <c r="AK17" s="395"/>
      <c r="AL17" s="395"/>
      <c r="AM17" s="395"/>
      <c r="AN17" s="395"/>
      <c r="AO17" s="395"/>
      <c r="AP17" s="395"/>
      <c r="AQ17" s="395"/>
      <c r="AR17" s="395"/>
      <c r="AS17" s="395"/>
      <c r="AT17" s="395">
        <v>1</v>
      </c>
      <c r="AU17" s="395"/>
      <c r="AV17" s="395"/>
      <c r="AW17" s="395"/>
      <c r="AX17" s="395"/>
      <c r="AY17" s="395"/>
      <c r="AZ17" s="395"/>
      <c r="BA17" s="395"/>
      <c r="BB17" s="395"/>
      <c r="BC17" s="395"/>
      <c r="BD17" s="395"/>
      <c r="BE17" s="395"/>
      <c r="BF17" s="225">
        <f t="shared" si="0"/>
        <v>0</v>
      </c>
      <c r="BG17" s="226" t="str">
        <f t="shared" si="1"/>
        <v>Non Applicabile</v>
      </c>
      <c r="BH17" s="226" t="s">
        <v>735</v>
      </c>
      <c r="BI17" s="226"/>
      <c r="BJ17" s="229"/>
      <c r="BK17" s="227"/>
      <c r="BL17" s="324" t="s">
        <v>736</v>
      </c>
      <c r="BM17" s="324" t="s">
        <v>737</v>
      </c>
      <c r="BN17" s="324" t="s">
        <v>738</v>
      </c>
      <c r="BO17" s="330"/>
      <c r="BP17" s="385" t="str">
        <f>IF(G17="X",
   IF(BG17="Applicabile",
      IF(BJ17&lt;&gt;"",
         _xlfn.XLOOKUP($BJ17,Parametri_RA!$B:$B,Parametri_RA!$D:$D,0),
         0),
      ""),
   "")</f>
        <v/>
      </c>
      <c r="BQ17" s="385" t="str">
        <f>IF(H17="X",
   IF(BG17="Applicabile",
      IF(BJ17&lt;&gt;"",
         _xlfn.XLOOKUP($BJ17,Parametri_RA!$B:$B,Parametri_RA!$D:$D,0),
         0),
      ""),
   "")</f>
        <v/>
      </c>
      <c r="BR17" s="385" t="str">
        <f t="shared" si="46"/>
        <v/>
      </c>
      <c r="BS17" s="385" t="str">
        <f t="shared" si="47"/>
        <v/>
      </c>
      <c r="BT17" s="385" t="str">
        <f t="shared" si="48"/>
        <v/>
      </c>
      <c r="BU17" s="385" t="str">
        <f t="shared" si="49"/>
        <v/>
      </c>
      <c r="BV17" s="385" t="str">
        <f t="shared" si="50"/>
        <v/>
      </c>
      <c r="BW17" s="385" t="str">
        <f t="shared" si="51"/>
        <v/>
      </c>
      <c r="BX17" s="385" t="str">
        <f t="shared" si="52"/>
        <v/>
      </c>
      <c r="BY17" s="385" t="str">
        <f t="shared" si="53"/>
        <v/>
      </c>
      <c r="BZ17" s="385" t="str">
        <f t="shared" si="54"/>
        <v/>
      </c>
      <c r="CA17" s="385" t="str">
        <f t="shared" si="55"/>
        <v/>
      </c>
      <c r="CB17" s="385" t="str">
        <f t="shared" si="56"/>
        <v/>
      </c>
      <c r="CC17" s="385" t="str">
        <f t="shared" si="57"/>
        <v/>
      </c>
      <c r="CD17" s="385" t="str">
        <f t="shared" si="58"/>
        <v/>
      </c>
      <c r="CE17" s="385" t="str">
        <f t="shared" si="59"/>
        <v/>
      </c>
      <c r="CF17" s="385" t="str">
        <f t="shared" si="60"/>
        <v/>
      </c>
      <c r="CG17" s="385" t="str">
        <f t="shared" si="61"/>
        <v/>
      </c>
      <c r="CH17" s="385" t="str">
        <f t="shared" si="62"/>
        <v/>
      </c>
      <c r="CI17" s="385" t="str">
        <f t="shared" si="63"/>
        <v/>
      </c>
      <c r="CJ17" s="385" t="str">
        <f t="shared" si="64"/>
        <v/>
      </c>
      <c r="CK17" s="385" t="str">
        <f t="shared" si="65"/>
        <v/>
      </c>
      <c r="CL17" s="385" t="str">
        <f t="shared" si="66"/>
        <v/>
      </c>
      <c r="CM17" s="385" t="str">
        <f t="shared" si="67"/>
        <v/>
      </c>
      <c r="CN17" s="385" t="str">
        <f t="shared" si="68"/>
        <v/>
      </c>
      <c r="CO17" s="385" t="str">
        <f t="shared" si="69"/>
        <v/>
      </c>
      <c r="CP17" s="385" t="str">
        <f t="shared" si="70"/>
        <v/>
      </c>
      <c r="CQ17" s="385" t="str">
        <f t="shared" si="71"/>
        <v/>
      </c>
      <c r="CR17" s="385" t="str">
        <f t="shared" si="72"/>
        <v/>
      </c>
      <c r="CS17" s="385" t="str">
        <f t="shared" si="73"/>
        <v/>
      </c>
      <c r="CT17" s="385" t="str">
        <f t="shared" si="74"/>
        <v/>
      </c>
      <c r="CU17" s="385" t="str">
        <f t="shared" si="75"/>
        <v/>
      </c>
      <c r="CV17" s="385" t="str">
        <f t="shared" si="76"/>
        <v/>
      </c>
      <c r="CW17" s="385" t="str">
        <f t="shared" si="77"/>
        <v/>
      </c>
      <c r="CX17" s="385" t="str">
        <f t="shared" si="78"/>
        <v/>
      </c>
      <c r="CY17" s="385" t="str">
        <f t="shared" si="79"/>
        <v/>
      </c>
      <c r="CZ17" s="385" t="str">
        <f t="shared" si="80"/>
        <v/>
      </c>
      <c r="DA17" s="385" t="str">
        <f t="shared" si="81"/>
        <v/>
      </c>
      <c r="DB17" s="385" t="str">
        <f t="shared" si="82"/>
        <v/>
      </c>
      <c r="DC17" s="385" t="str">
        <f t="shared" si="83"/>
        <v/>
      </c>
      <c r="DD17" s="385" t="str">
        <f t="shared" si="84"/>
        <v/>
      </c>
      <c r="DE17" s="385" t="str">
        <f t="shared" si="85"/>
        <v/>
      </c>
      <c r="DF17" s="385" t="str">
        <f t="shared" si="86"/>
        <v/>
      </c>
      <c r="DG17" s="385" t="str">
        <f t="shared" si="87"/>
        <v/>
      </c>
      <c r="DH17" s="385" t="str">
        <f t="shared" si="88"/>
        <v/>
      </c>
      <c r="DI17" s="385" t="str">
        <f t="shared" si="89"/>
        <v/>
      </c>
    </row>
    <row r="18" spans="1:113" ht="82.5" x14ac:dyDescent="0.35">
      <c r="A18" s="21" t="s">
        <v>739</v>
      </c>
      <c r="B18" s="396">
        <f>'Appoggio_BIA Servizio'!$B$5</f>
        <v>0</v>
      </c>
      <c r="C18" s="392" t="s">
        <v>651</v>
      </c>
      <c r="D18" s="392" t="s">
        <v>740</v>
      </c>
      <c r="E18" s="393" t="s">
        <v>741</v>
      </c>
      <c r="F18" s="240" t="s">
        <v>654</v>
      </c>
      <c r="G18" s="240"/>
      <c r="H18" s="240" t="s">
        <v>655</v>
      </c>
      <c r="I18" s="240">
        <v>1</v>
      </c>
      <c r="J18" s="240">
        <v>1</v>
      </c>
      <c r="K18" s="240"/>
      <c r="L18" s="394"/>
      <c r="M18" s="240"/>
      <c r="N18" s="240">
        <v>1</v>
      </c>
      <c r="O18" s="394"/>
      <c r="P18" s="240">
        <v>0.7</v>
      </c>
      <c r="Q18" s="240"/>
      <c r="R18" s="394"/>
      <c r="S18" s="394"/>
      <c r="T18" s="394">
        <v>0.7</v>
      </c>
      <c r="U18" s="394">
        <v>0.7</v>
      </c>
      <c r="V18" s="394"/>
      <c r="W18" s="394"/>
      <c r="X18" s="394"/>
      <c r="Y18" s="394"/>
      <c r="Z18" s="394"/>
      <c r="AA18" s="394"/>
      <c r="AB18" s="240"/>
      <c r="AC18" s="394"/>
      <c r="AD18" s="394"/>
      <c r="AE18" s="395"/>
      <c r="AF18" s="395"/>
      <c r="AG18" s="395"/>
      <c r="AH18" s="395"/>
      <c r="AI18" s="395"/>
      <c r="AJ18" s="395"/>
      <c r="AK18" s="395"/>
      <c r="AL18" s="395"/>
      <c r="AM18" s="395"/>
      <c r="AN18" s="395"/>
      <c r="AO18" s="395"/>
      <c r="AP18" s="395"/>
      <c r="AQ18" s="395"/>
      <c r="AR18" s="395"/>
      <c r="AS18" s="395"/>
      <c r="AT18" s="395">
        <v>1</v>
      </c>
      <c r="AU18" s="395"/>
      <c r="AV18" s="395"/>
      <c r="AW18" s="395"/>
      <c r="AX18" s="395"/>
      <c r="AY18" s="395"/>
      <c r="AZ18" s="395"/>
      <c r="BA18" s="395"/>
      <c r="BB18" s="395"/>
      <c r="BC18" s="395"/>
      <c r="BD18" s="395"/>
      <c r="BE18" s="395"/>
      <c r="BF18" s="225">
        <f t="shared" si="0"/>
        <v>0</v>
      </c>
      <c r="BG18" s="226" t="str">
        <f t="shared" si="1"/>
        <v>Non Applicabile</v>
      </c>
      <c r="BH18" s="226" t="s">
        <v>693</v>
      </c>
      <c r="BI18" s="226"/>
      <c r="BJ18" s="229"/>
      <c r="BK18" s="227"/>
      <c r="BL18" s="324" t="s">
        <v>742</v>
      </c>
      <c r="BM18" s="324" t="s">
        <v>743</v>
      </c>
      <c r="BN18" s="324" t="s">
        <v>744</v>
      </c>
      <c r="BO18" s="330"/>
      <c r="BP18" s="385" t="str">
        <f>IF(G18="X",
   IF(BG18="Applicabile",
      IF(BJ18&lt;&gt;"",
         _xlfn.XLOOKUP($BJ18,Parametri_RA!$B:$B,Parametri_RA!$D:$D,0),
         0),
      ""),
   "")</f>
        <v/>
      </c>
      <c r="BQ18" s="385" t="str">
        <f>IF(H18="X",
   IF(BG18="Applicabile",
      IF(BJ18&lt;&gt;"",
         _xlfn.XLOOKUP($BJ18,Parametri_RA!$B:$B,Parametri_RA!$D:$D,0),
         0),
      ""),
   "")</f>
        <v/>
      </c>
      <c r="BR18" s="385" t="str">
        <f t="shared" si="46"/>
        <v/>
      </c>
      <c r="BS18" s="385" t="str">
        <f t="shared" si="47"/>
        <v/>
      </c>
      <c r="BT18" s="385" t="str">
        <f t="shared" si="48"/>
        <v/>
      </c>
      <c r="BU18" s="385" t="str">
        <f t="shared" si="49"/>
        <v/>
      </c>
      <c r="BV18" s="385" t="str">
        <f t="shared" si="50"/>
        <v/>
      </c>
      <c r="BW18" s="385" t="str">
        <f t="shared" si="51"/>
        <v/>
      </c>
      <c r="BX18" s="385" t="str">
        <f t="shared" si="52"/>
        <v/>
      </c>
      <c r="BY18" s="385" t="str">
        <f t="shared" si="53"/>
        <v/>
      </c>
      <c r="BZ18" s="385" t="str">
        <f t="shared" si="54"/>
        <v/>
      </c>
      <c r="CA18" s="385" t="str">
        <f t="shared" si="55"/>
        <v/>
      </c>
      <c r="CB18" s="385" t="str">
        <f t="shared" si="56"/>
        <v/>
      </c>
      <c r="CC18" s="385" t="str">
        <f t="shared" si="57"/>
        <v/>
      </c>
      <c r="CD18" s="385" t="str">
        <f t="shared" si="58"/>
        <v/>
      </c>
      <c r="CE18" s="385" t="str">
        <f t="shared" si="59"/>
        <v/>
      </c>
      <c r="CF18" s="385" t="str">
        <f t="shared" si="60"/>
        <v/>
      </c>
      <c r="CG18" s="385" t="str">
        <f t="shared" si="61"/>
        <v/>
      </c>
      <c r="CH18" s="385" t="str">
        <f t="shared" si="62"/>
        <v/>
      </c>
      <c r="CI18" s="385" t="str">
        <f t="shared" si="63"/>
        <v/>
      </c>
      <c r="CJ18" s="385" t="str">
        <f t="shared" si="64"/>
        <v/>
      </c>
      <c r="CK18" s="385" t="str">
        <f t="shared" si="65"/>
        <v/>
      </c>
      <c r="CL18" s="385" t="str">
        <f t="shared" si="66"/>
        <v/>
      </c>
      <c r="CM18" s="385" t="str">
        <f t="shared" si="67"/>
        <v/>
      </c>
      <c r="CN18" s="385" t="str">
        <f t="shared" si="68"/>
        <v/>
      </c>
      <c r="CO18" s="385" t="str">
        <f t="shared" si="69"/>
        <v/>
      </c>
      <c r="CP18" s="385" t="str">
        <f t="shared" si="70"/>
        <v/>
      </c>
      <c r="CQ18" s="385" t="str">
        <f t="shared" si="71"/>
        <v/>
      </c>
      <c r="CR18" s="385" t="str">
        <f t="shared" si="72"/>
        <v/>
      </c>
      <c r="CS18" s="385" t="str">
        <f t="shared" si="73"/>
        <v/>
      </c>
      <c r="CT18" s="385" t="str">
        <f t="shared" si="74"/>
        <v/>
      </c>
      <c r="CU18" s="385" t="str">
        <f t="shared" si="75"/>
        <v/>
      </c>
      <c r="CV18" s="385" t="str">
        <f t="shared" si="76"/>
        <v/>
      </c>
      <c r="CW18" s="385" t="str">
        <f t="shared" si="77"/>
        <v/>
      </c>
      <c r="CX18" s="385" t="str">
        <f t="shared" si="78"/>
        <v/>
      </c>
      <c r="CY18" s="385" t="str">
        <f t="shared" si="79"/>
        <v/>
      </c>
      <c r="CZ18" s="385" t="str">
        <f t="shared" si="80"/>
        <v/>
      </c>
      <c r="DA18" s="385" t="str">
        <f t="shared" si="81"/>
        <v/>
      </c>
      <c r="DB18" s="385" t="str">
        <f t="shared" si="82"/>
        <v/>
      </c>
      <c r="DC18" s="385" t="str">
        <f t="shared" si="83"/>
        <v/>
      </c>
      <c r="DD18" s="385" t="str">
        <f t="shared" si="84"/>
        <v/>
      </c>
      <c r="DE18" s="385" t="str">
        <f t="shared" si="85"/>
        <v/>
      </c>
      <c r="DF18" s="385" t="str">
        <f t="shared" si="86"/>
        <v/>
      </c>
      <c r="DG18" s="385" t="str">
        <f t="shared" si="87"/>
        <v/>
      </c>
      <c r="DH18" s="385" t="str">
        <f t="shared" si="88"/>
        <v/>
      </c>
      <c r="DI18" s="385" t="str">
        <f t="shared" si="89"/>
        <v/>
      </c>
    </row>
    <row r="19" spans="1:113" ht="85" x14ac:dyDescent="0.35">
      <c r="A19" s="21" t="s">
        <v>745</v>
      </c>
      <c r="B19" s="396">
        <f>'Appoggio_BIA Servizio'!$B$5</f>
        <v>0</v>
      </c>
      <c r="C19" s="392" t="s">
        <v>651</v>
      </c>
      <c r="D19" s="392" t="s">
        <v>746</v>
      </c>
      <c r="E19" s="393" t="s">
        <v>747</v>
      </c>
      <c r="F19" s="240" t="s">
        <v>654</v>
      </c>
      <c r="G19" s="240" t="s">
        <v>655</v>
      </c>
      <c r="H19" s="240" t="s">
        <v>655</v>
      </c>
      <c r="I19" s="240">
        <v>1</v>
      </c>
      <c r="J19" s="240">
        <v>1</v>
      </c>
      <c r="K19" s="240"/>
      <c r="L19" s="394"/>
      <c r="M19" s="240">
        <v>1</v>
      </c>
      <c r="N19" s="240">
        <v>1</v>
      </c>
      <c r="O19" s="394"/>
      <c r="P19" s="394"/>
      <c r="Q19" s="240"/>
      <c r="R19" s="394"/>
      <c r="S19" s="394"/>
      <c r="T19" s="394">
        <v>1</v>
      </c>
      <c r="U19" s="394">
        <v>1</v>
      </c>
      <c r="V19" s="394"/>
      <c r="W19" s="394"/>
      <c r="X19" s="394"/>
      <c r="Y19" s="394"/>
      <c r="Z19" s="394"/>
      <c r="AA19" s="394"/>
      <c r="AB19" s="240"/>
      <c r="AC19" s="394"/>
      <c r="AD19" s="394"/>
      <c r="AE19" s="395"/>
      <c r="AF19" s="395"/>
      <c r="AG19" s="395"/>
      <c r="AH19" s="395"/>
      <c r="AI19" s="395"/>
      <c r="AJ19" s="395"/>
      <c r="AK19" s="395"/>
      <c r="AL19" s="395"/>
      <c r="AM19" s="395"/>
      <c r="AN19" s="395"/>
      <c r="AO19" s="395"/>
      <c r="AP19" s="395"/>
      <c r="AQ19" s="395"/>
      <c r="AR19" s="395"/>
      <c r="AS19" s="395"/>
      <c r="AT19" s="395">
        <v>1</v>
      </c>
      <c r="AU19" s="395"/>
      <c r="AV19" s="395"/>
      <c r="AW19" s="395"/>
      <c r="AX19" s="395"/>
      <c r="AY19" s="395"/>
      <c r="AZ19" s="395"/>
      <c r="BA19" s="395"/>
      <c r="BB19" s="395"/>
      <c r="BC19" s="395"/>
      <c r="BD19" s="395"/>
      <c r="BE19" s="395"/>
      <c r="BF19" s="225">
        <f t="shared" si="0"/>
        <v>0</v>
      </c>
      <c r="BG19" s="226" t="str">
        <f t="shared" si="1"/>
        <v>Non Applicabile</v>
      </c>
      <c r="BH19" s="226" t="s">
        <v>748</v>
      </c>
      <c r="BI19" s="226"/>
      <c r="BJ19" s="229"/>
      <c r="BK19" s="227"/>
      <c r="BL19" s="324" t="s">
        <v>749</v>
      </c>
      <c r="BM19" s="324" t="s">
        <v>750</v>
      </c>
      <c r="BN19" s="324" t="s">
        <v>751</v>
      </c>
      <c r="BO19" s="330"/>
      <c r="BP19" s="385" t="str">
        <f>IF(G19="X",
   IF(BG19="Applicabile",
      IF(BJ19&lt;&gt;"",
         _xlfn.XLOOKUP($BJ19,Parametri_RA!$B:$B,Parametri_RA!$D:$D,0),
         0),
      ""),
   "")</f>
        <v/>
      </c>
      <c r="BQ19" s="385" t="str">
        <f>IF(H19="X",
   IF(BG19="Applicabile",
      IF(BJ19&lt;&gt;"",
         _xlfn.XLOOKUP($BJ19,Parametri_RA!$B:$B,Parametri_RA!$D:$D,0),
         0),
      ""),
   "")</f>
        <v/>
      </c>
      <c r="BR19" s="385" t="str">
        <f t="shared" si="46"/>
        <v/>
      </c>
      <c r="BS19" s="385" t="str">
        <f t="shared" si="47"/>
        <v/>
      </c>
      <c r="BT19" s="385" t="str">
        <f t="shared" si="48"/>
        <v/>
      </c>
      <c r="BU19" s="385" t="str">
        <f t="shared" si="49"/>
        <v/>
      </c>
      <c r="BV19" s="385" t="str">
        <f t="shared" si="50"/>
        <v/>
      </c>
      <c r="BW19" s="385" t="str">
        <f t="shared" si="51"/>
        <v/>
      </c>
      <c r="BX19" s="385" t="str">
        <f t="shared" si="52"/>
        <v/>
      </c>
      <c r="BY19" s="385" t="str">
        <f t="shared" si="53"/>
        <v/>
      </c>
      <c r="BZ19" s="385" t="str">
        <f t="shared" si="54"/>
        <v/>
      </c>
      <c r="CA19" s="385" t="str">
        <f t="shared" si="55"/>
        <v/>
      </c>
      <c r="CB19" s="385" t="str">
        <f t="shared" si="56"/>
        <v/>
      </c>
      <c r="CC19" s="385" t="str">
        <f t="shared" si="57"/>
        <v/>
      </c>
      <c r="CD19" s="385" t="str">
        <f t="shared" si="58"/>
        <v/>
      </c>
      <c r="CE19" s="385" t="str">
        <f t="shared" si="59"/>
        <v/>
      </c>
      <c r="CF19" s="385" t="str">
        <f t="shared" si="60"/>
        <v/>
      </c>
      <c r="CG19" s="385" t="str">
        <f t="shared" si="61"/>
        <v/>
      </c>
      <c r="CH19" s="385" t="str">
        <f t="shared" si="62"/>
        <v/>
      </c>
      <c r="CI19" s="385" t="str">
        <f t="shared" si="63"/>
        <v/>
      </c>
      <c r="CJ19" s="385" t="str">
        <f t="shared" si="64"/>
        <v/>
      </c>
      <c r="CK19" s="385" t="str">
        <f t="shared" si="65"/>
        <v/>
      </c>
      <c r="CL19" s="385" t="str">
        <f t="shared" si="66"/>
        <v/>
      </c>
      <c r="CM19" s="385" t="str">
        <f t="shared" si="67"/>
        <v/>
      </c>
      <c r="CN19" s="385" t="str">
        <f t="shared" si="68"/>
        <v/>
      </c>
      <c r="CO19" s="385" t="str">
        <f t="shared" si="69"/>
        <v/>
      </c>
      <c r="CP19" s="385" t="str">
        <f t="shared" si="70"/>
        <v/>
      </c>
      <c r="CQ19" s="385" t="str">
        <f t="shared" si="71"/>
        <v/>
      </c>
      <c r="CR19" s="385" t="str">
        <f t="shared" si="72"/>
        <v/>
      </c>
      <c r="CS19" s="385" t="str">
        <f t="shared" si="73"/>
        <v/>
      </c>
      <c r="CT19" s="385" t="str">
        <f t="shared" si="74"/>
        <v/>
      </c>
      <c r="CU19" s="385" t="str">
        <f t="shared" si="75"/>
        <v/>
      </c>
      <c r="CV19" s="385" t="str">
        <f t="shared" si="76"/>
        <v/>
      </c>
      <c r="CW19" s="385" t="str">
        <f t="shared" si="77"/>
        <v/>
      </c>
      <c r="CX19" s="385" t="str">
        <f t="shared" si="78"/>
        <v/>
      </c>
      <c r="CY19" s="385" t="str">
        <f t="shared" si="79"/>
        <v/>
      </c>
      <c r="CZ19" s="385" t="str">
        <f t="shared" si="80"/>
        <v/>
      </c>
      <c r="DA19" s="385" t="str">
        <f t="shared" si="81"/>
        <v/>
      </c>
      <c r="DB19" s="385" t="str">
        <f t="shared" si="82"/>
        <v/>
      </c>
      <c r="DC19" s="385" t="str">
        <f t="shared" si="83"/>
        <v/>
      </c>
      <c r="DD19" s="385" t="str">
        <f t="shared" si="84"/>
        <v/>
      </c>
      <c r="DE19" s="385" t="str">
        <f t="shared" si="85"/>
        <v/>
      </c>
      <c r="DF19" s="385" t="str">
        <f t="shared" si="86"/>
        <v/>
      </c>
      <c r="DG19" s="385" t="str">
        <f t="shared" si="87"/>
        <v/>
      </c>
      <c r="DH19" s="385" t="str">
        <f t="shared" si="88"/>
        <v/>
      </c>
      <c r="DI19" s="385" t="str">
        <f t="shared" si="89"/>
        <v/>
      </c>
    </row>
    <row r="20" spans="1:113" ht="85" x14ac:dyDescent="0.35">
      <c r="A20" s="21" t="s">
        <v>752</v>
      </c>
      <c r="B20" s="396">
        <f>'Appoggio_BIA Servizio'!$B$5</f>
        <v>0</v>
      </c>
      <c r="C20" s="392" t="s">
        <v>651</v>
      </c>
      <c r="D20" s="392" t="s">
        <v>753</v>
      </c>
      <c r="E20" s="393" t="s">
        <v>754</v>
      </c>
      <c r="F20" s="240" t="s">
        <v>671</v>
      </c>
      <c r="G20" s="240" t="s">
        <v>655</v>
      </c>
      <c r="H20" s="240" t="s">
        <v>655</v>
      </c>
      <c r="I20" s="240">
        <v>0.7</v>
      </c>
      <c r="J20" s="240">
        <v>0.7</v>
      </c>
      <c r="K20" s="240"/>
      <c r="L20" s="394"/>
      <c r="M20" s="240"/>
      <c r="N20" s="240">
        <v>0.7</v>
      </c>
      <c r="O20" s="394"/>
      <c r="P20" s="240">
        <v>0.7</v>
      </c>
      <c r="Q20" s="240"/>
      <c r="R20" s="394"/>
      <c r="S20" s="394"/>
      <c r="T20" s="394">
        <v>0.7</v>
      </c>
      <c r="U20" s="240">
        <v>0.4</v>
      </c>
      <c r="V20" s="394">
        <v>0.7</v>
      </c>
      <c r="W20" s="394"/>
      <c r="X20" s="394"/>
      <c r="Y20" s="394"/>
      <c r="Z20" s="394"/>
      <c r="AA20" s="394"/>
      <c r="AB20" s="240"/>
      <c r="AC20" s="394"/>
      <c r="AD20" s="394"/>
      <c r="AE20" s="395"/>
      <c r="AF20" s="395"/>
      <c r="AG20" s="395"/>
      <c r="AH20" s="395"/>
      <c r="AI20" s="395"/>
      <c r="AJ20" s="395"/>
      <c r="AK20" s="395"/>
      <c r="AL20" s="395"/>
      <c r="AM20" s="395"/>
      <c r="AN20" s="395"/>
      <c r="AO20" s="395"/>
      <c r="AP20" s="395"/>
      <c r="AQ20" s="395"/>
      <c r="AR20" s="395"/>
      <c r="AS20" s="395"/>
      <c r="AT20" s="395">
        <v>1</v>
      </c>
      <c r="AU20" s="395"/>
      <c r="AV20" s="395"/>
      <c r="AW20" s="395"/>
      <c r="AX20" s="395"/>
      <c r="AY20" s="395"/>
      <c r="AZ20" s="395"/>
      <c r="BA20" s="395"/>
      <c r="BB20" s="395"/>
      <c r="BC20" s="395"/>
      <c r="BD20" s="395"/>
      <c r="BE20" s="395"/>
      <c r="BF20" s="225">
        <f t="shared" si="0"/>
        <v>0</v>
      </c>
      <c r="BG20" s="226" t="str">
        <f t="shared" si="1"/>
        <v>Non Applicabile</v>
      </c>
      <c r="BH20" s="226" t="s">
        <v>755</v>
      </c>
      <c r="BI20" s="226"/>
      <c r="BJ20" s="229"/>
      <c r="BK20" s="227"/>
      <c r="BL20" s="324" t="s">
        <v>756</v>
      </c>
      <c r="BM20" s="324" t="s">
        <v>757</v>
      </c>
      <c r="BN20" s="324" t="s">
        <v>758</v>
      </c>
      <c r="BO20" s="330"/>
      <c r="BP20" s="385" t="str">
        <f>IF(G20="X",
   IF(BG20="Applicabile",
      IF(BJ20&lt;&gt;"",
         _xlfn.XLOOKUP($BJ20,Parametri_RA!$B:$B,Parametri_RA!$D:$D,0),
         0),
      ""),
   "")</f>
        <v/>
      </c>
      <c r="BQ20" s="385" t="str">
        <f>IF(H20="X",
   IF(BG20="Applicabile",
      IF(BJ20&lt;&gt;"",
         _xlfn.XLOOKUP($BJ20,Parametri_RA!$B:$B,Parametri_RA!$D:$D,0),
         0),
      ""),
   "")</f>
        <v/>
      </c>
      <c r="BR20" s="385" t="str">
        <f t="shared" si="46"/>
        <v/>
      </c>
      <c r="BS20" s="385" t="str">
        <f t="shared" si="47"/>
        <v/>
      </c>
      <c r="BT20" s="385" t="str">
        <f t="shared" si="48"/>
        <v/>
      </c>
      <c r="BU20" s="385" t="str">
        <f t="shared" si="49"/>
        <v/>
      </c>
      <c r="BV20" s="385" t="str">
        <f t="shared" si="50"/>
        <v/>
      </c>
      <c r="BW20" s="385" t="str">
        <f t="shared" si="51"/>
        <v/>
      </c>
      <c r="BX20" s="385" t="str">
        <f t="shared" si="52"/>
        <v/>
      </c>
      <c r="BY20" s="385" t="str">
        <f t="shared" si="53"/>
        <v/>
      </c>
      <c r="BZ20" s="385" t="str">
        <f t="shared" si="54"/>
        <v/>
      </c>
      <c r="CA20" s="385" t="str">
        <f t="shared" si="55"/>
        <v/>
      </c>
      <c r="CB20" s="385" t="str">
        <f t="shared" si="56"/>
        <v/>
      </c>
      <c r="CC20" s="385" t="str">
        <f t="shared" si="57"/>
        <v/>
      </c>
      <c r="CD20" s="385" t="str">
        <f t="shared" si="58"/>
        <v/>
      </c>
      <c r="CE20" s="385" t="str">
        <f t="shared" si="59"/>
        <v/>
      </c>
      <c r="CF20" s="385" t="str">
        <f t="shared" si="60"/>
        <v/>
      </c>
      <c r="CG20" s="385" t="str">
        <f t="shared" si="61"/>
        <v/>
      </c>
      <c r="CH20" s="385" t="str">
        <f t="shared" si="62"/>
        <v/>
      </c>
      <c r="CI20" s="385" t="str">
        <f t="shared" si="63"/>
        <v/>
      </c>
      <c r="CJ20" s="385" t="str">
        <f t="shared" si="64"/>
        <v/>
      </c>
      <c r="CK20" s="385" t="str">
        <f t="shared" si="65"/>
        <v/>
      </c>
      <c r="CL20" s="385" t="str">
        <f t="shared" si="66"/>
        <v/>
      </c>
      <c r="CM20" s="385" t="str">
        <f t="shared" si="67"/>
        <v/>
      </c>
      <c r="CN20" s="385" t="str">
        <f t="shared" si="68"/>
        <v/>
      </c>
      <c r="CO20" s="385" t="str">
        <f t="shared" si="69"/>
        <v/>
      </c>
      <c r="CP20" s="385" t="str">
        <f t="shared" si="70"/>
        <v/>
      </c>
      <c r="CQ20" s="385" t="str">
        <f t="shared" si="71"/>
        <v/>
      </c>
      <c r="CR20" s="385" t="str">
        <f t="shared" si="72"/>
        <v/>
      </c>
      <c r="CS20" s="385" t="str">
        <f t="shared" si="73"/>
        <v/>
      </c>
      <c r="CT20" s="385" t="str">
        <f t="shared" si="74"/>
        <v/>
      </c>
      <c r="CU20" s="385" t="str">
        <f t="shared" si="75"/>
        <v/>
      </c>
      <c r="CV20" s="385" t="str">
        <f t="shared" si="76"/>
        <v/>
      </c>
      <c r="CW20" s="385" t="str">
        <f t="shared" si="77"/>
        <v/>
      </c>
      <c r="CX20" s="385" t="str">
        <f t="shared" si="78"/>
        <v/>
      </c>
      <c r="CY20" s="385" t="str">
        <f t="shared" si="79"/>
        <v/>
      </c>
      <c r="CZ20" s="385" t="str">
        <f t="shared" si="80"/>
        <v/>
      </c>
      <c r="DA20" s="385" t="str">
        <f t="shared" si="81"/>
        <v/>
      </c>
      <c r="DB20" s="385" t="str">
        <f t="shared" si="82"/>
        <v/>
      </c>
      <c r="DC20" s="385" t="str">
        <f t="shared" si="83"/>
        <v/>
      </c>
      <c r="DD20" s="385" t="str">
        <f t="shared" si="84"/>
        <v/>
      </c>
      <c r="DE20" s="385" t="str">
        <f t="shared" si="85"/>
        <v/>
      </c>
      <c r="DF20" s="385" t="str">
        <f t="shared" si="86"/>
        <v/>
      </c>
      <c r="DG20" s="385" t="str">
        <f t="shared" si="87"/>
        <v/>
      </c>
      <c r="DH20" s="385" t="str">
        <f t="shared" si="88"/>
        <v/>
      </c>
      <c r="DI20" s="385" t="str">
        <f t="shared" si="89"/>
        <v/>
      </c>
    </row>
    <row r="21" spans="1:113" ht="102" x14ac:dyDescent="0.35">
      <c r="A21" s="21" t="s">
        <v>759</v>
      </c>
      <c r="B21" s="396">
        <f>'Appoggio_BIA Servizio'!$B$5</f>
        <v>0</v>
      </c>
      <c r="C21" s="392" t="s">
        <v>760</v>
      </c>
      <c r="D21" s="392" t="s">
        <v>761</v>
      </c>
      <c r="E21" s="393" t="s">
        <v>762</v>
      </c>
      <c r="F21" s="240" t="s">
        <v>671</v>
      </c>
      <c r="G21" s="240" t="s">
        <v>655</v>
      </c>
      <c r="H21" s="240"/>
      <c r="I21" s="240">
        <v>0.7</v>
      </c>
      <c r="J21" s="240">
        <v>0.7</v>
      </c>
      <c r="K21" s="240">
        <v>0.7</v>
      </c>
      <c r="L21" s="240">
        <v>0.4</v>
      </c>
      <c r="M21" s="240"/>
      <c r="N21" s="240">
        <v>0.7</v>
      </c>
      <c r="O21" s="394"/>
      <c r="P21" s="394"/>
      <c r="Q21" s="240"/>
      <c r="R21" s="394"/>
      <c r="S21" s="394"/>
      <c r="T21" s="394">
        <v>0.7</v>
      </c>
      <c r="U21" s="394">
        <v>0.7</v>
      </c>
      <c r="V21" s="394"/>
      <c r="W21" s="394"/>
      <c r="X21" s="394"/>
      <c r="Y21" s="394"/>
      <c r="Z21" s="394"/>
      <c r="AA21" s="394"/>
      <c r="AB21" s="240"/>
      <c r="AC21" s="394"/>
      <c r="AD21" s="394"/>
      <c r="AE21" s="395"/>
      <c r="AF21" s="395"/>
      <c r="AG21" s="395"/>
      <c r="AH21" s="395"/>
      <c r="AI21" s="395"/>
      <c r="AJ21" s="395"/>
      <c r="AK21" s="395"/>
      <c r="AL21" s="395">
        <v>1</v>
      </c>
      <c r="AM21" s="395">
        <v>1</v>
      </c>
      <c r="AN21" s="395"/>
      <c r="AO21" s="395">
        <v>1</v>
      </c>
      <c r="AP21" s="395"/>
      <c r="AQ21" s="395"/>
      <c r="AR21" s="395">
        <v>1</v>
      </c>
      <c r="AS21" s="395"/>
      <c r="AT21" s="395">
        <v>1</v>
      </c>
      <c r="AU21" s="395">
        <v>1</v>
      </c>
      <c r="AV21" s="395"/>
      <c r="AW21" s="395">
        <v>1</v>
      </c>
      <c r="AX21" s="395"/>
      <c r="AY21" s="395"/>
      <c r="AZ21" s="395">
        <v>1</v>
      </c>
      <c r="BA21" s="395"/>
      <c r="BB21" s="395"/>
      <c r="BC21" s="395"/>
      <c r="BD21" s="395"/>
      <c r="BE21" s="395"/>
      <c r="BF21" s="225">
        <f t="shared" si="0"/>
        <v>0</v>
      </c>
      <c r="BG21" s="226" t="str">
        <f t="shared" si="1"/>
        <v>Non Applicabile</v>
      </c>
      <c r="BH21" s="226" t="s">
        <v>693</v>
      </c>
      <c r="BI21" s="228"/>
      <c r="BJ21" s="229"/>
      <c r="BK21" s="227"/>
      <c r="BL21" s="324" t="s">
        <v>763</v>
      </c>
      <c r="BM21" s="324" t="s">
        <v>764</v>
      </c>
      <c r="BN21" s="324" t="s">
        <v>765</v>
      </c>
      <c r="BO21" s="330"/>
      <c r="BP21" s="385" t="str">
        <f>IF(G21="X",
   IF(BG21="Applicabile",
      IF(BJ21&lt;&gt;"",
         _xlfn.XLOOKUP($BJ21,Parametri_RA!$B:$B,Parametri_RA!$D:$D,0),
         0),
      ""),
   "")</f>
        <v/>
      </c>
      <c r="BQ21" s="385" t="str">
        <f>IF(H21="X",
   IF(BG21="Applicabile",
      IF(BJ21&lt;&gt;"",
         _xlfn.XLOOKUP($BJ21,Parametri_RA!$B:$B,Parametri_RA!$D:$D,0),
         0),
      ""),
   "")</f>
        <v/>
      </c>
      <c r="BR21" s="385" t="str">
        <f t="shared" si="46"/>
        <v/>
      </c>
      <c r="BS21" s="385" t="str">
        <f t="shared" si="47"/>
        <v/>
      </c>
      <c r="BT21" s="385" t="str">
        <f t="shared" si="48"/>
        <v/>
      </c>
      <c r="BU21" s="385" t="str">
        <f t="shared" si="49"/>
        <v/>
      </c>
      <c r="BV21" s="385" t="str">
        <f t="shared" si="50"/>
        <v/>
      </c>
      <c r="BW21" s="385" t="str">
        <f t="shared" si="51"/>
        <v/>
      </c>
      <c r="BX21" s="385" t="str">
        <f t="shared" si="52"/>
        <v/>
      </c>
      <c r="BY21" s="385" t="str">
        <f t="shared" si="53"/>
        <v/>
      </c>
      <c r="BZ21" s="385" t="str">
        <f t="shared" si="54"/>
        <v/>
      </c>
      <c r="CA21" s="385" t="str">
        <f t="shared" si="55"/>
        <v/>
      </c>
      <c r="CB21" s="385" t="str">
        <f t="shared" si="56"/>
        <v/>
      </c>
      <c r="CC21" s="385" t="str">
        <f t="shared" si="57"/>
        <v/>
      </c>
      <c r="CD21" s="385" t="str">
        <f t="shared" si="58"/>
        <v/>
      </c>
      <c r="CE21" s="385" t="str">
        <f t="shared" si="59"/>
        <v/>
      </c>
      <c r="CF21" s="385" t="str">
        <f t="shared" si="60"/>
        <v/>
      </c>
      <c r="CG21" s="385" t="str">
        <f t="shared" si="61"/>
        <v/>
      </c>
      <c r="CH21" s="385" t="str">
        <f t="shared" si="62"/>
        <v/>
      </c>
      <c r="CI21" s="385" t="str">
        <f t="shared" si="63"/>
        <v/>
      </c>
      <c r="CJ21" s="385" t="str">
        <f t="shared" si="64"/>
        <v/>
      </c>
      <c r="CK21" s="385" t="str">
        <f t="shared" si="65"/>
        <v/>
      </c>
      <c r="CL21" s="385" t="str">
        <f t="shared" si="66"/>
        <v/>
      </c>
      <c r="CM21" s="385" t="str">
        <f t="shared" si="67"/>
        <v/>
      </c>
      <c r="CN21" s="385" t="str">
        <f t="shared" si="68"/>
        <v/>
      </c>
      <c r="CO21" s="385" t="str">
        <f t="shared" si="69"/>
        <v/>
      </c>
      <c r="CP21" s="385" t="str">
        <f t="shared" si="70"/>
        <v/>
      </c>
      <c r="CQ21" s="385" t="str">
        <f t="shared" si="71"/>
        <v/>
      </c>
      <c r="CR21" s="385" t="str">
        <f t="shared" si="72"/>
        <v/>
      </c>
      <c r="CS21" s="385" t="str">
        <f t="shared" si="73"/>
        <v/>
      </c>
      <c r="CT21" s="385" t="str">
        <f t="shared" si="74"/>
        <v/>
      </c>
      <c r="CU21" s="385" t="str">
        <f t="shared" si="75"/>
        <v/>
      </c>
      <c r="CV21" s="385" t="str">
        <f t="shared" si="76"/>
        <v/>
      </c>
      <c r="CW21" s="385" t="str">
        <f t="shared" si="77"/>
        <v/>
      </c>
      <c r="CX21" s="385" t="str">
        <f t="shared" si="78"/>
        <v/>
      </c>
      <c r="CY21" s="385" t="str">
        <f t="shared" si="79"/>
        <v/>
      </c>
      <c r="CZ21" s="385" t="str">
        <f t="shared" si="80"/>
        <v/>
      </c>
      <c r="DA21" s="385" t="str">
        <f t="shared" si="81"/>
        <v/>
      </c>
      <c r="DB21" s="385" t="str">
        <f t="shared" si="82"/>
        <v/>
      </c>
      <c r="DC21" s="385" t="str">
        <f t="shared" si="83"/>
        <v/>
      </c>
      <c r="DD21" s="385" t="str">
        <f t="shared" si="84"/>
        <v/>
      </c>
      <c r="DE21" s="385" t="str">
        <f t="shared" si="85"/>
        <v/>
      </c>
      <c r="DF21" s="385" t="str">
        <f t="shared" si="86"/>
        <v/>
      </c>
      <c r="DG21" s="385" t="str">
        <f t="shared" si="87"/>
        <v/>
      </c>
      <c r="DH21" s="385" t="str">
        <f t="shared" si="88"/>
        <v/>
      </c>
      <c r="DI21" s="385" t="str">
        <f t="shared" si="89"/>
        <v/>
      </c>
    </row>
    <row r="22" spans="1:113" ht="66" x14ac:dyDescent="0.35">
      <c r="A22" s="21" t="s">
        <v>766</v>
      </c>
      <c r="B22" s="396">
        <f>'Appoggio_BIA Servizio'!$B$5</f>
        <v>0</v>
      </c>
      <c r="C22" s="392" t="s">
        <v>760</v>
      </c>
      <c r="D22" s="392" t="s">
        <v>767</v>
      </c>
      <c r="E22" s="393" t="s">
        <v>768</v>
      </c>
      <c r="F22" s="240" t="s">
        <v>654</v>
      </c>
      <c r="G22" s="240" t="s">
        <v>655</v>
      </c>
      <c r="H22" s="240"/>
      <c r="I22" s="240">
        <v>1</v>
      </c>
      <c r="J22" s="240">
        <v>1</v>
      </c>
      <c r="K22" s="240">
        <v>0.7</v>
      </c>
      <c r="L22" s="394">
        <v>1</v>
      </c>
      <c r="M22" s="240">
        <v>1</v>
      </c>
      <c r="N22" s="240">
        <v>1</v>
      </c>
      <c r="O22" s="394"/>
      <c r="P22" s="240">
        <v>1</v>
      </c>
      <c r="Q22" s="240"/>
      <c r="R22" s="394"/>
      <c r="S22" s="394"/>
      <c r="T22" s="394">
        <v>1</v>
      </c>
      <c r="U22" s="394">
        <v>1</v>
      </c>
      <c r="V22" s="394">
        <v>0.7</v>
      </c>
      <c r="W22" s="394">
        <v>0.4</v>
      </c>
      <c r="X22" s="394"/>
      <c r="Y22" s="394"/>
      <c r="Z22" s="394"/>
      <c r="AA22" s="394"/>
      <c r="AB22" s="240"/>
      <c r="AC22" s="394"/>
      <c r="AD22" s="394"/>
      <c r="AE22" s="395"/>
      <c r="AF22" s="395"/>
      <c r="AG22" s="395"/>
      <c r="AH22" s="395"/>
      <c r="AI22" s="395"/>
      <c r="AJ22" s="395"/>
      <c r="AK22" s="395"/>
      <c r="AL22" s="395"/>
      <c r="AM22" s="395">
        <v>1</v>
      </c>
      <c r="AN22" s="395"/>
      <c r="AO22" s="395">
        <v>1</v>
      </c>
      <c r="AP22" s="395"/>
      <c r="AQ22" s="395"/>
      <c r="AR22" s="395">
        <v>1</v>
      </c>
      <c r="AS22" s="395"/>
      <c r="AT22" s="395">
        <v>1</v>
      </c>
      <c r="AU22" s="395">
        <v>1</v>
      </c>
      <c r="AV22" s="395"/>
      <c r="AW22" s="395">
        <v>1</v>
      </c>
      <c r="AX22" s="395"/>
      <c r="AY22" s="395"/>
      <c r="AZ22" s="395">
        <v>1</v>
      </c>
      <c r="BA22" s="395"/>
      <c r="BB22" s="395"/>
      <c r="BC22" s="395"/>
      <c r="BD22" s="395"/>
      <c r="BE22" s="395"/>
      <c r="BF22" s="225">
        <f t="shared" si="0"/>
        <v>0</v>
      </c>
      <c r="BG22" s="226" t="str">
        <f t="shared" si="1"/>
        <v>Non Applicabile</v>
      </c>
      <c r="BH22" s="226" t="s">
        <v>693</v>
      </c>
      <c r="BI22" s="228"/>
      <c r="BJ22" s="229"/>
      <c r="BK22" s="227"/>
      <c r="BL22" s="324" t="s">
        <v>769</v>
      </c>
      <c r="BM22" s="324" t="s">
        <v>770</v>
      </c>
      <c r="BN22" s="324" t="s">
        <v>771</v>
      </c>
      <c r="BO22" s="330"/>
      <c r="BP22" s="385" t="str">
        <f>IF(G22="X",
   IF(BG22="Applicabile",
      IF(BJ22&lt;&gt;"",
         _xlfn.XLOOKUP($BJ22,Parametri_RA!$B:$B,Parametri_RA!$D:$D,0),
         0),
      ""),
   "")</f>
        <v/>
      </c>
      <c r="BQ22" s="385" t="str">
        <f>IF(H22="X",
   IF(BG22="Applicabile",
      IF(BJ22&lt;&gt;"",
         _xlfn.XLOOKUP($BJ22,Parametri_RA!$B:$B,Parametri_RA!$D:$D,0),
         0),
      ""),
   "")</f>
        <v/>
      </c>
      <c r="BR22" s="385" t="str">
        <f t="shared" si="46"/>
        <v/>
      </c>
      <c r="BS22" s="385" t="str">
        <f t="shared" si="47"/>
        <v/>
      </c>
      <c r="BT22" s="385" t="str">
        <f t="shared" si="48"/>
        <v/>
      </c>
      <c r="BU22" s="385" t="str">
        <f t="shared" si="49"/>
        <v/>
      </c>
      <c r="BV22" s="385" t="str">
        <f t="shared" si="50"/>
        <v/>
      </c>
      <c r="BW22" s="385" t="str">
        <f t="shared" si="51"/>
        <v/>
      </c>
      <c r="BX22" s="385" t="str">
        <f t="shared" si="52"/>
        <v/>
      </c>
      <c r="BY22" s="385" t="str">
        <f t="shared" si="53"/>
        <v/>
      </c>
      <c r="BZ22" s="385" t="str">
        <f t="shared" si="54"/>
        <v/>
      </c>
      <c r="CA22" s="385" t="str">
        <f t="shared" si="55"/>
        <v/>
      </c>
      <c r="CB22" s="385" t="str">
        <f t="shared" si="56"/>
        <v/>
      </c>
      <c r="CC22" s="385" t="str">
        <f t="shared" si="57"/>
        <v/>
      </c>
      <c r="CD22" s="385" t="str">
        <f t="shared" si="58"/>
        <v/>
      </c>
      <c r="CE22" s="385" t="str">
        <f t="shared" si="59"/>
        <v/>
      </c>
      <c r="CF22" s="385" t="str">
        <f t="shared" si="60"/>
        <v/>
      </c>
      <c r="CG22" s="385" t="str">
        <f t="shared" si="61"/>
        <v/>
      </c>
      <c r="CH22" s="385" t="str">
        <f t="shared" si="62"/>
        <v/>
      </c>
      <c r="CI22" s="385" t="str">
        <f t="shared" si="63"/>
        <v/>
      </c>
      <c r="CJ22" s="385" t="str">
        <f t="shared" si="64"/>
        <v/>
      </c>
      <c r="CK22" s="385" t="str">
        <f t="shared" si="65"/>
        <v/>
      </c>
      <c r="CL22" s="385" t="str">
        <f t="shared" si="66"/>
        <v/>
      </c>
      <c r="CM22" s="385" t="str">
        <f t="shared" si="67"/>
        <v/>
      </c>
      <c r="CN22" s="385" t="str">
        <f t="shared" si="68"/>
        <v/>
      </c>
      <c r="CO22" s="385" t="str">
        <f t="shared" si="69"/>
        <v/>
      </c>
      <c r="CP22" s="385" t="str">
        <f t="shared" si="70"/>
        <v/>
      </c>
      <c r="CQ22" s="385" t="str">
        <f t="shared" si="71"/>
        <v/>
      </c>
      <c r="CR22" s="385" t="str">
        <f t="shared" si="72"/>
        <v/>
      </c>
      <c r="CS22" s="385" t="str">
        <f t="shared" si="73"/>
        <v/>
      </c>
      <c r="CT22" s="385" t="str">
        <f t="shared" si="74"/>
        <v/>
      </c>
      <c r="CU22" s="385" t="str">
        <f t="shared" si="75"/>
        <v/>
      </c>
      <c r="CV22" s="385" t="str">
        <f t="shared" si="76"/>
        <v/>
      </c>
      <c r="CW22" s="385" t="str">
        <f t="shared" si="77"/>
        <v/>
      </c>
      <c r="CX22" s="385" t="str">
        <f t="shared" si="78"/>
        <v/>
      </c>
      <c r="CY22" s="385" t="str">
        <f t="shared" si="79"/>
        <v/>
      </c>
      <c r="CZ22" s="385" t="str">
        <f t="shared" si="80"/>
        <v/>
      </c>
      <c r="DA22" s="385" t="str">
        <f t="shared" si="81"/>
        <v/>
      </c>
      <c r="DB22" s="385" t="str">
        <f t="shared" si="82"/>
        <v/>
      </c>
      <c r="DC22" s="385" t="str">
        <f t="shared" si="83"/>
        <v/>
      </c>
      <c r="DD22" s="385" t="str">
        <f t="shared" si="84"/>
        <v/>
      </c>
      <c r="DE22" s="385" t="str">
        <f t="shared" si="85"/>
        <v/>
      </c>
      <c r="DF22" s="385" t="str">
        <f t="shared" si="86"/>
        <v/>
      </c>
      <c r="DG22" s="385" t="str">
        <f t="shared" si="87"/>
        <v/>
      </c>
      <c r="DH22" s="385" t="str">
        <f t="shared" si="88"/>
        <v/>
      </c>
      <c r="DI22" s="385" t="str">
        <f t="shared" si="89"/>
        <v/>
      </c>
    </row>
    <row r="23" spans="1:113" ht="82.5" x14ac:dyDescent="0.35">
      <c r="A23" s="21" t="s">
        <v>772</v>
      </c>
      <c r="B23" s="396">
        <f>'Appoggio_BIA Servizio'!$B$5</f>
        <v>0</v>
      </c>
      <c r="C23" s="392" t="s">
        <v>760</v>
      </c>
      <c r="D23" s="392" t="s">
        <v>773</v>
      </c>
      <c r="E23" s="393" t="s">
        <v>774</v>
      </c>
      <c r="F23" s="240" t="s">
        <v>663</v>
      </c>
      <c r="G23" s="240" t="s">
        <v>655</v>
      </c>
      <c r="H23" s="240"/>
      <c r="I23" s="240">
        <v>0.4</v>
      </c>
      <c r="J23" s="240">
        <v>0.4</v>
      </c>
      <c r="K23" s="240"/>
      <c r="L23" s="394">
        <v>0.4</v>
      </c>
      <c r="M23" s="240">
        <v>0.4</v>
      </c>
      <c r="N23" s="240">
        <v>0.4</v>
      </c>
      <c r="O23" s="394"/>
      <c r="P23" s="394"/>
      <c r="Q23" s="240"/>
      <c r="R23" s="394"/>
      <c r="S23" s="394"/>
      <c r="T23" s="394">
        <v>0.4</v>
      </c>
      <c r="U23" s="394">
        <v>0.4</v>
      </c>
      <c r="V23" s="394"/>
      <c r="W23" s="394"/>
      <c r="X23" s="394"/>
      <c r="Y23" s="394"/>
      <c r="Z23" s="394"/>
      <c r="AA23" s="394"/>
      <c r="AB23" s="240"/>
      <c r="AC23" s="394"/>
      <c r="AD23" s="394"/>
      <c r="AE23" s="395"/>
      <c r="AF23" s="395"/>
      <c r="AG23" s="395"/>
      <c r="AH23" s="395"/>
      <c r="AI23" s="395"/>
      <c r="AJ23" s="395"/>
      <c r="AK23" s="395"/>
      <c r="AL23" s="395">
        <v>1</v>
      </c>
      <c r="AM23" s="395">
        <v>1</v>
      </c>
      <c r="AN23" s="395"/>
      <c r="AO23" s="395">
        <v>1</v>
      </c>
      <c r="AP23" s="395"/>
      <c r="AQ23" s="395"/>
      <c r="AR23" s="395">
        <v>1</v>
      </c>
      <c r="AS23" s="395"/>
      <c r="AT23" s="395">
        <v>1</v>
      </c>
      <c r="AU23" s="395">
        <v>1</v>
      </c>
      <c r="AV23" s="395"/>
      <c r="AW23" s="395">
        <v>1</v>
      </c>
      <c r="AX23" s="395"/>
      <c r="AY23" s="395"/>
      <c r="AZ23" s="395">
        <v>1</v>
      </c>
      <c r="BA23" s="395"/>
      <c r="BB23" s="395"/>
      <c r="BC23" s="395"/>
      <c r="BD23" s="395"/>
      <c r="BE23" s="395"/>
      <c r="BF23" s="225">
        <f t="shared" si="0"/>
        <v>0</v>
      </c>
      <c r="BG23" s="226" t="str">
        <f t="shared" si="1"/>
        <v>Non Applicabile</v>
      </c>
      <c r="BH23" s="226" t="s">
        <v>693</v>
      </c>
      <c r="BI23" s="228"/>
      <c r="BJ23" s="229"/>
      <c r="BK23" s="227"/>
      <c r="BL23" s="324" t="s">
        <v>775</v>
      </c>
      <c r="BM23" s="324" t="s">
        <v>776</v>
      </c>
      <c r="BN23" s="324" t="s">
        <v>777</v>
      </c>
      <c r="BO23" s="330"/>
      <c r="BP23" s="385" t="str">
        <f>IF(G23="X",
   IF(BG23="Applicabile",
      IF(BJ23&lt;&gt;"",
         _xlfn.XLOOKUP($BJ23,Parametri_RA!$B:$B,Parametri_RA!$D:$D,0),
         0),
      ""),
   "")</f>
        <v/>
      </c>
      <c r="BQ23" s="385" t="str">
        <f>IF(H23="X",
   IF(BG23="Applicabile",
      IF(BJ23&lt;&gt;"",
         _xlfn.XLOOKUP($BJ23,Parametri_RA!$B:$B,Parametri_RA!$D:$D,0),
         0),
      ""),
   "")</f>
        <v/>
      </c>
      <c r="BR23" s="385" t="str">
        <f t="shared" si="46"/>
        <v/>
      </c>
      <c r="BS23" s="385" t="str">
        <f t="shared" si="47"/>
        <v/>
      </c>
      <c r="BT23" s="385" t="str">
        <f t="shared" si="48"/>
        <v/>
      </c>
      <c r="BU23" s="385" t="str">
        <f t="shared" si="49"/>
        <v/>
      </c>
      <c r="BV23" s="385" t="str">
        <f t="shared" si="50"/>
        <v/>
      </c>
      <c r="BW23" s="385" t="str">
        <f t="shared" si="51"/>
        <v/>
      </c>
      <c r="BX23" s="385" t="str">
        <f t="shared" si="52"/>
        <v/>
      </c>
      <c r="BY23" s="385" t="str">
        <f t="shared" si="53"/>
        <v/>
      </c>
      <c r="BZ23" s="385" t="str">
        <f t="shared" si="54"/>
        <v/>
      </c>
      <c r="CA23" s="385" t="str">
        <f t="shared" si="55"/>
        <v/>
      </c>
      <c r="CB23" s="385" t="str">
        <f t="shared" si="56"/>
        <v/>
      </c>
      <c r="CC23" s="385" t="str">
        <f t="shared" si="57"/>
        <v/>
      </c>
      <c r="CD23" s="385" t="str">
        <f t="shared" si="58"/>
        <v/>
      </c>
      <c r="CE23" s="385" t="str">
        <f t="shared" si="59"/>
        <v/>
      </c>
      <c r="CF23" s="385" t="str">
        <f t="shared" si="60"/>
        <v/>
      </c>
      <c r="CG23" s="385" t="str">
        <f t="shared" si="61"/>
        <v/>
      </c>
      <c r="CH23" s="385" t="str">
        <f t="shared" si="62"/>
        <v/>
      </c>
      <c r="CI23" s="385" t="str">
        <f t="shared" si="63"/>
        <v/>
      </c>
      <c r="CJ23" s="385" t="str">
        <f t="shared" si="64"/>
        <v/>
      </c>
      <c r="CK23" s="385" t="str">
        <f t="shared" si="65"/>
        <v/>
      </c>
      <c r="CL23" s="385" t="str">
        <f t="shared" si="66"/>
        <v/>
      </c>
      <c r="CM23" s="385" t="str">
        <f t="shared" si="67"/>
        <v/>
      </c>
      <c r="CN23" s="385" t="str">
        <f t="shared" si="68"/>
        <v/>
      </c>
      <c r="CO23" s="385" t="str">
        <f t="shared" si="69"/>
        <v/>
      </c>
      <c r="CP23" s="385" t="str">
        <f t="shared" si="70"/>
        <v/>
      </c>
      <c r="CQ23" s="385" t="str">
        <f t="shared" si="71"/>
        <v/>
      </c>
      <c r="CR23" s="385" t="str">
        <f t="shared" si="72"/>
        <v/>
      </c>
      <c r="CS23" s="385" t="str">
        <f t="shared" si="73"/>
        <v/>
      </c>
      <c r="CT23" s="385" t="str">
        <f t="shared" si="74"/>
        <v/>
      </c>
      <c r="CU23" s="385" t="str">
        <f t="shared" si="75"/>
        <v/>
      </c>
      <c r="CV23" s="385" t="str">
        <f t="shared" si="76"/>
        <v/>
      </c>
      <c r="CW23" s="385" t="str">
        <f t="shared" si="77"/>
        <v/>
      </c>
      <c r="CX23" s="385" t="str">
        <f t="shared" si="78"/>
        <v/>
      </c>
      <c r="CY23" s="385" t="str">
        <f t="shared" si="79"/>
        <v/>
      </c>
      <c r="CZ23" s="385" t="str">
        <f t="shared" si="80"/>
        <v/>
      </c>
      <c r="DA23" s="385" t="str">
        <f t="shared" si="81"/>
        <v/>
      </c>
      <c r="DB23" s="385" t="str">
        <f t="shared" si="82"/>
        <v/>
      </c>
      <c r="DC23" s="385" t="str">
        <f t="shared" si="83"/>
        <v/>
      </c>
      <c r="DD23" s="385" t="str">
        <f t="shared" si="84"/>
        <v/>
      </c>
      <c r="DE23" s="385" t="str">
        <f t="shared" si="85"/>
        <v/>
      </c>
      <c r="DF23" s="385" t="str">
        <f t="shared" si="86"/>
        <v/>
      </c>
      <c r="DG23" s="385" t="str">
        <f t="shared" si="87"/>
        <v/>
      </c>
      <c r="DH23" s="385" t="str">
        <f t="shared" si="88"/>
        <v/>
      </c>
      <c r="DI23" s="385" t="str">
        <f t="shared" si="89"/>
        <v/>
      </c>
    </row>
    <row r="24" spans="1:113" ht="68" x14ac:dyDescent="0.35">
      <c r="A24" s="21" t="s">
        <v>778</v>
      </c>
      <c r="B24" s="396">
        <f>'Appoggio_BIA Servizio'!$B$5</f>
        <v>0</v>
      </c>
      <c r="C24" s="392" t="s">
        <v>760</v>
      </c>
      <c r="D24" s="392" t="s">
        <v>779</v>
      </c>
      <c r="E24" s="393" t="s">
        <v>780</v>
      </c>
      <c r="F24" s="240" t="s">
        <v>671</v>
      </c>
      <c r="G24" s="240" t="s">
        <v>655</v>
      </c>
      <c r="H24" s="240"/>
      <c r="I24" s="240">
        <v>1</v>
      </c>
      <c r="J24" s="240">
        <v>1</v>
      </c>
      <c r="K24" s="240">
        <v>0.7</v>
      </c>
      <c r="L24" s="394">
        <v>0.4</v>
      </c>
      <c r="M24" s="240">
        <v>0.7</v>
      </c>
      <c r="N24" s="240">
        <v>1</v>
      </c>
      <c r="O24" s="394"/>
      <c r="P24" s="394">
        <v>0.7</v>
      </c>
      <c r="Q24" s="240"/>
      <c r="R24" s="394"/>
      <c r="S24" s="394"/>
      <c r="T24" s="394">
        <v>0.7</v>
      </c>
      <c r="U24" s="394">
        <v>0.7</v>
      </c>
      <c r="V24" s="394"/>
      <c r="W24" s="394"/>
      <c r="X24" s="394"/>
      <c r="Y24" s="394"/>
      <c r="Z24" s="394"/>
      <c r="AA24" s="394"/>
      <c r="AB24" s="240"/>
      <c r="AC24" s="394"/>
      <c r="AD24" s="394"/>
      <c r="AE24" s="395"/>
      <c r="AF24" s="395"/>
      <c r="AG24" s="395"/>
      <c r="AH24" s="395"/>
      <c r="AI24" s="395"/>
      <c r="AJ24" s="395"/>
      <c r="AK24" s="395"/>
      <c r="AL24" s="395">
        <v>1</v>
      </c>
      <c r="AM24" s="395">
        <v>1</v>
      </c>
      <c r="AN24" s="395"/>
      <c r="AO24" s="395"/>
      <c r="AP24" s="395"/>
      <c r="AQ24" s="395"/>
      <c r="AR24" s="395"/>
      <c r="AS24" s="395"/>
      <c r="AT24" s="395"/>
      <c r="AU24" s="395">
        <v>1</v>
      </c>
      <c r="AV24" s="395"/>
      <c r="AW24" s="395"/>
      <c r="AX24" s="395"/>
      <c r="AY24" s="395"/>
      <c r="AZ24" s="395"/>
      <c r="BA24" s="395"/>
      <c r="BB24" s="395"/>
      <c r="BC24" s="395"/>
      <c r="BD24" s="395"/>
      <c r="BE24" s="395"/>
      <c r="BF24" s="225">
        <f t="shared" si="0"/>
        <v>0</v>
      </c>
      <c r="BG24" s="226" t="str">
        <f t="shared" si="1"/>
        <v>Non Applicabile</v>
      </c>
      <c r="BH24" s="226" t="s">
        <v>781</v>
      </c>
      <c r="BI24" s="228"/>
      <c r="BJ24" s="229"/>
      <c r="BK24" s="227"/>
      <c r="BL24" s="324" t="s">
        <v>782</v>
      </c>
      <c r="BM24" s="324" t="s">
        <v>783</v>
      </c>
      <c r="BN24" s="324" t="s">
        <v>784</v>
      </c>
      <c r="BO24" s="330"/>
      <c r="BP24" s="385" t="str">
        <f>IF(G24="X",
   IF(BG24="Applicabile",
      IF(BJ24&lt;&gt;"",
         _xlfn.XLOOKUP($BJ24,Parametri_RA!$B:$B,Parametri_RA!$D:$D,0),
         0),
      ""),
   "")</f>
        <v/>
      </c>
      <c r="BQ24" s="385" t="str">
        <f>IF(H24="X",
   IF(BG24="Applicabile",
      IF(BJ24&lt;&gt;"",
         _xlfn.XLOOKUP($BJ24,Parametri_RA!$B:$B,Parametri_RA!$D:$D,0),
         0),
      ""),
   "")</f>
        <v/>
      </c>
      <c r="BR24" s="385" t="str">
        <f t="shared" si="46"/>
        <v/>
      </c>
      <c r="BS24" s="385" t="str">
        <f t="shared" si="47"/>
        <v/>
      </c>
      <c r="BT24" s="385" t="str">
        <f t="shared" si="48"/>
        <v/>
      </c>
      <c r="BU24" s="385" t="str">
        <f t="shared" si="49"/>
        <v/>
      </c>
      <c r="BV24" s="385" t="str">
        <f t="shared" si="50"/>
        <v/>
      </c>
      <c r="BW24" s="385" t="str">
        <f t="shared" si="51"/>
        <v/>
      </c>
      <c r="BX24" s="385" t="str">
        <f t="shared" si="52"/>
        <v/>
      </c>
      <c r="BY24" s="385" t="str">
        <f t="shared" si="53"/>
        <v/>
      </c>
      <c r="BZ24" s="385" t="str">
        <f t="shared" si="54"/>
        <v/>
      </c>
      <c r="CA24" s="385" t="str">
        <f t="shared" si="55"/>
        <v/>
      </c>
      <c r="CB24" s="385" t="str">
        <f t="shared" si="56"/>
        <v/>
      </c>
      <c r="CC24" s="385" t="str">
        <f t="shared" si="57"/>
        <v/>
      </c>
      <c r="CD24" s="385" t="str">
        <f t="shared" si="58"/>
        <v/>
      </c>
      <c r="CE24" s="385" t="str">
        <f t="shared" si="59"/>
        <v/>
      </c>
      <c r="CF24" s="385" t="str">
        <f t="shared" si="60"/>
        <v/>
      </c>
      <c r="CG24" s="385" t="str">
        <f t="shared" si="61"/>
        <v/>
      </c>
      <c r="CH24" s="385" t="str">
        <f t="shared" si="62"/>
        <v/>
      </c>
      <c r="CI24" s="385" t="str">
        <f t="shared" si="63"/>
        <v/>
      </c>
      <c r="CJ24" s="385" t="str">
        <f t="shared" si="64"/>
        <v/>
      </c>
      <c r="CK24" s="385" t="str">
        <f t="shared" si="65"/>
        <v/>
      </c>
      <c r="CL24" s="385" t="str">
        <f t="shared" si="66"/>
        <v/>
      </c>
      <c r="CM24" s="385" t="str">
        <f t="shared" si="67"/>
        <v/>
      </c>
      <c r="CN24" s="385" t="str">
        <f t="shared" si="68"/>
        <v/>
      </c>
      <c r="CO24" s="385" t="str">
        <f t="shared" si="69"/>
        <v/>
      </c>
      <c r="CP24" s="385" t="str">
        <f t="shared" si="70"/>
        <v/>
      </c>
      <c r="CQ24" s="385" t="str">
        <f t="shared" si="71"/>
        <v/>
      </c>
      <c r="CR24" s="385" t="str">
        <f t="shared" si="72"/>
        <v/>
      </c>
      <c r="CS24" s="385" t="str">
        <f t="shared" si="73"/>
        <v/>
      </c>
      <c r="CT24" s="385" t="str">
        <f t="shared" si="74"/>
        <v/>
      </c>
      <c r="CU24" s="385" t="str">
        <f t="shared" si="75"/>
        <v/>
      </c>
      <c r="CV24" s="385" t="str">
        <f t="shared" si="76"/>
        <v/>
      </c>
      <c r="CW24" s="385" t="str">
        <f t="shared" si="77"/>
        <v/>
      </c>
      <c r="CX24" s="385" t="str">
        <f t="shared" si="78"/>
        <v/>
      </c>
      <c r="CY24" s="385" t="str">
        <f t="shared" si="79"/>
        <v/>
      </c>
      <c r="CZ24" s="385" t="str">
        <f t="shared" si="80"/>
        <v/>
      </c>
      <c r="DA24" s="385" t="str">
        <f t="shared" si="81"/>
        <v/>
      </c>
      <c r="DB24" s="385" t="str">
        <f t="shared" si="82"/>
        <v/>
      </c>
      <c r="DC24" s="385" t="str">
        <f t="shared" si="83"/>
        <v/>
      </c>
      <c r="DD24" s="385" t="str">
        <f t="shared" si="84"/>
        <v/>
      </c>
      <c r="DE24" s="385" t="str">
        <f t="shared" si="85"/>
        <v/>
      </c>
      <c r="DF24" s="385" t="str">
        <f t="shared" si="86"/>
        <v/>
      </c>
      <c r="DG24" s="385" t="str">
        <f t="shared" si="87"/>
        <v/>
      </c>
      <c r="DH24" s="385" t="str">
        <f t="shared" si="88"/>
        <v/>
      </c>
      <c r="DI24" s="385" t="str">
        <f t="shared" si="89"/>
        <v/>
      </c>
    </row>
    <row r="25" spans="1:113" ht="85" x14ac:dyDescent="0.35">
      <c r="A25" s="21" t="s">
        <v>785</v>
      </c>
      <c r="B25" s="396">
        <f>'Appoggio_BIA Servizio'!$B$5</f>
        <v>0</v>
      </c>
      <c r="C25" s="392" t="s">
        <v>760</v>
      </c>
      <c r="D25" s="392" t="s">
        <v>786</v>
      </c>
      <c r="E25" s="393" t="s">
        <v>787</v>
      </c>
      <c r="F25" s="240" t="s">
        <v>654</v>
      </c>
      <c r="G25" s="240" t="s">
        <v>655</v>
      </c>
      <c r="H25" s="240"/>
      <c r="I25" s="240">
        <v>1</v>
      </c>
      <c r="J25" s="240">
        <v>1</v>
      </c>
      <c r="K25" s="240">
        <v>0.7</v>
      </c>
      <c r="L25" s="394">
        <v>0.4</v>
      </c>
      <c r="M25" s="240"/>
      <c r="N25" s="240">
        <v>1</v>
      </c>
      <c r="O25" s="394"/>
      <c r="P25" s="394">
        <v>0.7</v>
      </c>
      <c r="Q25" s="240"/>
      <c r="R25" s="394"/>
      <c r="S25" s="394"/>
      <c r="T25" s="394">
        <v>0.7</v>
      </c>
      <c r="U25" s="394">
        <v>0.7</v>
      </c>
      <c r="V25" s="394"/>
      <c r="W25" s="394"/>
      <c r="X25" s="394"/>
      <c r="Y25" s="394"/>
      <c r="Z25" s="394"/>
      <c r="AA25" s="394"/>
      <c r="AB25" s="240"/>
      <c r="AC25" s="394"/>
      <c r="AD25" s="394"/>
      <c r="AE25" s="395"/>
      <c r="AF25" s="395"/>
      <c r="AG25" s="395"/>
      <c r="AH25" s="395"/>
      <c r="AI25" s="395"/>
      <c r="AJ25" s="395"/>
      <c r="AK25" s="395"/>
      <c r="AL25" s="395">
        <v>1</v>
      </c>
      <c r="AM25" s="395">
        <v>1</v>
      </c>
      <c r="AN25" s="395"/>
      <c r="AO25" s="395">
        <v>1</v>
      </c>
      <c r="AP25" s="395"/>
      <c r="AQ25" s="395"/>
      <c r="AR25" s="395">
        <v>1</v>
      </c>
      <c r="AS25" s="395"/>
      <c r="AT25" s="395">
        <v>1</v>
      </c>
      <c r="AU25" s="395">
        <v>1</v>
      </c>
      <c r="AV25" s="395"/>
      <c r="AW25" s="395">
        <v>1</v>
      </c>
      <c r="AX25" s="395"/>
      <c r="AY25" s="395"/>
      <c r="AZ25" s="395">
        <v>1</v>
      </c>
      <c r="BA25" s="395"/>
      <c r="BB25" s="395"/>
      <c r="BC25" s="395"/>
      <c r="BD25" s="395"/>
      <c r="BE25" s="395"/>
      <c r="BF25" s="225">
        <f t="shared" si="0"/>
        <v>0</v>
      </c>
      <c r="BG25" s="226" t="str">
        <f t="shared" si="1"/>
        <v>Non Applicabile</v>
      </c>
      <c r="BH25" s="226" t="s">
        <v>788</v>
      </c>
      <c r="BI25" s="226"/>
      <c r="BJ25" s="229"/>
      <c r="BK25" s="227"/>
      <c r="BL25" s="324" t="s">
        <v>789</v>
      </c>
      <c r="BM25" s="324" t="s">
        <v>790</v>
      </c>
      <c r="BN25" s="324" t="s">
        <v>791</v>
      </c>
      <c r="BO25" s="330"/>
      <c r="BP25" s="385" t="str">
        <f>IF(G25="X",
   IF(BG25="Applicabile",
      IF(BJ25&lt;&gt;"",
         _xlfn.XLOOKUP($BJ25,Parametri_RA!$B:$B,Parametri_RA!$D:$D,0),
         0),
      ""),
   "")</f>
        <v/>
      </c>
      <c r="BQ25" s="385" t="str">
        <f>IF(H25="X",
   IF(BG25="Applicabile",
      IF(BJ25&lt;&gt;"",
         _xlfn.XLOOKUP($BJ25,Parametri_RA!$B:$B,Parametri_RA!$D:$D,0),
         0),
      ""),
   "")</f>
        <v/>
      </c>
      <c r="BR25" s="385" t="str">
        <f t="shared" si="46"/>
        <v/>
      </c>
      <c r="BS25" s="385" t="str">
        <f t="shared" si="47"/>
        <v/>
      </c>
      <c r="BT25" s="385" t="str">
        <f t="shared" si="48"/>
        <v/>
      </c>
      <c r="BU25" s="385" t="str">
        <f t="shared" si="49"/>
        <v/>
      </c>
      <c r="BV25" s="385" t="str">
        <f t="shared" si="50"/>
        <v/>
      </c>
      <c r="BW25" s="385" t="str">
        <f t="shared" si="51"/>
        <v/>
      </c>
      <c r="BX25" s="385" t="str">
        <f t="shared" si="52"/>
        <v/>
      </c>
      <c r="BY25" s="385" t="str">
        <f t="shared" si="53"/>
        <v/>
      </c>
      <c r="BZ25" s="385" t="str">
        <f t="shared" si="54"/>
        <v/>
      </c>
      <c r="CA25" s="385" t="str">
        <f t="shared" si="55"/>
        <v/>
      </c>
      <c r="CB25" s="385" t="str">
        <f t="shared" si="56"/>
        <v/>
      </c>
      <c r="CC25" s="385" t="str">
        <f t="shared" si="57"/>
        <v/>
      </c>
      <c r="CD25" s="385" t="str">
        <f t="shared" si="58"/>
        <v/>
      </c>
      <c r="CE25" s="385" t="str">
        <f t="shared" si="59"/>
        <v/>
      </c>
      <c r="CF25" s="385" t="str">
        <f t="shared" si="60"/>
        <v/>
      </c>
      <c r="CG25" s="385" t="str">
        <f t="shared" si="61"/>
        <v/>
      </c>
      <c r="CH25" s="385" t="str">
        <f t="shared" si="62"/>
        <v/>
      </c>
      <c r="CI25" s="385" t="str">
        <f t="shared" si="63"/>
        <v/>
      </c>
      <c r="CJ25" s="385" t="str">
        <f t="shared" si="64"/>
        <v/>
      </c>
      <c r="CK25" s="385" t="str">
        <f t="shared" si="65"/>
        <v/>
      </c>
      <c r="CL25" s="385" t="str">
        <f t="shared" si="66"/>
        <v/>
      </c>
      <c r="CM25" s="385" t="str">
        <f t="shared" si="67"/>
        <v/>
      </c>
      <c r="CN25" s="385" t="str">
        <f t="shared" si="68"/>
        <v/>
      </c>
      <c r="CO25" s="385" t="str">
        <f t="shared" si="69"/>
        <v/>
      </c>
      <c r="CP25" s="385" t="str">
        <f t="shared" si="70"/>
        <v/>
      </c>
      <c r="CQ25" s="385" t="str">
        <f t="shared" si="71"/>
        <v/>
      </c>
      <c r="CR25" s="385" t="str">
        <f t="shared" si="72"/>
        <v/>
      </c>
      <c r="CS25" s="385" t="str">
        <f t="shared" si="73"/>
        <v/>
      </c>
      <c r="CT25" s="385" t="str">
        <f t="shared" si="74"/>
        <v/>
      </c>
      <c r="CU25" s="385" t="str">
        <f t="shared" si="75"/>
        <v/>
      </c>
      <c r="CV25" s="385" t="str">
        <f t="shared" si="76"/>
        <v/>
      </c>
      <c r="CW25" s="385" t="str">
        <f t="shared" si="77"/>
        <v/>
      </c>
      <c r="CX25" s="385" t="str">
        <f t="shared" si="78"/>
        <v/>
      </c>
      <c r="CY25" s="385" t="str">
        <f t="shared" si="79"/>
        <v/>
      </c>
      <c r="CZ25" s="385" t="str">
        <f t="shared" si="80"/>
        <v/>
      </c>
      <c r="DA25" s="385" t="str">
        <f t="shared" si="81"/>
        <v/>
      </c>
      <c r="DB25" s="385" t="str">
        <f t="shared" si="82"/>
        <v/>
      </c>
      <c r="DC25" s="385" t="str">
        <f t="shared" si="83"/>
        <v/>
      </c>
      <c r="DD25" s="385" t="str">
        <f t="shared" si="84"/>
        <v/>
      </c>
      <c r="DE25" s="385" t="str">
        <f t="shared" si="85"/>
        <v/>
      </c>
      <c r="DF25" s="385" t="str">
        <f t="shared" si="86"/>
        <v/>
      </c>
      <c r="DG25" s="385" t="str">
        <f t="shared" si="87"/>
        <v/>
      </c>
      <c r="DH25" s="385" t="str">
        <f t="shared" si="88"/>
        <v/>
      </c>
      <c r="DI25" s="385" t="str">
        <f t="shared" si="89"/>
        <v/>
      </c>
    </row>
    <row r="26" spans="1:113" ht="66" x14ac:dyDescent="0.35">
      <c r="A26" s="21"/>
      <c r="B26" s="396">
        <f>'Appoggio_BIA Servizio'!$B$5</f>
        <v>0</v>
      </c>
      <c r="C26" s="392" t="s">
        <v>760</v>
      </c>
      <c r="D26" s="392" t="s">
        <v>792</v>
      </c>
      <c r="E26" s="393" t="s">
        <v>793</v>
      </c>
      <c r="F26" s="240" t="s">
        <v>671</v>
      </c>
      <c r="G26" s="240" t="s">
        <v>655</v>
      </c>
      <c r="H26" s="240" t="s">
        <v>655</v>
      </c>
      <c r="I26" s="240">
        <v>0.4</v>
      </c>
      <c r="J26" s="240">
        <v>0.4</v>
      </c>
      <c r="K26" s="240">
        <v>0.4</v>
      </c>
      <c r="L26" s="394"/>
      <c r="M26" s="240">
        <v>0.4</v>
      </c>
      <c r="N26" s="240">
        <v>0.7</v>
      </c>
      <c r="O26" s="394"/>
      <c r="P26" s="394"/>
      <c r="Q26" s="240"/>
      <c r="R26" s="394"/>
      <c r="S26" s="394"/>
      <c r="T26" s="394">
        <v>1</v>
      </c>
      <c r="U26" s="394">
        <v>0.7</v>
      </c>
      <c r="V26" s="394"/>
      <c r="W26" s="394">
        <v>0.7</v>
      </c>
      <c r="X26" s="394"/>
      <c r="Y26" s="394"/>
      <c r="Z26" s="394"/>
      <c r="AA26" s="394"/>
      <c r="AB26" s="240"/>
      <c r="AC26" s="394"/>
      <c r="AD26" s="394"/>
      <c r="AE26" s="395"/>
      <c r="AF26" s="395"/>
      <c r="AG26" s="395"/>
      <c r="AH26" s="395"/>
      <c r="AI26" s="395"/>
      <c r="AJ26" s="395"/>
      <c r="AK26" s="395"/>
      <c r="AL26" s="395"/>
      <c r="AM26" s="395">
        <v>1</v>
      </c>
      <c r="AN26" s="395"/>
      <c r="AO26" s="395"/>
      <c r="AP26" s="395"/>
      <c r="AQ26" s="395"/>
      <c r="AR26" s="395"/>
      <c r="AS26" s="395"/>
      <c r="AT26" s="395"/>
      <c r="AU26" s="395">
        <v>1</v>
      </c>
      <c r="AV26" s="395"/>
      <c r="AW26" s="395"/>
      <c r="AX26" s="395"/>
      <c r="AY26" s="395"/>
      <c r="AZ26" s="395"/>
      <c r="BA26" s="395"/>
      <c r="BB26" s="395"/>
      <c r="BC26" s="395"/>
      <c r="BD26" s="395"/>
      <c r="BE26" s="395"/>
      <c r="BF26" s="225">
        <f t="shared" si="0"/>
        <v>0</v>
      </c>
      <c r="BG26" s="226" t="str">
        <f t="shared" si="1"/>
        <v>Non Applicabile</v>
      </c>
      <c r="BH26" s="226"/>
      <c r="BI26" s="226"/>
      <c r="BJ26" s="229"/>
      <c r="BK26" s="227"/>
      <c r="BL26" s="324" t="s">
        <v>794</v>
      </c>
      <c r="BM26" s="324" t="s">
        <v>795</v>
      </c>
      <c r="BN26" s="324" t="s">
        <v>796</v>
      </c>
      <c r="BO26" s="330"/>
      <c r="BP26" s="385" t="str">
        <f>IF(G26="X",
   IF(BG26="Applicabile",
      IF(BJ26&lt;&gt;"",
         _xlfn.XLOOKUP($BJ26,Parametri_RA!$B:$B,Parametri_RA!$D:$D,0),
         0),
      ""),
   "")</f>
        <v/>
      </c>
      <c r="BQ26" s="385" t="str">
        <f>IF(H26="X",
   IF(BG26="Applicabile",
      IF(BJ26&lt;&gt;"",
         _xlfn.XLOOKUP($BJ26,Parametri_RA!$B:$B,Parametri_RA!$D:$D,0),
         0),
      ""),
   "")</f>
        <v/>
      </c>
      <c r="BR26" s="385" t="str">
        <f t="shared" si="46"/>
        <v/>
      </c>
      <c r="BS26" s="385" t="str">
        <f t="shared" si="47"/>
        <v/>
      </c>
      <c r="BT26" s="385" t="str">
        <f t="shared" si="48"/>
        <v/>
      </c>
      <c r="BU26" s="385" t="str">
        <f t="shared" si="49"/>
        <v/>
      </c>
      <c r="BV26" s="385" t="str">
        <f t="shared" si="50"/>
        <v/>
      </c>
      <c r="BW26" s="385" t="str">
        <f t="shared" si="51"/>
        <v/>
      </c>
      <c r="BX26" s="385" t="str">
        <f t="shared" si="52"/>
        <v/>
      </c>
      <c r="BY26" s="385" t="str">
        <f t="shared" si="53"/>
        <v/>
      </c>
      <c r="BZ26" s="385" t="str">
        <f t="shared" si="54"/>
        <v/>
      </c>
      <c r="CA26" s="385" t="str">
        <f t="shared" si="55"/>
        <v/>
      </c>
      <c r="CB26" s="385" t="str">
        <f t="shared" si="56"/>
        <v/>
      </c>
      <c r="CC26" s="385" t="str">
        <f t="shared" si="57"/>
        <v/>
      </c>
      <c r="CD26" s="385" t="str">
        <f t="shared" si="58"/>
        <v/>
      </c>
      <c r="CE26" s="385" t="str">
        <f t="shared" si="59"/>
        <v/>
      </c>
      <c r="CF26" s="385" t="str">
        <f t="shared" si="60"/>
        <v/>
      </c>
      <c r="CG26" s="385" t="str">
        <f t="shared" si="61"/>
        <v/>
      </c>
      <c r="CH26" s="385" t="str">
        <f t="shared" si="62"/>
        <v/>
      </c>
      <c r="CI26" s="385" t="str">
        <f t="shared" si="63"/>
        <v/>
      </c>
      <c r="CJ26" s="385" t="str">
        <f t="shared" si="64"/>
        <v/>
      </c>
      <c r="CK26" s="385" t="str">
        <f t="shared" si="65"/>
        <v/>
      </c>
      <c r="CL26" s="385" t="str">
        <f t="shared" si="66"/>
        <v/>
      </c>
      <c r="CM26" s="385" t="str">
        <f t="shared" si="67"/>
        <v/>
      </c>
      <c r="CN26" s="385" t="str">
        <f t="shared" si="68"/>
        <v/>
      </c>
      <c r="CO26" s="385" t="str">
        <f t="shared" si="69"/>
        <v/>
      </c>
      <c r="CP26" s="385" t="str">
        <f t="shared" si="70"/>
        <v/>
      </c>
      <c r="CQ26" s="385" t="str">
        <f t="shared" si="71"/>
        <v/>
      </c>
      <c r="CR26" s="385" t="str">
        <f t="shared" si="72"/>
        <v/>
      </c>
      <c r="CS26" s="385" t="str">
        <f t="shared" si="73"/>
        <v/>
      </c>
      <c r="CT26" s="385" t="str">
        <f t="shared" si="74"/>
        <v/>
      </c>
      <c r="CU26" s="385" t="str">
        <f t="shared" si="75"/>
        <v/>
      </c>
      <c r="CV26" s="385" t="str">
        <f t="shared" si="76"/>
        <v/>
      </c>
      <c r="CW26" s="385" t="str">
        <f t="shared" si="77"/>
        <v/>
      </c>
      <c r="CX26" s="385" t="str">
        <f t="shared" si="78"/>
        <v/>
      </c>
      <c r="CY26" s="385" t="str">
        <f t="shared" si="79"/>
        <v/>
      </c>
      <c r="CZ26" s="385" t="str">
        <f t="shared" si="80"/>
        <v/>
      </c>
      <c r="DA26" s="385" t="str">
        <f t="shared" si="81"/>
        <v/>
      </c>
      <c r="DB26" s="385" t="str">
        <f t="shared" si="82"/>
        <v/>
      </c>
      <c r="DC26" s="385" t="str">
        <f t="shared" si="83"/>
        <v/>
      </c>
      <c r="DD26" s="385" t="str">
        <f t="shared" si="84"/>
        <v/>
      </c>
      <c r="DE26" s="385" t="str">
        <f t="shared" si="85"/>
        <v/>
      </c>
      <c r="DF26" s="385" t="str">
        <f t="shared" si="86"/>
        <v/>
      </c>
      <c r="DG26" s="385" t="str">
        <f t="shared" si="87"/>
        <v/>
      </c>
      <c r="DH26" s="385" t="str">
        <f t="shared" si="88"/>
        <v/>
      </c>
      <c r="DI26" s="385" t="str">
        <f t="shared" si="89"/>
        <v/>
      </c>
    </row>
    <row r="27" spans="1:113" ht="51" x14ac:dyDescent="0.35">
      <c r="A27" s="21"/>
      <c r="B27" s="396">
        <f>'Appoggio_BIA Servizio'!$B$5</f>
        <v>0</v>
      </c>
      <c r="C27" s="392" t="s">
        <v>760</v>
      </c>
      <c r="D27" s="392" t="s">
        <v>797</v>
      </c>
      <c r="E27" s="393" t="s">
        <v>798</v>
      </c>
      <c r="F27" s="240" t="s">
        <v>671</v>
      </c>
      <c r="G27" s="240" t="s">
        <v>655</v>
      </c>
      <c r="H27" s="240"/>
      <c r="I27" s="240">
        <v>0.4</v>
      </c>
      <c r="J27" s="240">
        <v>0.4</v>
      </c>
      <c r="K27" s="240">
        <v>0.4</v>
      </c>
      <c r="L27" s="394"/>
      <c r="M27" s="240">
        <v>0.4</v>
      </c>
      <c r="N27" s="240">
        <v>0.7</v>
      </c>
      <c r="O27" s="394"/>
      <c r="P27" s="394"/>
      <c r="Q27" s="240"/>
      <c r="R27" s="394"/>
      <c r="S27" s="394"/>
      <c r="T27" s="394">
        <v>0.7</v>
      </c>
      <c r="U27" s="394">
        <v>0.7</v>
      </c>
      <c r="V27" s="394">
        <v>0.4</v>
      </c>
      <c r="W27" s="394">
        <v>0.7</v>
      </c>
      <c r="X27" s="394"/>
      <c r="Y27" s="394"/>
      <c r="Z27" s="394"/>
      <c r="AA27" s="394"/>
      <c r="AB27" s="240"/>
      <c r="AC27" s="394"/>
      <c r="AD27" s="394"/>
      <c r="AE27" s="395"/>
      <c r="AF27" s="395"/>
      <c r="AG27" s="395"/>
      <c r="AH27" s="395"/>
      <c r="AI27" s="395"/>
      <c r="AJ27" s="395"/>
      <c r="AK27" s="395"/>
      <c r="AL27" s="395"/>
      <c r="AM27" s="395">
        <v>1</v>
      </c>
      <c r="AN27" s="395"/>
      <c r="AO27" s="395"/>
      <c r="AP27" s="395"/>
      <c r="AQ27" s="395"/>
      <c r="AR27" s="395"/>
      <c r="AS27" s="395"/>
      <c r="AT27" s="395"/>
      <c r="AU27" s="395">
        <v>1</v>
      </c>
      <c r="AV27" s="395"/>
      <c r="AW27" s="395"/>
      <c r="AX27" s="395"/>
      <c r="AY27" s="395"/>
      <c r="AZ27" s="395"/>
      <c r="BA27" s="395"/>
      <c r="BB27" s="395"/>
      <c r="BC27" s="395"/>
      <c r="BD27" s="395"/>
      <c r="BE27" s="395"/>
      <c r="BF27" s="225">
        <f t="shared" si="0"/>
        <v>0</v>
      </c>
      <c r="BG27" s="226" t="str">
        <f t="shared" si="1"/>
        <v>Non Applicabile</v>
      </c>
      <c r="BH27" s="226"/>
      <c r="BI27" s="226"/>
      <c r="BJ27" s="229"/>
      <c r="BK27" s="227"/>
      <c r="BL27" s="324" t="s">
        <v>799</v>
      </c>
      <c r="BM27" s="324" t="s">
        <v>800</v>
      </c>
      <c r="BN27" s="324" t="s">
        <v>801</v>
      </c>
      <c r="BO27" s="330"/>
      <c r="BP27" s="385" t="str">
        <f>IF(G27="X",
   IF(BG27="Applicabile",
      IF(BJ27&lt;&gt;"",
         _xlfn.XLOOKUP($BJ27,Parametri_RA!$B:$B,Parametri_RA!$D:$D,0),
         0),
      ""),
   "")</f>
        <v/>
      </c>
      <c r="BQ27" s="385" t="str">
        <f>IF(H27="X",
   IF(BG27="Applicabile",
      IF(BJ27&lt;&gt;"",
         _xlfn.XLOOKUP($BJ27,Parametri_RA!$B:$B,Parametri_RA!$D:$D,0),
         0),
      ""),
   "")</f>
        <v/>
      </c>
      <c r="BR27" s="385" t="str">
        <f t="shared" si="46"/>
        <v/>
      </c>
      <c r="BS27" s="385" t="str">
        <f t="shared" si="47"/>
        <v/>
      </c>
      <c r="BT27" s="385" t="str">
        <f t="shared" si="48"/>
        <v/>
      </c>
      <c r="BU27" s="385" t="str">
        <f t="shared" si="49"/>
        <v/>
      </c>
      <c r="BV27" s="385" t="str">
        <f t="shared" si="50"/>
        <v/>
      </c>
      <c r="BW27" s="385" t="str">
        <f t="shared" si="51"/>
        <v/>
      </c>
      <c r="BX27" s="385" t="str">
        <f t="shared" si="52"/>
        <v/>
      </c>
      <c r="BY27" s="385" t="str">
        <f t="shared" si="53"/>
        <v/>
      </c>
      <c r="BZ27" s="385" t="str">
        <f t="shared" si="54"/>
        <v/>
      </c>
      <c r="CA27" s="385" t="str">
        <f t="shared" si="55"/>
        <v/>
      </c>
      <c r="CB27" s="385" t="str">
        <f t="shared" si="56"/>
        <v/>
      </c>
      <c r="CC27" s="385" t="str">
        <f t="shared" si="57"/>
        <v/>
      </c>
      <c r="CD27" s="385" t="str">
        <f t="shared" si="58"/>
        <v/>
      </c>
      <c r="CE27" s="385" t="str">
        <f t="shared" si="59"/>
        <v/>
      </c>
      <c r="CF27" s="385" t="str">
        <f t="shared" si="60"/>
        <v/>
      </c>
      <c r="CG27" s="385" t="str">
        <f t="shared" si="61"/>
        <v/>
      </c>
      <c r="CH27" s="385" t="str">
        <f t="shared" si="62"/>
        <v/>
      </c>
      <c r="CI27" s="385" t="str">
        <f t="shared" si="63"/>
        <v/>
      </c>
      <c r="CJ27" s="385" t="str">
        <f t="shared" si="64"/>
        <v/>
      </c>
      <c r="CK27" s="385" t="str">
        <f t="shared" si="65"/>
        <v/>
      </c>
      <c r="CL27" s="385" t="str">
        <f t="shared" si="66"/>
        <v/>
      </c>
      <c r="CM27" s="385" t="str">
        <f t="shared" si="67"/>
        <v/>
      </c>
      <c r="CN27" s="385" t="str">
        <f t="shared" si="68"/>
        <v/>
      </c>
      <c r="CO27" s="385" t="str">
        <f t="shared" si="69"/>
        <v/>
      </c>
      <c r="CP27" s="385" t="str">
        <f t="shared" si="70"/>
        <v/>
      </c>
      <c r="CQ27" s="385" t="str">
        <f t="shared" si="71"/>
        <v/>
      </c>
      <c r="CR27" s="385" t="str">
        <f t="shared" si="72"/>
        <v/>
      </c>
      <c r="CS27" s="385" t="str">
        <f t="shared" si="73"/>
        <v/>
      </c>
      <c r="CT27" s="385" t="str">
        <f t="shared" si="74"/>
        <v/>
      </c>
      <c r="CU27" s="385" t="str">
        <f t="shared" si="75"/>
        <v/>
      </c>
      <c r="CV27" s="385" t="str">
        <f t="shared" si="76"/>
        <v/>
      </c>
      <c r="CW27" s="385" t="str">
        <f t="shared" si="77"/>
        <v/>
      </c>
      <c r="CX27" s="385" t="str">
        <f t="shared" si="78"/>
        <v/>
      </c>
      <c r="CY27" s="385" t="str">
        <f t="shared" si="79"/>
        <v/>
      </c>
      <c r="CZ27" s="385" t="str">
        <f t="shared" si="80"/>
        <v/>
      </c>
      <c r="DA27" s="385" t="str">
        <f t="shared" si="81"/>
        <v/>
      </c>
      <c r="DB27" s="385" t="str">
        <f t="shared" si="82"/>
        <v/>
      </c>
      <c r="DC27" s="385" t="str">
        <f t="shared" si="83"/>
        <v/>
      </c>
      <c r="DD27" s="385" t="str">
        <f t="shared" si="84"/>
        <v/>
      </c>
      <c r="DE27" s="385" t="str">
        <f t="shared" si="85"/>
        <v/>
      </c>
      <c r="DF27" s="385" t="str">
        <f t="shared" si="86"/>
        <v/>
      </c>
      <c r="DG27" s="385" t="str">
        <f t="shared" si="87"/>
        <v/>
      </c>
      <c r="DH27" s="385" t="str">
        <f t="shared" si="88"/>
        <v/>
      </c>
      <c r="DI27" s="385" t="str">
        <f t="shared" si="89"/>
        <v/>
      </c>
    </row>
    <row r="28" spans="1:113" ht="66" x14ac:dyDescent="0.35">
      <c r="A28" s="21"/>
      <c r="B28" s="396">
        <f>'Appoggio_BIA Servizio'!$B$5</f>
        <v>0</v>
      </c>
      <c r="C28" s="392" t="s">
        <v>760</v>
      </c>
      <c r="D28" s="392" t="s">
        <v>802</v>
      </c>
      <c r="E28" s="393" t="s">
        <v>803</v>
      </c>
      <c r="F28" s="240" t="s">
        <v>654</v>
      </c>
      <c r="G28" s="240" t="s">
        <v>655</v>
      </c>
      <c r="H28" s="240" t="s">
        <v>655</v>
      </c>
      <c r="I28" s="240">
        <v>0.4</v>
      </c>
      <c r="J28" s="240">
        <v>0.4</v>
      </c>
      <c r="K28" s="240">
        <v>0.4</v>
      </c>
      <c r="L28" s="394"/>
      <c r="M28" s="240">
        <v>0.4</v>
      </c>
      <c r="N28" s="240">
        <v>0.4</v>
      </c>
      <c r="O28" s="394"/>
      <c r="P28" s="240">
        <v>0.4</v>
      </c>
      <c r="Q28" s="240"/>
      <c r="R28" s="394"/>
      <c r="S28" s="394"/>
      <c r="T28" s="394">
        <v>0.7</v>
      </c>
      <c r="U28" s="394">
        <v>0.7</v>
      </c>
      <c r="V28" s="394"/>
      <c r="W28" s="394">
        <v>0.7</v>
      </c>
      <c r="X28" s="394"/>
      <c r="Y28" s="394"/>
      <c r="Z28" s="394"/>
      <c r="AA28" s="394"/>
      <c r="AB28" s="240"/>
      <c r="AC28" s="394"/>
      <c r="AD28" s="394"/>
      <c r="AE28" s="395"/>
      <c r="AF28" s="395"/>
      <c r="AG28" s="395"/>
      <c r="AH28" s="395"/>
      <c r="AI28" s="395"/>
      <c r="AJ28" s="395"/>
      <c r="AK28" s="395"/>
      <c r="AL28" s="395"/>
      <c r="AM28" s="395">
        <v>1</v>
      </c>
      <c r="AN28" s="395"/>
      <c r="AO28" s="395"/>
      <c r="AP28" s="395"/>
      <c r="AQ28" s="395"/>
      <c r="AR28" s="395"/>
      <c r="AS28" s="395"/>
      <c r="AT28" s="395"/>
      <c r="AU28" s="395">
        <v>1</v>
      </c>
      <c r="AV28" s="395"/>
      <c r="AW28" s="395"/>
      <c r="AX28" s="395"/>
      <c r="AY28" s="395"/>
      <c r="AZ28" s="395"/>
      <c r="BA28" s="395"/>
      <c r="BB28" s="395"/>
      <c r="BC28" s="395"/>
      <c r="BD28" s="395"/>
      <c r="BE28" s="395"/>
      <c r="BF28" s="225">
        <f t="shared" si="0"/>
        <v>0</v>
      </c>
      <c r="BG28" s="226" t="str">
        <f t="shared" si="1"/>
        <v>Non Applicabile</v>
      </c>
      <c r="BH28" s="226"/>
      <c r="BI28" s="226"/>
      <c r="BJ28" s="229"/>
      <c r="BK28" s="227"/>
      <c r="BL28" s="324" t="s">
        <v>804</v>
      </c>
      <c r="BM28" s="324" t="s">
        <v>805</v>
      </c>
      <c r="BN28" s="324" t="s">
        <v>806</v>
      </c>
      <c r="BO28" s="330"/>
      <c r="BP28" s="385" t="str">
        <f>IF(G28="X",
   IF(BG28="Applicabile",
      IF(BJ28&lt;&gt;"",
         _xlfn.XLOOKUP($BJ28,Parametri_RA!$B:$B,Parametri_RA!$D:$D,0),
         0),
      ""),
   "")</f>
        <v/>
      </c>
      <c r="BQ28" s="385" t="str">
        <f>IF(H28="X",
   IF(BG28="Applicabile",
      IF(BJ28&lt;&gt;"",
         _xlfn.XLOOKUP($BJ28,Parametri_RA!$B:$B,Parametri_RA!$D:$D,0),
         0),
      ""),
   "")</f>
        <v/>
      </c>
      <c r="BR28" s="385" t="str">
        <f t="shared" si="46"/>
        <v/>
      </c>
      <c r="BS28" s="385" t="str">
        <f t="shared" si="47"/>
        <v/>
      </c>
      <c r="BT28" s="385" t="str">
        <f t="shared" si="48"/>
        <v/>
      </c>
      <c r="BU28" s="385" t="str">
        <f t="shared" si="49"/>
        <v/>
      </c>
      <c r="BV28" s="385" t="str">
        <f t="shared" si="50"/>
        <v/>
      </c>
      <c r="BW28" s="385" t="str">
        <f t="shared" si="51"/>
        <v/>
      </c>
      <c r="BX28" s="385" t="str">
        <f t="shared" si="52"/>
        <v/>
      </c>
      <c r="BY28" s="385" t="str">
        <f t="shared" si="53"/>
        <v/>
      </c>
      <c r="BZ28" s="385" t="str">
        <f t="shared" si="54"/>
        <v/>
      </c>
      <c r="CA28" s="385" t="str">
        <f t="shared" si="55"/>
        <v/>
      </c>
      <c r="CB28" s="385" t="str">
        <f t="shared" si="56"/>
        <v/>
      </c>
      <c r="CC28" s="385" t="str">
        <f t="shared" si="57"/>
        <v/>
      </c>
      <c r="CD28" s="385" t="str">
        <f t="shared" si="58"/>
        <v/>
      </c>
      <c r="CE28" s="385" t="str">
        <f t="shared" si="59"/>
        <v/>
      </c>
      <c r="CF28" s="385" t="str">
        <f t="shared" si="60"/>
        <v/>
      </c>
      <c r="CG28" s="385" t="str">
        <f t="shared" si="61"/>
        <v/>
      </c>
      <c r="CH28" s="385" t="str">
        <f t="shared" si="62"/>
        <v/>
      </c>
      <c r="CI28" s="385" t="str">
        <f t="shared" si="63"/>
        <v/>
      </c>
      <c r="CJ28" s="385" t="str">
        <f t="shared" si="64"/>
        <v/>
      </c>
      <c r="CK28" s="385" t="str">
        <f t="shared" si="65"/>
        <v/>
      </c>
      <c r="CL28" s="385" t="str">
        <f t="shared" si="66"/>
        <v/>
      </c>
      <c r="CM28" s="385" t="str">
        <f t="shared" si="67"/>
        <v/>
      </c>
      <c r="CN28" s="385" t="str">
        <f t="shared" si="68"/>
        <v/>
      </c>
      <c r="CO28" s="385" t="str">
        <f t="shared" si="69"/>
        <v/>
      </c>
      <c r="CP28" s="385" t="str">
        <f t="shared" si="70"/>
        <v/>
      </c>
      <c r="CQ28" s="385" t="str">
        <f t="shared" si="71"/>
        <v/>
      </c>
      <c r="CR28" s="385" t="str">
        <f t="shared" si="72"/>
        <v/>
      </c>
      <c r="CS28" s="385" t="str">
        <f t="shared" si="73"/>
        <v/>
      </c>
      <c r="CT28" s="385" t="str">
        <f t="shared" si="74"/>
        <v/>
      </c>
      <c r="CU28" s="385" t="str">
        <f t="shared" si="75"/>
        <v/>
      </c>
      <c r="CV28" s="385" t="str">
        <f t="shared" si="76"/>
        <v/>
      </c>
      <c r="CW28" s="385" t="str">
        <f t="shared" si="77"/>
        <v/>
      </c>
      <c r="CX28" s="385" t="str">
        <f t="shared" si="78"/>
        <v/>
      </c>
      <c r="CY28" s="385" t="str">
        <f t="shared" si="79"/>
        <v/>
      </c>
      <c r="CZ28" s="385" t="str">
        <f t="shared" si="80"/>
        <v/>
      </c>
      <c r="DA28" s="385" t="str">
        <f t="shared" si="81"/>
        <v/>
      </c>
      <c r="DB28" s="385" t="str">
        <f t="shared" si="82"/>
        <v/>
      </c>
      <c r="DC28" s="385" t="str">
        <f t="shared" si="83"/>
        <v/>
      </c>
      <c r="DD28" s="385" t="str">
        <f t="shared" si="84"/>
        <v/>
      </c>
      <c r="DE28" s="385" t="str">
        <f t="shared" si="85"/>
        <v/>
      </c>
      <c r="DF28" s="385" t="str">
        <f t="shared" si="86"/>
        <v/>
      </c>
      <c r="DG28" s="385" t="str">
        <f t="shared" si="87"/>
        <v/>
      </c>
      <c r="DH28" s="385" t="str">
        <f t="shared" si="88"/>
        <v/>
      </c>
      <c r="DI28" s="385" t="str">
        <f t="shared" si="89"/>
        <v/>
      </c>
    </row>
    <row r="29" spans="1:113" ht="51" x14ac:dyDescent="0.35">
      <c r="A29" s="21"/>
      <c r="B29" s="396">
        <f>'Appoggio_BIA Servizio'!$B$5</f>
        <v>0</v>
      </c>
      <c r="C29" s="392" t="s">
        <v>760</v>
      </c>
      <c r="D29" s="392" t="s">
        <v>807</v>
      </c>
      <c r="E29" s="393" t="s">
        <v>808</v>
      </c>
      <c r="F29" s="240" t="s">
        <v>671</v>
      </c>
      <c r="G29" s="240" t="s">
        <v>655</v>
      </c>
      <c r="H29" s="240" t="s">
        <v>655</v>
      </c>
      <c r="I29" s="240">
        <v>0.4</v>
      </c>
      <c r="J29" s="240">
        <v>0.4</v>
      </c>
      <c r="K29" s="240">
        <v>0.4</v>
      </c>
      <c r="L29" s="394"/>
      <c r="M29" s="240">
        <v>0.4</v>
      </c>
      <c r="N29" s="240">
        <v>0.7</v>
      </c>
      <c r="O29" s="394"/>
      <c r="P29" s="240">
        <v>0.7</v>
      </c>
      <c r="Q29" s="240"/>
      <c r="R29" s="394"/>
      <c r="S29" s="394"/>
      <c r="T29" s="394">
        <v>0.7</v>
      </c>
      <c r="U29" s="394">
        <v>0.7</v>
      </c>
      <c r="V29" s="394"/>
      <c r="W29" s="394"/>
      <c r="X29" s="394"/>
      <c r="Y29" s="394"/>
      <c r="Z29" s="394"/>
      <c r="AA29" s="394"/>
      <c r="AB29" s="240"/>
      <c r="AC29" s="394"/>
      <c r="AD29" s="394"/>
      <c r="AE29" s="395"/>
      <c r="AF29" s="395"/>
      <c r="AG29" s="395"/>
      <c r="AH29" s="395"/>
      <c r="AI29" s="395"/>
      <c r="AJ29" s="395"/>
      <c r="AK29" s="395"/>
      <c r="AL29" s="395">
        <v>1</v>
      </c>
      <c r="AM29" s="395">
        <v>1</v>
      </c>
      <c r="AN29" s="395"/>
      <c r="AO29" s="395">
        <v>1</v>
      </c>
      <c r="AP29" s="395"/>
      <c r="AQ29" s="395"/>
      <c r="AR29" s="395">
        <v>1</v>
      </c>
      <c r="AS29" s="395"/>
      <c r="AT29" s="395">
        <v>1</v>
      </c>
      <c r="AU29" s="395">
        <v>1</v>
      </c>
      <c r="AV29" s="395"/>
      <c r="AW29" s="395">
        <v>1</v>
      </c>
      <c r="AX29" s="395"/>
      <c r="AY29" s="395"/>
      <c r="AZ29" s="395"/>
      <c r="BA29" s="395"/>
      <c r="BB29" s="395"/>
      <c r="BC29" s="395"/>
      <c r="BD29" s="395"/>
      <c r="BE29" s="395"/>
      <c r="BF29" s="225">
        <f t="shared" si="0"/>
        <v>0</v>
      </c>
      <c r="BG29" s="226" t="str">
        <f t="shared" si="1"/>
        <v>Non Applicabile</v>
      </c>
      <c r="BH29" s="226"/>
      <c r="BI29" s="226"/>
      <c r="BJ29" s="229"/>
      <c r="BK29" s="227"/>
      <c r="BL29" s="324" t="s">
        <v>809</v>
      </c>
      <c r="BM29" s="324" t="s">
        <v>810</v>
      </c>
      <c r="BN29" s="324" t="s">
        <v>811</v>
      </c>
      <c r="BO29" s="330"/>
      <c r="BP29" s="385" t="str">
        <f>IF(G29="X",
   IF(BG29="Applicabile",
      IF(BJ29&lt;&gt;"",
         _xlfn.XLOOKUP($BJ29,Parametri_RA!$B:$B,Parametri_RA!$D:$D,0),
         0),
      ""),
   "")</f>
        <v/>
      </c>
      <c r="BQ29" s="385" t="str">
        <f>IF(H29="X",
   IF(BG29="Applicabile",
      IF(BJ29&lt;&gt;"",
         _xlfn.XLOOKUP($BJ29,Parametri_RA!$B:$B,Parametri_RA!$D:$D,0),
         0),
      ""),
   "")</f>
        <v/>
      </c>
      <c r="BR29" s="385" t="str">
        <f t="shared" si="46"/>
        <v/>
      </c>
      <c r="BS29" s="385" t="str">
        <f t="shared" si="47"/>
        <v/>
      </c>
      <c r="BT29" s="385" t="str">
        <f t="shared" si="48"/>
        <v/>
      </c>
      <c r="BU29" s="385" t="str">
        <f t="shared" si="49"/>
        <v/>
      </c>
      <c r="BV29" s="385" t="str">
        <f t="shared" si="50"/>
        <v/>
      </c>
      <c r="BW29" s="385" t="str">
        <f t="shared" si="51"/>
        <v/>
      </c>
      <c r="BX29" s="385" t="str">
        <f t="shared" si="52"/>
        <v/>
      </c>
      <c r="BY29" s="385" t="str">
        <f t="shared" si="53"/>
        <v/>
      </c>
      <c r="BZ29" s="385" t="str">
        <f t="shared" si="54"/>
        <v/>
      </c>
      <c r="CA29" s="385" t="str">
        <f t="shared" si="55"/>
        <v/>
      </c>
      <c r="CB29" s="385" t="str">
        <f t="shared" si="56"/>
        <v/>
      </c>
      <c r="CC29" s="385" t="str">
        <f t="shared" si="57"/>
        <v/>
      </c>
      <c r="CD29" s="385" t="str">
        <f t="shared" si="58"/>
        <v/>
      </c>
      <c r="CE29" s="385" t="str">
        <f t="shared" si="59"/>
        <v/>
      </c>
      <c r="CF29" s="385" t="str">
        <f t="shared" si="60"/>
        <v/>
      </c>
      <c r="CG29" s="385" t="str">
        <f t="shared" si="61"/>
        <v/>
      </c>
      <c r="CH29" s="385" t="str">
        <f t="shared" si="62"/>
        <v/>
      </c>
      <c r="CI29" s="385" t="str">
        <f t="shared" si="63"/>
        <v/>
      </c>
      <c r="CJ29" s="385" t="str">
        <f t="shared" si="64"/>
        <v/>
      </c>
      <c r="CK29" s="385" t="str">
        <f t="shared" si="65"/>
        <v/>
      </c>
      <c r="CL29" s="385" t="str">
        <f t="shared" si="66"/>
        <v/>
      </c>
      <c r="CM29" s="385" t="str">
        <f t="shared" si="67"/>
        <v/>
      </c>
      <c r="CN29" s="385" t="str">
        <f t="shared" si="68"/>
        <v/>
      </c>
      <c r="CO29" s="385" t="str">
        <f t="shared" si="69"/>
        <v/>
      </c>
      <c r="CP29" s="385" t="str">
        <f t="shared" si="70"/>
        <v/>
      </c>
      <c r="CQ29" s="385" t="str">
        <f t="shared" si="71"/>
        <v/>
      </c>
      <c r="CR29" s="385" t="str">
        <f t="shared" si="72"/>
        <v/>
      </c>
      <c r="CS29" s="385" t="str">
        <f t="shared" si="73"/>
        <v/>
      </c>
      <c r="CT29" s="385" t="str">
        <f t="shared" si="74"/>
        <v/>
      </c>
      <c r="CU29" s="385" t="str">
        <f t="shared" si="75"/>
        <v/>
      </c>
      <c r="CV29" s="385" t="str">
        <f t="shared" si="76"/>
        <v/>
      </c>
      <c r="CW29" s="385" t="str">
        <f t="shared" si="77"/>
        <v/>
      </c>
      <c r="CX29" s="385" t="str">
        <f t="shared" si="78"/>
        <v/>
      </c>
      <c r="CY29" s="385" t="str">
        <f t="shared" si="79"/>
        <v/>
      </c>
      <c r="CZ29" s="385" t="str">
        <f t="shared" si="80"/>
        <v/>
      </c>
      <c r="DA29" s="385" t="str">
        <f t="shared" si="81"/>
        <v/>
      </c>
      <c r="DB29" s="385" t="str">
        <f t="shared" si="82"/>
        <v/>
      </c>
      <c r="DC29" s="385" t="str">
        <f t="shared" si="83"/>
        <v/>
      </c>
      <c r="DD29" s="385" t="str">
        <f t="shared" si="84"/>
        <v/>
      </c>
      <c r="DE29" s="385" t="str">
        <f t="shared" si="85"/>
        <v/>
      </c>
      <c r="DF29" s="385" t="str">
        <f t="shared" si="86"/>
        <v/>
      </c>
      <c r="DG29" s="385" t="str">
        <f t="shared" si="87"/>
        <v/>
      </c>
      <c r="DH29" s="385" t="str">
        <f t="shared" si="88"/>
        <v/>
      </c>
      <c r="DI29" s="385" t="str">
        <f t="shared" si="89"/>
        <v/>
      </c>
    </row>
    <row r="30" spans="1:113" ht="102" x14ac:dyDescent="0.35">
      <c r="A30" s="21" t="s">
        <v>812</v>
      </c>
      <c r="B30" s="396">
        <f>'Appoggio_BIA Servizio'!$B$5</f>
        <v>0</v>
      </c>
      <c r="C30" s="392" t="s">
        <v>760</v>
      </c>
      <c r="D30" s="392" t="s">
        <v>813</v>
      </c>
      <c r="E30" s="393" t="s">
        <v>814</v>
      </c>
      <c r="F30" s="240" t="s">
        <v>671</v>
      </c>
      <c r="G30" s="240" t="s">
        <v>655</v>
      </c>
      <c r="H30" s="240"/>
      <c r="I30" s="240">
        <v>0.7</v>
      </c>
      <c r="J30" s="240">
        <v>0.7</v>
      </c>
      <c r="K30" s="240">
        <v>0.7</v>
      </c>
      <c r="L30" s="394"/>
      <c r="M30" s="240"/>
      <c r="N30" s="240">
        <v>0.7</v>
      </c>
      <c r="O30" s="394"/>
      <c r="P30" s="394"/>
      <c r="Q30" s="240"/>
      <c r="R30" s="394"/>
      <c r="S30" s="394"/>
      <c r="T30" s="394">
        <v>0.7</v>
      </c>
      <c r="U30" s="394">
        <v>0.7</v>
      </c>
      <c r="V30" s="394"/>
      <c r="W30" s="394">
        <v>0.7</v>
      </c>
      <c r="X30" s="394"/>
      <c r="Y30" s="394"/>
      <c r="Z30" s="394"/>
      <c r="AA30" s="394"/>
      <c r="AB30" s="240"/>
      <c r="AC30" s="394"/>
      <c r="AD30" s="394"/>
      <c r="AE30" s="395"/>
      <c r="AF30" s="395"/>
      <c r="AG30" s="395"/>
      <c r="AH30" s="395"/>
      <c r="AI30" s="395"/>
      <c r="AJ30" s="395"/>
      <c r="AK30" s="395"/>
      <c r="AL30" s="395"/>
      <c r="AM30" s="395">
        <v>1</v>
      </c>
      <c r="AN30" s="395"/>
      <c r="AO30" s="395"/>
      <c r="AP30" s="395"/>
      <c r="AQ30" s="395"/>
      <c r="AR30" s="395"/>
      <c r="AS30" s="395"/>
      <c r="AT30" s="395"/>
      <c r="AU30" s="395">
        <v>1</v>
      </c>
      <c r="AV30" s="395"/>
      <c r="AW30" s="395"/>
      <c r="AX30" s="395"/>
      <c r="AY30" s="395"/>
      <c r="AZ30" s="395"/>
      <c r="BA30" s="395"/>
      <c r="BB30" s="395"/>
      <c r="BC30" s="395"/>
      <c r="BD30" s="395"/>
      <c r="BE30" s="395"/>
      <c r="BF30" s="225">
        <f t="shared" si="0"/>
        <v>0</v>
      </c>
      <c r="BG30" s="226" t="str">
        <f t="shared" si="1"/>
        <v>Non Applicabile</v>
      </c>
      <c r="BH30" s="226" t="s">
        <v>693</v>
      </c>
      <c r="BI30" s="226"/>
      <c r="BJ30" s="229"/>
      <c r="BK30" s="227"/>
      <c r="BL30" s="324" t="s">
        <v>815</v>
      </c>
      <c r="BM30" s="324" t="s">
        <v>816</v>
      </c>
      <c r="BN30" s="324" t="s">
        <v>817</v>
      </c>
      <c r="BO30" s="330"/>
      <c r="BP30" s="385" t="str">
        <f>IF(G30="X",
   IF(BG30="Applicabile",
      IF(BJ30&lt;&gt;"",
         _xlfn.XLOOKUP($BJ30,Parametri_RA!$B:$B,Parametri_RA!$D:$D,0),
         0),
      ""),
   "")</f>
        <v/>
      </c>
      <c r="BQ30" s="385" t="str">
        <f>IF(H30="X",
   IF(BG30="Applicabile",
      IF(BJ30&lt;&gt;"",
         _xlfn.XLOOKUP($BJ30,Parametri_RA!$B:$B,Parametri_RA!$D:$D,0),
         0),
      ""),
   "")</f>
        <v/>
      </c>
      <c r="BR30" s="385" t="str">
        <f t="shared" si="46"/>
        <v/>
      </c>
      <c r="BS30" s="385" t="str">
        <f t="shared" si="47"/>
        <v/>
      </c>
      <c r="BT30" s="385" t="str">
        <f t="shared" si="48"/>
        <v/>
      </c>
      <c r="BU30" s="385" t="str">
        <f t="shared" si="49"/>
        <v/>
      </c>
      <c r="BV30" s="385" t="str">
        <f t="shared" si="50"/>
        <v/>
      </c>
      <c r="BW30" s="385" t="str">
        <f t="shared" si="51"/>
        <v/>
      </c>
      <c r="BX30" s="385" t="str">
        <f t="shared" si="52"/>
        <v/>
      </c>
      <c r="BY30" s="385" t="str">
        <f t="shared" si="53"/>
        <v/>
      </c>
      <c r="BZ30" s="385" t="str">
        <f t="shared" si="54"/>
        <v/>
      </c>
      <c r="CA30" s="385" t="str">
        <f t="shared" si="55"/>
        <v/>
      </c>
      <c r="CB30" s="385" t="str">
        <f t="shared" si="56"/>
        <v/>
      </c>
      <c r="CC30" s="385" t="str">
        <f t="shared" si="57"/>
        <v/>
      </c>
      <c r="CD30" s="385" t="str">
        <f t="shared" si="58"/>
        <v/>
      </c>
      <c r="CE30" s="385" t="str">
        <f t="shared" si="59"/>
        <v/>
      </c>
      <c r="CF30" s="385" t="str">
        <f t="shared" si="60"/>
        <v/>
      </c>
      <c r="CG30" s="385" t="str">
        <f t="shared" si="61"/>
        <v/>
      </c>
      <c r="CH30" s="385" t="str">
        <f t="shared" si="62"/>
        <v/>
      </c>
      <c r="CI30" s="385" t="str">
        <f t="shared" si="63"/>
        <v/>
      </c>
      <c r="CJ30" s="385" t="str">
        <f t="shared" si="64"/>
        <v/>
      </c>
      <c r="CK30" s="385" t="str">
        <f t="shared" si="65"/>
        <v/>
      </c>
      <c r="CL30" s="385" t="str">
        <f t="shared" si="66"/>
        <v/>
      </c>
      <c r="CM30" s="385" t="str">
        <f t="shared" si="67"/>
        <v/>
      </c>
      <c r="CN30" s="385" t="str">
        <f t="shared" si="68"/>
        <v/>
      </c>
      <c r="CO30" s="385" t="str">
        <f t="shared" si="69"/>
        <v/>
      </c>
      <c r="CP30" s="385" t="str">
        <f t="shared" si="70"/>
        <v/>
      </c>
      <c r="CQ30" s="385" t="str">
        <f t="shared" si="71"/>
        <v/>
      </c>
      <c r="CR30" s="385" t="str">
        <f t="shared" si="72"/>
        <v/>
      </c>
      <c r="CS30" s="385" t="str">
        <f t="shared" si="73"/>
        <v/>
      </c>
      <c r="CT30" s="385" t="str">
        <f t="shared" si="74"/>
        <v/>
      </c>
      <c r="CU30" s="385" t="str">
        <f t="shared" si="75"/>
        <v/>
      </c>
      <c r="CV30" s="385" t="str">
        <f t="shared" si="76"/>
        <v/>
      </c>
      <c r="CW30" s="385" t="str">
        <f t="shared" si="77"/>
        <v/>
      </c>
      <c r="CX30" s="385" t="str">
        <f t="shared" si="78"/>
        <v/>
      </c>
      <c r="CY30" s="385" t="str">
        <f t="shared" si="79"/>
        <v/>
      </c>
      <c r="CZ30" s="385" t="str">
        <f t="shared" si="80"/>
        <v/>
      </c>
      <c r="DA30" s="385" t="str">
        <f t="shared" si="81"/>
        <v/>
      </c>
      <c r="DB30" s="385" t="str">
        <f t="shared" si="82"/>
        <v/>
      </c>
      <c r="DC30" s="385" t="str">
        <f t="shared" si="83"/>
        <v/>
      </c>
      <c r="DD30" s="385" t="str">
        <f t="shared" si="84"/>
        <v/>
      </c>
      <c r="DE30" s="385" t="str">
        <f t="shared" si="85"/>
        <v/>
      </c>
      <c r="DF30" s="385" t="str">
        <f t="shared" si="86"/>
        <v/>
      </c>
      <c r="DG30" s="385" t="str">
        <f t="shared" si="87"/>
        <v/>
      </c>
      <c r="DH30" s="385" t="str">
        <f t="shared" si="88"/>
        <v/>
      </c>
      <c r="DI30" s="385" t="str">
        <f t="shared" si="89"/>
        <v/>
      </c>
    </row>
    <row r="31" spans="1:113" ht="51" x14ac:dyDescent="0.35">
      <c r="A31" s="21"/>
      <c r="B31" s="396">
        <f>'Appoggio_BIA Servizio'!$B$5</f>
        <v>0</v>
      </c>
      <c r="C31" s="392" t="s">
        <v>760</v>
      </c>
      <c r="D31" s="392" t="s">
        <v>818</v>
      </c>
      <c r="E31" s="393" t="s">
        <v>819</v>
      </c>
      <c r="F31" s="240" t="s">
        <v>671</v>
      </c>
      <c r="G31" s="240" t="s">
        <v>655</v>
      </c>
      <c r="H31" s="240" t="s">
        <v>655</v>
      </c>
      <c r="I31" s="240">
        <v>0.7</v>
      </c>
      <c r="J31" s="240">
        <v>0.4</v>
      </c>
      <c r="K31" s="240">
        <v>0.7</v>
      </c>
      <c r="L31" s="394"/>
      <c r="M31" s="240">
        <v>0.4</v>
      </c>
      <c r="N31" s="240">
        <v>0.7</v>
      </c>
      <c r="O31" s="394"/>
      <c r="P31" s="394"/>
      <c r="Q31" s="240"/>
      <c r="R31" s="394"/>
      <c r="S31" s="394"/>
      <c r="T31" s="394">
        <v>1</v>
      </c>
      <c r="U31" s="394">
        <v>0.7</v>
      </c>
      <c r="V31" s="394">
        <v>0.7</v>
      </c>
      <c r="W31" s="394"/>
      <c r="X31" s="394"/>
      <c r="Y31" s="394"/>
      <c r="Z31" s="394"/>
      <c r="AA31" s="394"/>
      <c r="AB31" s="240"/>
      <c r="AC31" s="394"/>
      <c r="AD31" s="394"/>
      <c r="AE31" s="395"/>
      <c r="AF31" s="395"/>
      <c r="AG31" s="395"/>
      <c r="AH31" s="395"/>
      <c r="AI31" s="395"/>
      <c r="AJ31" s="395"/>
      <c r="AK31" s="395"/>
      <c r="AL31" s="395"/>
      <c r="AM31" s="395">
        <v>1</v>
      </c>
      <c r="AN31" s="395"/>
      <c r="AO31" s="395"/>
      <c r="AP31" s="395"/>
      <c r="AQ31" s="395"/>
      <c r="AR31" s="395"/>
      <c r="AS31" s="395"/>
      <c r="AT31" s="395"/>
      <c r="AU31" s="395">
        <v>1</v>
      </c>
      <c r="AV31" s="395"/>
      <c r="AW31" s="395"/>
      <c r="AX31" s="395"/>
      <c r="AY31" s="395"/>
      <c r="AZ31" s="395"/>
      <c r="BA31" s="395"/>
      <c r="BB31" s="395"/>
      <c r="BC31" s="395"/>
      <c r="BD31" s="395"/>
      <c r="BE31" s="395"/>
      <c r="BF31" s="225">
        <f t="shared" si="0"/>
        <v>0</v>
      </c>
      <c r="BG31" s="226" t="str">
        <f t="shared" si="1"/>
        <v>Non Applicabile</v>
      </c>
      <c r="BH31" s="226" t="s">
        <v>820</v>
      </c>
      <c r="BI31" s="226"/>
      <c r="BJ31" s="229"/>
      <c r="BK31" s="227"/>
      <c r="BL31" s="324" t="s">
        <v>821</v>
      </c>
      <c r="BM31" s="324" t="s">
        <v>822</v>
      </c>
      <c r="BN31" s="324" t="s">
        <v>823</v>
      </c>
      <c r="BO31" s="330"/>
      <c r="BP31" s="385" t="str">
        <f>IF(G31="X",
   IF(BG31="Applicabile",
      IF(BJ31&lt;&gt;"",
         _xlfn.XLOOKUP($BJ31,Parametri_RA!$B:$B,Parametri_RA!$D:$D,0),
         0),
      ""),
   "")</f>
        <v/>
      </c>
      <c r="BQ31" s="385" t="str">
        <f>IF(H31="X",
   IF(BG31="Applicabile",
      IF(BJ31&lt;&gt;"",
         _xlfn.XLOOKUP($BJ31,Parametri_RA!$B:$B,Parametri_RA!$D:$D,0),
         0),
      ""),
   "")</f>
        <v/>
      </c>
      <c r="BR31" s="385" t="str">
        <f t="shared" si="46"/>
        <v/>
      </c>
      <c r="BS31" s="385" t="str">
        <f t="shared" si="47"/>
        <v/>
      </c>
      <c r="BT31" s="385" t="str">
        <f t="shared" si="48"/>
        <v/>
      </c>
      <c r="BU31" s="385" t="str">
        <f t="shared" si="49"/>
        <v/>
      </c>
      <c r="BV31" s="385" t="str">
        <f t="shared" si="50"/>
        <v/>
      </c>
      <c r="BW31" s="385" t="str">
        <f t="shared" si="51"/>
        <v/>
      </c>
      <c r="BX31" s="385" t="str">
        <f t="shared" si="52"/>
        <v/>
      </c>
      <c r="BY31" s="385" t="str">
        <f t="shared" si="53"/>
        <v/>
      </c>
      <c r="BZ31" s="385" t="str">
        <f t="shared" si="54"/>
        <v/>
      </c>
      <c r="CA31" s="385" t="str">
        <f t="shared" si="55"/>
        <v/>
      </c>
      <c r="CB31" s="385" t="str">
        <f t="shared" si="56"/>
        <v/>
      </c>
      <c r="CC31" s="385" t="str">
        <f t="shared" si="57"/>
        <v/>
      </c>
      <c r="CD31" s="385" t="str">
        <f t="shared" si="58"/>
        <v/>
      </c>
      <c r="CE31" s="385" t="str">
        <f t="shared" si="59"/>
        <v/>
      </c>
      <c r="CF31" s="385" t="str">
        <f t="shared" si="60"/>
        <v/>
      </c>
      <c r="CG31" s="385" t="str">
        <f t="shared" si="61"/>
        <v/>
      </c>
      <c r="CH31" s="385" t="str">
        <f t="shared" si="62"/>
        <v/>
      </c>
      <c r="CI31" s="385" t="str">
        <f t="shared" si="63"/>
        <v/>
      </c>
      <c r="CJ31" s="385" t="str">
        <f t="shared" si="64"/>
        <v/>
      </c>
      <c r="CK31" s="385" t="str">
        <f t="shared" si="65"/>
        <v/>
      </c>
      <c r="CL31" s="385" t="str">
        <f t="shared" si="66"/>
        <v/>
      </c>
      <c r="CM31" s="385" t="str">
        <f t="shared" si="67"/>
        <v/>
      </c>
      <c r="CN31" s="385" t="str">
        <f t="shared" si="68"/>
        <v/>
      </c>
      <c r="CO31" s="385" t="str">
        <f t="shared" si="69"/>
        <v/>
      </c>
      <c r="CP31" s="385" t="str">
        <f t="shared" si="70"/>
        <v/>
      </c>
      <c r="CQ31" s="385" t="str">
        <f t="shared" si="71"/>
        <v/>
      </c>
      <c r="CR31" s="385" t="str">
        <f t="shared" si="72"/>
        <v/>
      </c>
      <c r="CS31" s="385" t="str">
        <f t="shared" si="73"/>
        <v/>
      </c>
      <c r="CT31" s="385" t="str">
        <f t="shared" si="74"/>
        <v/>
      </c>
      <c r="CU31" s="385" t="str">
        <f t="shared" si="75"/>
        <v/>
      </c>
      <c r="CV31" s="385" t="str">
        <f t="shared" si="76"/>
        <v/>
      </c>
      <c r="CW31" s="385" t="str">
        <f t="shared" si="77"/>
        <v/>
      </c>
      <c r="CX31" s="385" t="str">
        <f t="shared" si="78"/>
        <v/>
      </c>
      <c r="CY31" s="385" t="str">
        <f t="shared" si="79"/>
        <v/>
      </c>
      <c r="CZ31" s="385" t="str">
        <f t="shared" si="80"/>
        <v/>
      </c>
      <c r="DA31" s="385" t="str">
        <f t="shared" si="81"/>
        <v/>
      </c>
      <c r="DB31" s="385" t="str">
        <f t="shared" si="82"/>
        <v/>
      </c>
      <c r="DC31" s="385" t="str">
        <f t="shared" si="83"/>
        <v/>
      </c>
      <c r="DD31" s="385" t="str">
        <f t="shared" si="84"/>
        <v/>
      </c>
      <c r="DE31" s="385" t="str">
        <f t="shared" si="85"/>
        <v/>
      </c>
      <c r="DF31" s="385" t="str">
        <f t="shared" si="86"/>
        <v/>
      </c>
      <c r="DG31" s="385" t="str">
        <f t="shared" si="87"/>
        <v/>
      </c>
      <c r="DH31" s="385" t="str">
        <f t="shared" si="88"/>
        <v/>
      </c>
      <c r="DI31" s="385" t="str">
        <f t="shared" si="89"/>
        <v/>
      </c>
    </row>
    <row r="32" spans="1:113" ht="51" x14ac:dyDescent="0.35">
      <c r="A32" s="21"/>
      <c r="B32" s="396">
        <f>'Appoggio_BIA Servizio'!$B$5</f>
        <v>0</v>
      </c>
      <c r="C32" s="392" t="s">
        <v>760</v>
      </c>
      <c r="D32" s="392" t="s">
        <v>824</v>
      </c>
      <c r="E32" s="393" t="s">
        <v>825</v>
      </c>
      <c r="F32" s="240" t="s">
        <v>663</v>
      </c>
      <c r="G32" s="240" t="s">
        <v>655</v>
      </c>
      <c r="H32" s="240" t="s">
        <v>655</v>
      </c>
      <c r="I32" s="240">
        <v>0.4</v>
      </c>
      <c r="J32" s="240">
        <v>0.4</v>
      </c>
      <c r="K32" s="240">
        <v>0.7</v>
      </c>
      <c r="L32" s="394"/>
      <c r="M32" s="240">
        <v>0.4</v>
      </c>
      <c r="N32" s="240">
        <v>0.7</v>
      </c>
      <c r="O32" s="394"/>
      <c r="P32" s="240">
        <v>0.4</v>
      </c>
      <c r="Q32" s="240"/>
      <c r="R32" s="394"/>
      <c r="S32" s="394"/>
      <c r="T32" s="394">
        <v>1</v>
      </c>
      <c r="U32" s="394">
        <v>0.7</v>
      </c>
      <c r="V32" s="394"/>
      <c r="W32" s="394"/>
      <c r="X32" s="394"/>
      <c r="Y32" s="394"/>
      <c r="Z32" s="394"/>
      <c r="AA32" s="394"/>
      <c r="AB32" s="240"/>
      <c r="AC32" s="394"/>
      <c r="AD32" s="394"/>
      <c r="AE32" s="395"/>
      <c r="AF32" s="395"/>
      <c r="AG32" s="395"/>
      <c r="AH32" s="395"/>
      <c r="AI32" s="395"/>
      <c r="AJ32" s="395"/>
      <c r="AK32" s="395"/>
      <c r="AL32" s="395"/>
      <c r="AM32" s="395">
        <v>1</v>
      </c>
      <c r="AN32" s="395"/>
      <c r="AO32" s="395"/>
      <c r="AP32" s="395"/>
      <c r="AQ32" s="395"/>
      <c r="AR32" s="395"/>
      <c r="AS32" s="395"/>
      <c r="AT32" s="395"/>
      <c r="AU32" s="395">
        <v>1</v>
      </c>
      <c r="AV32" s="395"/>
      <c r="AW32" s="395"/>
      <c r="AX32" s="395"/>
      <c r="AY32" s="395"/>
      <c r="AZ32" s="395"/>
      <c r="BA32" s="395"/>
      <c r="BB32" s="395"/>
      <c r="BC32" s="395"/>
      <c r="BD32" s="395"/>
      <c r="BE32" s="395"/>
      <c r="BF32" s="225">
        <f t="shared" si="0"/>
        <v>0</v>
      </c>
      <c r="BG32" s="226" t="str">
        <f t="shared" si="1"/>
        <v>Non Applicabile</v>
      </c>
      <c r="BH32" s="226" t="s">
        <v>693</v>
      </c>
      <c r="BI32" s="226"/>
      <c r="BJ32" s="229"/>
      <c r="BK32" s="227"/>
      <c r="BL32" s="324" t="s">
        <v>826</v>
      </c>
      <c r="BM32" s="324" t="s">
        <v>827</v>
      </c>
      <c r="BN32" s="324" t="s">
        <v>828</v>
      </c>
      <c r="BO32" s="330"/>
      <c r="BP32" s="385" t="str">
        <f>IF(G32="X",
   IF(BG32="Applicabile",
      IF(BJ32&lt;&gt;"",
         _xlfn.XLOOKUP($BJ32,Parametri_RA!$B:$B,Parametri_RA!$D:$D,0),
         0),
      ""),
   "")</f>
        <v/>
      </c>
      <c r="BQ32" s="385" t="str">
        <f>IF(H32="X",
   IF(BG32="Applicabile",
      IF(BJ32&lt;&gt;"",
         _xlfn.XLOOKUP($BJ32,Parametri_RA!$B:$B,Parametri_RA!$D:$D,0),
         0),
      ""),
   "")</f>
        <v/>
      </c>
      <c r="BR32" s="385" t="str">
        <f t="shared" si="46"/>
        <v/>
      </c>
      <c r="BS32" s="385" t="str">
        <f t="shared" si="47"/>
        <v/>
      </c>
      <c r="BT32" s="385" t="str">
        <f t="shared" si="48"/>
        <v/>
      </c>
      <c r="BU32" s="385" t="str">
        <f t="shared" si="49"/>
        <v/>
      </c>
      <c r="BV32" s="385" t="str">
        <f t="shared" si="50"/>
        <v/>
      </c>
      <c r="BW32" s="385" t="str">
        <f t="shared" si="51"/>
        <v/>
      </c>
      <c r="BX32" s="385" t="str">
        <f t="shared" si="52"/>
        <v/>
      </c>
      <c r="BY32" s="385" t="str">
        <f t="shared" si="53"/>
        <v/>
      </c>
      <c r="BZ32" s="385" t="str">
        <f t="shared" si="54"/>
        <v/>
      </c>
      <c r="CA32" s="385" t="str">
        <f t="shared" si="55"/>
        <v/>
      </c>
      <c r="CB32" s="385" t="str">
        <f t="shared" si="56"/>
        <v/>
      </c>
      <c r="CC32" s="385" t="str">
        <f t="shared" si="57"/>
        <v/>
      </c>
      <c r="CD32" s="385" t="str">
        <f t="shared" si="58"/>
        <v/>
      </c>
      <c r="CE32" s="385" t="str">
        <f t="shared" si="59"/>
        <v/>
      </c>
      <c r="CF32" s="385" t="str">
        <f t="shared" si="60"/>
        <v/>
      </c>
      <c r="CG32" s="385" t="str">
        <f t="shared" si="61"/>
        <v/>
      </c>
      <c r="CH32" s="385" t="str">
        <f t="shared" si="62"/>
        <v/>
      </c>
      <c r="CI32" s="385" t="str">
        <f t="shared" si="63"/>
        <v/>
      </c>
      <c r="CJ32" s="385" t="str">
        <f t="shared" si="64"/>
        <v/>
      </c>
      <c r="CK32" s="385" t="str">
        <f t="shared" si="65"/>
        <v/>
      </c>
      <c r="CL32" s="385" t="str">
        <f t="shared" si="66"/>
        <v/>
      </c>
      <c r="CM32" s="385" t="str">
        <f t="shared" si="67"/>
        <v/>
      </c>
      <c r="CN32" s="385" t="str">
        <f t="shared" si="68"/>
        <v/>
      </c>
      <c r="CO32" s="385" t="str">
        <f t="shared" si="69"/>
        <v/>
      </c>
      <c r="CP32" s="385" t="str">
        <f t="shared" si="70"/>
        <v/>
      </c>
      <c r="CQ32" s="385" t="str">
        <f t="shared" si="71"/>
        <v/>
      </c>
      <c r="CR32" s="385" t="str">
        <f t="shared" si="72"/>
        <v/>
      </c>
      <c r="CS32" s="385" t="str">
        <f t="shared" si="73"/>
        <v/>
      </c>
      <c r="CT32" s="385" t="str">
        <f t="shared" si="74"/>
        <v/>
      </c>
      <c r="CU32" s="385" t="str">
        <f t="shared" si="75"/>
        <v/>
      </c>
      <c r="CV32" s="385" t="str">
        <f t="shared" si="76"/>
        <v/>
      </c>
      <c r="CW32" s="385" t="str">
        <f t="shared" si="77"/>
        <v/>
      </c>
      <c r="CX32" s="385" t="str">
        <f t="shared" si="78"/>
        <v/>
      </c>
      <c r="CY32" s="385" t="str">
        <f t="shared" si="79"/>
        <v/>
      </c>
      <c r="CZ32" s="385" t="str">
        <f t="shared" si="80"/>
        <v/>
      </c>
      <c r="DA32" s="385" t="str">
        <f t="shared" si="81"/>
        <v/>
      </c>
      <c r="DB32" s="385" t="str">
        <f t="shared" si="82"/>
        <v/>
      </c>
      <c r="DC32" s="385" t="str">
        <f t="shared" si="83"/>
        <v/>
      </c>
      <c r="DD32" s="385" t="str">
        <f t="shared" si="84"/>
        <v/>
      </c>
      <c r="DE32" s="385" t="str">
        <f t="shared" si="85"/>
        <v/>
      </c>
      <c r="DF32" s="385" t="str">
        <f t="shared" si="86"/>
        <v/>
      </c>
      <c r="DG32" s="385" t="str">
        <f t="shared" si="87"/>
        <v/>
      </c>
      <c r="DH32" s="385" t="str">
        <f t="shared" si="88"/>
        <v/>
      </c>
      <c r="DI32" s="385" t="str">
        <f t="shared" si="89"/>
        <v/>
      </c>
    </row>
    <row r="33" spans="1:113" ht="85" x14ac:dyDescent="0.35">
      <c r="A33" s="21"/>
      <c r="B33" s="396">
        <f>'Appoggio_BIA Servizio'!$B$5</f>
        <v>0</v>
      </c>
      <c r="C33" s="392" t="s">
        <v>829</v>
      </c>
      <c r="D33" s="392" t="s">
        <v>830</v>
      </c>
      <c r="E33" s="393" t="s">
        <v>831</v>
      </c>
      <c r="F33" s="240" t="s">
        <v>663</v>
      </c>
      <c r="G33" s="240" t="s">
        <v>655</v>
      </c>
      <c r="H33" s="240" t="s">
        <v>655</v>
      </c>
      <c r="I33" s="240">
        <v>0.4</v>
      </c>
      <c r="J33" s="240">
        <v>0.4</v>
      </c>
      <c r="K33" s="240">
        <v>0.4</v>
      </c>
      <c r="L33" s="394"/>
      <c r="M33" s="240">
        <v>0.4</v>
      </c>
      <c r="N33" s="394">
        <v>0.4</v>
      </c>
      <c r="O33" s="394">
        <v>0.4</v>
      </c>
      <c r="P33" s="394"/>
      <c r="Q33" s="240"/>
      <c r="R33" s="394"/>
      <c r="S33" s="394"/>
      <c r="T33" s="394">
        <v>0.4</v>
      </c>
      <c r="U33" s="394">
        <v>0.4</v>
      </c>
      <c r="V33" s="394"/>
      <c r="W33" s="394">
        <v>0.4</v>
      </c>
      <c r="X33" s="394"/>
      <c r="Y33" s="394"/>
      <c r="Z33" s="394"/>
      <c r="AA33" s="394"/>
      <c r="AB33" s="240"/>
      <c r="AC33" s="394"/>
      <c r="AD33" s="394"/>
      <c r="AE33" s="395"/>
      <c r="AF33" s="395"/>
      <c r="AG33" s="395"/>
      <c r="AH33" s="395"/>
      <c r="AI33" s="395"/>
      <c r="AJ33" s="395"/>
      <c r="AK33" s="395"/>
      <c r="AL33" s="395"/>
      <c r="AM33" s="395">
        <v>1</v>
      </c>
      <c r="AN33" s="395">
        <v>1</v>
      </c>
      <c r="AO33" s="395"/>
      <c r="AP33" s="395"/>
      <c r="AQ33" s="395"/>
      <c r="AR33" s="395"/>
      <c r="AS33" s="395"/>
      <c r="AT33" s="395"/>
      <c r="AU33" s="395"/>
      <c r="AV33" s="395"/>
      <c r="AW33" s="395"/>
      <c r="AX33" s="395"/>
      <c r="AY33" s="395"/>
      <c r="AZ33" s="395"/>
      <c r="BA33" s="395"/>
      <c r="BB33" s="395"/>
      <c r="BC33" s="395"/>
      <c r="BD33" s="395"/>
      <c r="BE33" s="395"/>
      <c r="BF33" s="225">
        <f t="shared" si="0"/>
        <v>0</v>
      </c>
      <c r="BG33" s="226" t="str">
        <f t="shared" si="1"/>
        <v>Non Applicabile</v>
      </c>
      <c r="BH33" s="226" t="s">
        <v>693</v>
      </c>
      <c r="BI33" s="226"/>
      <c r="BJ33" s="229"/>
      <c r="BK33" s="227"/>
      <c r="BL33" s="324" t="s">
        <v>832</v>
      </c>
      <c r="BM33" s="324" t="s">
        <v>833</v>
      </c>
      <c r="BN33" s="324" t="s">
        <v>834</v>
      </c>
      <c r="BO33" s="330"/>
      <c r="BP33" s="385" t="str">
        <f>IF(G33="X",
   IF(BG33="Applicabile",
      IF(BJ33&lt;&gt;"",
         _xlfn.XLOOKUP($BJ33,Parametri_RA!$B:$B,Parametri_RA!$D:$D,0),
         0),
      ""),
   "")</f>
        <v/>
      </c>
      <c r="BQ33" s="385" t="str">
        <f>IF(H33="X",
   IF(BG33="Applicabile",
      IF(BJ33&lt;&gt;"",
         _xlfn.XLOOKUP($BJ33,Parametri_RA!$B:$B,Parametri_RA!$D:$D,0),
         0),
      ""),
   "")</f>
        <v/>
      </c>
      <c r="BR33" s="385" t="str">
        <f t="shared" si="46"/>
        <v/>
      </c>
      <c r="BS33" s="385" t="str">
        <f t="shared" si="47"/>
        <v/>
      </c>
      <c r="BT33" s="385" t="str">
        <f t="shared" si="48"/>
        <v/>
      </c>
      <c r="BU33" s="385" t="str">
        <f t="shared" si="49"/>
        <v/>
      </c>
      <c r="BV33" s="385" t="str">
        <f t="shared" si="50"/>
        <v/>
      </c>
      <c r="BW33" s="385" t="str">
        <f t="shared" si="51"/>
        <v/>
      </c>
      <c r="BX33" s="385" t="str">
        <f t="shared" si="52"/>
        <v/>
      </c>
      <c r="BY33" s="385" t="str">
        <f t="shared" si="53"/>
        <v/>
      </c>
      <c r="BZ33" s="385" t="str">
        <f t="shared" si="54"/>
        <v/>
      </c>
      <c r="CA33" s="385" t="str">
        <f t="shared" si="55"/>
        <v/>
      </c>
      <c r="CB33" s="385" t="str">
        <f t="shared" si="56"/>
        <v/>
      </c>
      <c r="CC33" s="385" t="str">
        <f t="shared" si="57"/>
        <v/>
      </c>
      <c r="CD33" s="385" t="str">
        <f t="shared" si="58"/>
        <v/>
      </c>
      <c r="CE33" s="385" t="str">
        <f t="shared" si="59"/>
        <v/>
      </c>
      <c r="CF33" s="385" t="str">
        <f t="shared" si="60"/>
        <v/>
      </c>
      <c r="CG33" s="385" t="str">
        <f t="shared" si="61"/>
        <v/>
      </c>
      <c r="CH33" s="385" t="str">
        <f t="shared" si="62"/>
        <v/>
      </c>
      <c r="CI33" s="385" t="str">
        <f t="shared" si="63"/>
        <v/>
      </c>
      <c r="CJ33" s="385" t="str">
        <f t="shared" si="64"/>
        <v/>
      </c>
      <c r="CK33" s="385" t="str">
        <f t="shared" si="65"/>
        <v/>
      </c>
      <c r="CL33" s="385" t="str">
        <f t="shared" si="66"/>
        <v/>
      </c>
      <c r="CM33" s="385" t="str">
        <f t="shared" si="67"/>
        <v/>
      </c>
      <c r="CN33" s="385" t="str">
        <f t="shared" si="68"/>
        <v/>
      </c>
      <c r="CO33" s="385" t="str">
        <f t="shared" si="69"/>
        <v/>
      </c>
      <c r="CP33" s="385" t="str">
        <f t="shared" si="70"/>
        <v/>
      </c>
      <c r="CQ33" s="385" t="str">
        <f t="shared" si="71"/>
        <v/>
      </c>
      <c r="CR33" s="385" t="str">
        <f t="shared" si="72"/>
        <v/>
      </c>
      <c r="CS33" s="385" t="str">
        <f t="shared" si="73"/>
        <v/>
      </c>
      <c r="CT33" s="385" t="str">
        <f t="shared" si="74"/>
        <v/>
      </c>
      <c r="CU33" s="385" t="str">
        <f t="shared" si="75"/>
        <v/>
      </c>
      <c r="CV33" s="385" t="str">
        <f t="shared" si="76"/>
        <v/>
      </c>
      <c r="CW33" s="385" t="str">
        <f t="shared" si="77"/>
        <v/>
      </c>
      <c r="CX33" s="385" t="str">
        <f t="shared" si="78"/>
        <v/>
      </c>
      <c r="CY33" s="385" t="str">
        <f t="shared" si="79"/>
        <v/>
      </c>
      <c r="CZ33" s="385" t="str">
        <f t="shared" si="80"/>
        <v/>
      </c>
      <c r="DA33" s="385" t="str">
        <f t="shared" si="81"/>
        <v/>
      </c>
      <c r="DB33" s="385" t="str">
        <f t="shared" si="82"/>
        <v/>
      </c>
      <c r="DC33" s="385" t="str">
        <f t="shared" si="83"/>
        <v/>
      </c>
      <c r="DD33" s="385" t="str">
        <f t="shared" si="84"/>
        <v/>
      </c>
      <c r="DE33" s="385" t="str">
        <f t="shared" si="85"/>
        <v/>
      </c>
      <c r="DF33" s="385" t="str">
        <f t="shared" si="86"/>
        <v/>
      </c>
      <c r="DG33" s="385" t="str">
        <f t="shared" si="87"/>
        <v/>
      </c>
      <c r="DH33" s="385" t="str">
        <f t="shared" si="88"/>
        <v/>
      </c>
      <c r="DI33" s="385" t="str">
        <f t="shared" si="89"/>
        <v/>
      </c>
    </row>
    <row r="34" spans="1:113" ht="66" x14ac:dyDescent="0.35">
      <c r="A34" s="21"/>
      <c r="B34" s="396">
        <f>'Appoggio_BIA Servizio'!$B$5</f>
        <v>0</v>
      </c>
      <c r="C34" s="392" t="s">
        <v>829</v>
      </c>
      <c r="D34" s="392" t="s">
        <v>835</v>
      </c>
      <c r="E34" s="393" t="s">
        <v>836</v>
      </c>
      <c r="F34" s="240" t="s">
        <v>671</v>
      </c>
      <c r="G34" s="240" t="s">
        <v>655</v>
      </c>
      <c r="H34" s="240" t="s">
        <v>655</v>
      </c>
      <c r="I34" s="240">
        <v>0.4</v>
      </c>
      <c r="J34" s="240">
        <v>0.4</v>
      </c>
      <c r="K34" s="240">
        <v>0.7</v>
      </c>
      <c r="L34" s="394"/>
      <c r="M34" s="240">
        <v>0.4</v>
      </c>
      <c r="N34" s="240">
        <v>0.7</v>
      </c>
      <c r="O34" s="394"/>
      <c r="P34" s="394"/>
      <c r="Q34" s="240"/>
      <c r="R34" s="394"/>
      <c r="S34" s="240">
        <v>0.7</v>
      </c>
      <c r="T34" s="394"/>
      <c r="U34" s="394"/>
      <c r="V34" s="394"/>
      <c r="W34" s="394"/>
      <c r="X34" s="394"/>
      <c r="Y34" s="394"/>
      <c r="Z34" s="394"/>
      <c r="AA34" s="394"/>
      <c r="AB34" s="240"/>
      <c r="AC34" s="394"/>
      <c r="AD34" s="394"/>
      <c r="AE34" s="395"/>
      <c r="AF34" s="395"/>
      <c r="AG34" s="395"/>
      <c r="AH34" s="395"/>
      <c r="AI34" s="395"/>
      <c r="AJ34" s="395"/>
      <c r="AK34" s="395"/>
      <c r="AL34" s="395"/>
      <c r="AM34" s="395">
        <v>1</v>
      </c>
      <c r="AN34" s="395">
        <v>1</v>
      </c>
      <c r="AO34" s="395"/>
      <c r="AP34" s="395">
        <v>1</v>
      </c>
      <c r="AQ34" s="395"/>
      <c r="AR34" s="395">
        <v>1</v>
      </c>
      <c r="AS34" s="395"/>
      <c r="AT34" s="395"/>
      <c r="AU34" s="395"/>
      <c r="AV34" s="395"/>
      <c r="AW34" s="395"/>
      <c r="AX34" s="395"/>
      <c r="AY34" s="395"/>
      <c r="AZ34" s="395"/>
      <c r="BA34" s="395"/>
      <c r="BB34" s="395"/>
      <c r="BC34" s="395"/>
      <c r="BD34" s="395"/>
      <c r="BE34" s="395"/>
      <c r="BF34" s="225">
        <f t="shared" si="0"/>
        <v>0</v>
      </c>
      <c r="BG34" s="226" t="str">
        <f t="shared" si="1"/>
        <v>Non Applicabile</v>
      </c>
      <c r="BH34" s="226" t="s">
        <v>693</v>
      </c>
      <c r="BI34" s="226"/>
      <c r="BJ34" s="229"/>
      <c r="BK34" s="227"/>
      <c r="BL34" s="324" t="s">
        <v>837</v>
      </c>
      <c r="BM34" s="324" t="s">
        <v>838</v>
      </c>
      <c r="BN34" s="324" t="s">
        <v>839</v>
      </c>
      <c r="BO34" s="330"/>
      <c r="BP34" s="385" t="str">
        <f>IF(G34="X",
   IF(BG34="Applicabile",
      IF(BJ34&lt;&gt;"",
         _xlfn.XLOOKUP($BJ34,Parametri_RA!$B:$B,Parametri_RA!$D:$D,0),
         0),
      ""),
   "")</f>
        <v/>
      </c>
      <c r="BQ34" s="385" t="str">
        <f>IF(H34="X",
   IF(BG34="Applicabile",
      IF(BJ34&lt;&gt;"",
         _xlfn.XLOOKUP($BJ34,Parametri_RA!$B:$B,Parametri_RA!$D:$D,0),
         0),
      ""),
   "")</f>
        <v/>
      </c>
      <c r="BR34" s="385" t="str">
        <f t="shared" si="46"/>
        <v/>
      </c>
      <c r="BS34" s="385" t="str">
        <f t="shared" si="47"/>
        <v/>
      </c>
      <c r="BT34" s="385" t="str">
        <f t="shared" si="48"/>
        <v/>
      </c>
      <c r="BU34" s="385" t="str">
        <f t="shared" si="49"/>
        <v/>
      </c>
      <c r="BV34" s="385" t="str">
        <f t="shared" si="50"/>
        <v/>
      </c>
      <c r="BW34" s="385" t="str">
        <f t="shared" si="51"/>
        <v/>
      </c>
      <c r="BX34" s="385" t="str">
        <f t="shared" si="52"/>
        <v/>
      </c>
      <c r="BY34" s="385" t="str">
        <f t="shared" si="53"/>
        <v/>
      </c>
      <c r="BZ34" s="385" t="str">
        <f t="shared" si="54"/>
        <v/>
      </c>
      <c r="CA34" s="385" t="str">
        <f t="shared" si="55"/>
        <v/>
      </c>
      <c r="CB34" s="385" t="str">
        <f t="shared" si="56"/>
        <v/>
      </c>
      <c r="CC34" s="385" t="str">
        <f t="shared" si="57"/>
        <v/>
      </c>
      <c r="CD34" s="385" t="str">
        <f t="shared" si="58"/>
        <v/>
      </c>
      <c r="CE34" s="385" t="str">
        <f t="shared" si="59"/>
        <v/>
      </c>
      <c r="CF34" s="385" t="str">
        <f t="shared" si="60"/>
        <v/>
      </c>
      <c r="CG34" s="385" t="str">
        <f t="shared" si="61"/>
        <v/>
      </c>
      <c r="CH34" s="385" t="str">
        <f t="shared" si="62"/>
        <v/>
      </c>
      <c r="CI34" s="385" t="str">
        <f t="shared" si="63"/>
        <v/>
      </c>
      <c r="CJ34" s="385" t="str">
        <f t="shared" si="64"/>
        <v/>
      </c>
      <c r="CK34" s="385" t="str">
        <f t="shared" si="65"/>
        <v/>
      </c>
      <c r="CL34" s="385" t="str">
        <f t="shared" si="66"/>
        <v/>
      </c>
      <c r="CM34" s="385" t="str">
        <f t="shared" si="67"/>
        <v/>
      </c>
      <c r="CN34" s="385" t="str">
        <f t="shared" si="68"/>
        <v/>
      </c>
      <c r="CO34" s="385" t="str">
        <f t="shared" si="69"/>
        <v/>
      </c>
      <c r="CP34" s="385" t="str">
        <f t="shared" si="70"/>
        <v/>
      </c>
      <c r="CQ34" s="385" t="str">
        <f t="shared" si="71"/>
        <v/>
      </c>
      <c r="CR34" s="385" t="str">
        <f t="shared" si="72"/>
        <v/>
      </c>
      <c r="CS34" s="385" t="str">
        <f t="shared" si="73"/>
        <v/>
      </c>
      <c r="CT34" s="385" t="str">
        <f t="shared" si="74"/>
        <v/>
      </c>
      <c r="CU34" s="385" t="str">
        <f t="shared" si="75"/>
        <v/>
      </c>
      <c r="CV34" s="385" t="str">
        <f t="shared" si="76"/>
        <v/>
      </c>
      <c r="CW34" s="385" t="str">
        <f t="shared" si="77"/>
        <v/>
      </c>
      <c r="CX34" s="385" t="str">
        <f t="shared" si="78"/>
        <v/>
      </c>
      <c r="CY34" s="385" t="str">
        <f t="shared" si="79"/>
        <v/>
      </c>
      <c r="CZ34" s="385" t="str">
        <f t="shared" si="80"/>
        <v/>
      </c>
      <c r="DA34" s="385" t="str">
        <f t="shared" si="81"/>
        <v/>
      </c>
      <c r="DB34" s="385" t="str">
        <f t="shared" si="82"/>
        <v/>
      </c>
      <c r="DC34" s="385" t="str">
        <f t="shared" si="83"/>
        <v/>
      </c>
      <c r="DD34" s="385" t="str">
        <f t="shared" si="84"/>
        <v/>
      </c>
      <c r="DE34" s="385" t="str">
        <f t="shared" si="85"/>
        <v/>
      </c>
      <c r="DF34" s="385" t="str">
        <f t="shared" si="86"/>
        <v/>
      </c>
      <c r="DG34" s="385" t="str">
        <f t="shared" si="87"/>
        <v/>
      </c>
      <c r="DH34" s="385" t="str">
        <f t="shared" si="88"/>
        <v/>
      </c>
      <c r="DI34" s="385" t="str">
        <f t="shared" si="89"/>
        <v/>
      </c>
    </row>
    <row r="35" spans="1:113" ht="49.5" x14ac:dyDescent="0.35">
      <c r="A35" s="21"/>
      <c r="B35" s="396">
        <f>'Appoggio_BIA Servizio'!$B$5</f>
        <v>0</v>
      </c>
      <c r="C35" s="392" t="s">
        <v>829</v>
      </c>
      <c r="D35" s="392" t="s">
        <v>840</v>
      </c>
      <c r="E35" s="393" t="s">
        <v>841</v>
      </c>
      <c r="F35" s="240" t="s">
        <v>671</v>
      </c>
      <c r="G35" s="240" t="s">
        <v>655</v>
      </c>
      <c r="H35" s="240" t="s">
        <v>655</v>
      </c>
      <c r="I35" s="240">
        <v>0.4</v>
      </c>
      <c r="J35" s="240">
        <v>0.4</v>
      </c>
      <c r="K35" s="240">
        <v>0.7</v>
      </c>
      <c r="L35" s="394"/>
      <c r="M35" s="240">
        <v>0.4</v>
      </c>
      <c r="N35" s="240">
        <v>0.7</v>
      </c>
      <c r="O35" s="394"/>
      <c r="P35" s="394"/>
      <c r="Q35" s="240"/>
      <c r="R35" s="394"/>
      <c r="S35" s="240">
        <v>0.4</v>
      </c>
      <c r="T35" s="394"/>
      <c r="U35" s="394"/>
      <c r="V35" s="394"/>
      <c r="W35" s="394"/>
      <c r="X35" s="394"/>
      <c r="Y35" s="394"/>
      <c r="Z35" s="394"/>
      <c r="AA35" s="394"/>
      <c r="AB35" s="240"/>
      <c r="AC35" s="394"/>
      <c r="AD35" s="394"/>
      <c r="AE35" s="395"/>
      <c r="AF35" s="395"/>
      <c r="AG35" s="395"/>
      <c r="AH35" s="395"/>
      <c r="AI35" s="395"/>
      <c r="AJ35" s="395"/>
      <c r="AK35" s="395"/>
      <c r="AL35" s="395"/>
      <c r="AM35" s="395">
        <v>1</v>
      </c>
      <c r="AN35" s="395">
        <v>1</v>
      </c>
      <c r="AO35" s="395"/>
      <c r="AP35" s="395">
        <v>1</v>
      </c>
      <c r="AQ35" s="395"/>
      <c r="AR35" s="395">
        <v>1</v>
      </c>
      <c r="AS35" s="395"/>
      <c r="AT35" s="395"/>
      <c r="AU35" s="395"/>
      <c r="AV35" s="395"/>
      <c r="AW35" s="395"/>
      <c r="AX35" s="395"/>
      <c r="AY35" s="395"/>
      <c r="AZ35" s="395"/>
      <c r="BA35" s="395"/>
      <c r="BB35" s="395"/>
      <c r="BC35" s="395"/>
      <c r="BD35" s="395"/>
      <c r="BE35" s="395"/>
      <c r="BF35" s="225">
        <f t="shared" si="0"/>
        <v>0</v>
      </c>
      <c r="BG35" s="226" t="str">
        <f t="shared" si="1"/>
        <v>Non Applicabile</v>
      </c>
      <c r="BH35" s="226" t="s">
        <v>693</v>
      </c>
      <c r="BI35" s="226"/>
      <c r="BJ35" s="229"/>
      <c r="BK35" s="227"/>
      <c r="BL35" s="324" t="s">
        <v>842</v>
      </c>
      <c r="BM35" s="324" t="s">
        <v>843</v>
      </c>
      <c r="BN35" s="324" t="s">
        <v>844</v>
      </c>
      <c r="BO35" s="330"/>
      <c r="BP35" s="385" t="str">
        <f>IF(G35="X",
   IF(BG35="Applicabile",
      IF(BJ35&lt;&gt;"",
         _xlfn.XLOOKUP($BJ35,Parametri_RA!$B:$B,Parametri_RA!$D:$D,0),
         0),
      ""),
   "")</f>
        <v/>
      </c>
      <c r="BQ35" s="385" t="str">
        <f>IF(H35="X",
   IF(BG35="Applicabile",
      IF(BJ35&lt;&gt;"",
         _xlfn.XLOOKUP($BJ35,Parametri_RA!$B:$B,Parametri_RA!$D:$D,0),
         0),
      ""),
   "")</f>
        <v/>
      </c>
      <c r="BR35" s="385" t="str">
        <f t="shared" si="46"/>
        <v/>
      </c>
      <c r="BS35" s="385" t="str">
        <f t="shared" si="47"/>
        <v/>
      </c>
      <c r="BT35" s="385" t="str">
        <f t="shared" si="48"/>
        <v/>
      </c>
      <c r="BU35" s="385" t="str">
        <f t="shared" si="49"/>
        <v/>
      </c>
      <c r="BV35" s="385" t="str">
        <f t="shared" si="50"/>
        <v/>
      </c>
      <c r="BW35" s="385" t="str">
        <f t="shared" si="51"/>
        <v/>
      </c>
      <c r="BX35" s="385" t="str">
        <f t="shared" si="52"/>
        <v/>
      </c>
      <c r="BY35" s="385" t="str">
        <f t="shared" si="53"/>
        <v/>
      </c>
      <c r="BZ35" s="385" t="str">
        <f t="shared" si="54"/>
        <v/>
      </c>
      <c r="CA35" s="385" t="str">
        <f t="shared" si="55"/>
        <v/>
      </c>
      <c r="CB35" s="385" t="str">
        <f t="shared" si="56"/>
        <v/>
      </c>
      <c r="CC35" s="385" t="str">
        <f t="shared" si="57"/>
        <v/>
      </c>
      <c r="CD35" s="385" t="str">
        <f t="shared" si="58"/>
        <v/>
      </c>
      <c r="CE35" s="385" t="str">
        <f t="shared" si="59"/>
        <v/>
      </c>
      <c r="CF35" s="385" t="str">
        <f t="shared" si="60"/>
        <v/>
      </c>
      <c r="CG35" s="385" t="str">
        <f t="shared" si="61"/>
        <v/>
      </c>
      <c r="CH35" s="385" t="str">
        <f t="shared" si="62"/>
        <v/>
      </c>
      <c r="CI35" s="385" t="str">
        <f t="shared" si="63"/>
        <v/>
      </c>
      <c r="CJ35" s="385" t="str">
        <f t="shared" si="64"/>
        <v/>
      </c>
      <c r="CK35" s="385" t="str">
        <f t="shared" si="65"/>
        <v/>
      </c>
      <c r="CL35" s="385" t="str">
        <f t="shared" si="66"/>
        <v/>
      </c>
      <c r="CM35" s="385" t="str">
        <f t="shared" si="67"/>
        <v/>
      </c>
      <c r="CN35" s="385" t="str">
        <f t="shared" si="68"/>
        <v/>
      </c>
      <c r="CO35" s="385" t="str">
        <f t="shared" si="69"/>
        <v/>
      </c>
      <c r="CP35" s="385" t="str">
        <f t="shared" si="70"/>
        <v/>
      </c>
      <c r="CQ35" s="385" t="str">
        <f t="shared" si="71"/>
        <v/>
      </c>
      <c r="CR35" s="385" t="str">
        <f t="shared" si="72"/>
        <v/>
      </c>
      <c r="CS35" s="385" t="str">
        <f t="shared" si="73"/>
        <v/>
      </c>
      <c r="CT35" s="385" t="str">
        <f t="shared" si="74"/>
        <v/>
      </c>
      <c r="CU35" s="385" t="str">
        <f t="shared" si="75"/>
        <v/>
      </c>
      <c r="CV35" s="385" t="str">
        <f t="shared" si="76"/>
        <v/>
      </c>
      <c r="CW35" s="385" t="str">
        <f t="shared" si="77"/>
        <v/>
      </c>
      <c r="CX35" s="385" t="str">
        <f t="shared" si="78"/>
        <v/>
      </c>
      <c r="CY35" s="385" t="str">
        <f t="shared" si="79"/>
        <v/>
      </c>
      <c r="CZ35" s="385" t="str">
        <f t="shared" si="80"/>
        <v/>
      </c>
      <c r="DA35" s="385" t="str">
        <f t="shared" si="81"/>
        <v/>
      </c>
      <c r="DB35" s="385" t="str">
        <f t="shared" si="82"/>
        <v/>
      </c>
      <c r="DC35" s="385" t="str">
        <f t="shared" si="83"/>
        <v/>
      </c>
      <c r="DD35" s="385" t="str">
        <f t="shared" si="84"/>
        <v/>
      </c>
      <c r="DE35" s="385" t="str">
        <f t="shared" si="85"/>
        <v/>
      </c>
      <c r="DF35" s="385" t="str">
        <f t="shared" si="86"/>
        <v/>
      </c>
      <c r="DG35" s="385" t="str">
        <f t="shared" si="87"/>
        <v/>
      </c>
      <c r="DH35" s="385" t="str">
        <f t="shared" si="88"/>
        <v/>
      </c>
      <c r="DI35" s="385" t="str">
        <f t="shared" si="89"/>
        <v/>
      </c>
    </row>
    <row r="36" spans="1:113" ht="66" x14ac:dyDescent="0.35">
      <c r="A36" s="21"/>
      <c r="B36" s="396">
        <f>'Appoggio_BIA Servizio'!$B$5</f>
        <v>0</v>
      </c>
      <c r="C36" s="392" t="s">
        <v>829</v>
      </c>
      <c r="D36" s="392" t="s">
        <v>845</v>
      </c>
      <c r="E36" s="393" t="s">
        <v>846</v>
      </c>
      <c r="F36" s="240" t="s">
        <v>671</v>
      </c>
      <c r="G36" s="240" t="s">
        <v>655</v>
      </c>
      <c r="H36" s="240" t="s">
        <v>655</v>
      </c>
      <c r="I36" s="240">
        <v>0.4</v>
      </c>
      <c r="J36" s="240">
        <v>0.4</v>
      </c>
      <c r="K36" s="240">
        <v>0.7</v>
      </c>
      <c r="L36" s="394"/>
      <c r="M36" s="240">
        <v>0.7</v>
      </c>
      <c r="N36" s="240">
        <v>1</v>
      </c>
      <c r="O36" s="394"/>
      <c r="P36" s="394"/>
      <c r="Q36" s="240"/>
      <c r="R36" s="394"/>
      <c r="S36" s="394"/>
      <c r="T36" s="394">
        <v>0.4</v>
      </c>
      <c r="U36" s="394">
        <v>0.4</v>
      </c>
      <c r="V36" s="394"/>
      <c r="W36" s="394"/>
      <c r="X36" s="394"/>
      <c r="Y36" s="394"/>
      <c r="Z36" s="394"/>
      <c r="AA36" s="394"/>
      <c r="AB36" s="240"/>
      <c r="AC36" s="394"/>
      <c r="AD36" s="394"/>
      <c r="AE36" s="395"/>
      <c r="AF36" s="395"/>
      <c r="AG36" s="395"/>
      <c r="AH36" s="395"/>
      <c r="AI36" s="395"/>
      <c r="AJ36" s="395"/>
      <c r="AK36" s="395"/>
      <c r="AL36" s="395"/>
      <c r="AM36" s="395">
        <v>1</v>
      </c>
      <c r="AN36" s="395">
        <v>1</v>
      </c>
      <c r="AO36" s="395"/>
      <c r="AP36" s="395">
        <v>1</v>
      </c>
      <c r="AQ36" s="395"/>
      <c r="AR36" s="395">
        <v>1</v>
      </c>
      <c r="AS36" s="395"/>
      <c r="AT36" s="395"/>
      <c r="AU36" s="395"/>
      <c r="AV36" s="395"/>
      <c r="AW36" s="395"/>
      <c r="AX36" s="395"/>
      <c r="AY36" s="395"/>
      <c r="AZ36" s="395"/>
      <c r="BA36" s="395"/>
      <c r="BB36" s="395"/>
      <c r="BC36" s="395"/>
      <c r="BD36" s="395"/>
      <c r="BE36" s="395"/>
      <c r="BF36" s="225">
        <f t="shared" si="0"/>
        <v>0</v>
      </c>
      <c r="BG36" s="226" t="str">
        <f t="shared" si="1"/>
        <v>Non Applicabile</v>
      </c>
      <c r="BH36" s="226" t="s">
        <v>693</v>
      </c>
      <c r="BI36" s="226"/>
      <c r="BJ36" s="229"/>
      <c r="BK36" s="227"/>
      <c r="BL36" s="324" t="s">
        <v>847</v>
      </c>
      <c r="BM36" s="324" t="s">
        <v>848</v>
      </c>
      <c r="BN36" s="324" t="s">
        <v>849</v>
      </c>
      <c r="BO36" s="330"/>
      <c r="BP36" s="385" t="str">
        <f>IF(G36="X",
   IF(BG36="Applicabile",
      IF(BJ36&lt;&gt;"",
         _xlfn.XLOOKUP($BJ36,Parametri_RA!$B:$B,Parametri_RA!$D:$D,0),
         0),
      ""),
   "")</f>
        <v/>
      </c>
      <c r="BQ36" s="385" t="str">
        <f>IF(H36="X",
   IF(BG36="Applicabile",
      IF(BJ36&lt;&gt;"",
         _xlfn.XLOOKUP($BJ36,Parametri_RA!$B:$B,Parametri_RA!$D:$D,0),
         0),
      ""),
   "")</f>
        <v/>
      </c>
      <c r="BR36" s="385" t="str">
        <f t="shared" si="46"/>
        <v/>
      </c>
      <c r="BS36" s="385" t="str">
        <f t="shared" si="47"/>
        <v/>
      </c>
      <c r="BT36" s="385" t="str">
        <f t="shared" si="48"/>
        <v/>
      </c>
      <c r="BU36" s="385" t="str">
        <f t="shared" si="49"/>
        <v/>
      </c>
      <c r="BV36" s="385" t="str">
        <f t="shared" si="50"/>
        <v/>
      </c>
      <c r="BW36" s="385" t="str">
        <f t="shared" si="51"/>
        <v/>
      </c>
      <c r="BX36" s="385" t="str">
        <f t="shared" si="52"/>
        <v/>
      </c>
      <c r="BY36" s="385" t="str">
        <f t="shared" si="53"/>
        <v/>
      </c>
      <c r="BZ36" s="385" t="str">
        <f t="shared" si="54"/>
        <v/>
      </c>
      <c r="CA36" s="385" t="str">
        <f t="shared" si="55"/>
        <v/>
      </c>
      <c r="CB36" s="385" t="str">
        <f t="shared" si="56"/>
        <v/>
      </c>
      <c r="CC36" s="385" t="str">
        <f t="shared" si="57"/>
        <v/>
      </c>
      <c r="CD36" s="385" t="str">
        <f t="shared" si="58"/>
        <v/>
      </c>
      <c r="CE36" s="385" t="str">
        <f t="shared" si="59"/>
        <v/>
      </c>
      <c r="CF36" s="385" t="str">
        <f t="shared" si="60"/>
        <v/>
      </c>
      <c r="CG36" s="385" t="str">
        <f t="shared" si="61"/>
        <v/>
      </c>
      <c r="CH36" s="385" t="str">
        <f t="shared" si="62"/>
        <v/>
      </c>
      <c r="CI36" s="385" t="str">
        <f t="shared" si="63"/>
        <v/>
      </c>
      <c r="CJ36" s="385" t="str">
        <f t="shared" si="64"/>
        <v/>
      </c>
      <c r="CK36" s="385" t="str">
        <f t="shared" si="65"/>
        <v/>
      </c>
      <c r="CL36" s="385" t="str">
        <f t="shared" si="66"/>
        <v/>
      </c>
      <c r="CM36" s="385" t="str">
        <f t="shared" si="67"/>
        <v/>
      </c>
      <c r="CN36" s="385" t="str">
        <f t="shared" si="68"/>
        <v/>
      </c>
      <c r="CO36" s="385" t="str">
        <f t="shared" si="69"/>
        <v/>
      </c>
      <c r="CP36" s="385" t="str">
        <f t="shared" si="70"/>
        <v/>
      </c>
      <c r="CQ36" s="385" t="str">
        <f t="shared" si="71"/>
        <v/>
      </c>
      <c r="CR36" s="385" t="str">
        <f t="shared" si="72"/>
        <v/>
      </c>
      <c r="CS36" s="385" t="str">
        <f t="shared" si="73"/>
        <v/>
      </c>
      <c r="CT36" s="385" t="str">
        <f t="shared" si="74"/>
        <v/>
      </c>
      <c r="CU36" s="385" t="str">
        <f t="shared" si="75"/>
        <v/>
      </c>
      <c r="CV36" s="385" t="str">
        <f t="shared" si="76"/>
        <v/>
      </c>
      <c r="CW36" s="385" t="str">
        <f t="shared" si="77"/>
        <v/>
      </c>
      <c r="CX36" s="385" t="str">
        <f t="shared" si="78"/>
        <v/>
      </c>
      <c r="CY36" s="385" t="str">
        <f t="shared" si="79"/>
        <v/>
      </c>
      <c r="CZ36" s="385" t="str">
        <f t="shared" si="80"/>
        <v/>
      </c>
      <c r="DA36" s="385" t="str">
        <f t="shared" si="81"/>
        <v/>
      </c>
      <c r="DB36" s="385" t="str">
        <f t="shared" si="82"/>
        <v/>
      </c>
      <c r="DC36" s="385" t="str">
        <f t="shared" si="83"/>
        <v/>
      </c>
      <c r="DD36" s="385" t="str">
        <f t="shared" si="84"/>
        <v/>
      </c>
      <c r="DE36" s="385" t="str">
        <f t="shared" si="85"/>
        <v/>
      </c>
      <c r="DF36" s="385" t="str">
        <f t="shared" si="86"/>
        <v/>
      </c>
      <c r="DG36" s="385" t="str">
        <f t="shared" si="87"/>
        <v/>
      </c>
      <c r="DH36" s="385" t="str">
        <f t="shared" si="88"/>
        <v/>
      </c>
      <c r="DI36" s="385" t="str">
        <f t="shared" si="89"/>
        <v/>
      </c>
    </row>
    <row r="37" spans="1:113" ht="49.5" x14ac:dyDescent="0.35">
      <c r="A37" s="21"/>
      <c r="B37" s="396">
        <f>'Appoggio_BIA Servizio'!$B$5</f>
        <v>0</v>
      </c>
      <c r="C37" s="392" t="s">
        <v>850</v>
      </c>
      <c r="D37" s="392" t="s">
        <v>851</v>
      </c>
      <c r="E37" s="393" t="s">
        <v>852</v>
      </c>
      <c r="F37" s="240" t="s">
        <v>671</v>
      </c>
      <c r="G37" s="240" t="s">
        <v>655</v>
      </c>
      <c r="H37" s="240" t="s">
        <v>655</v>
      </c>
      <c r="I37" s="240">
        <v>0.7</v>
      </c>
      <c r="J37" s="240">
        <v>0.7</v>
      </c>
      <c r="K37" s="240">
        <v>0.7</v>
      </c>
      <c r="L37" s="394"/>
      <c r="M37" s="240">
        <v>0.4</v>
      </c>
      <c r="N37" s="240">
        <v>0.7</v>
      </c>
      <c r="O37" s="394"/>
      <c r="P37" s="394"/>
      <c r="Q37" s="240">
        <v>0.7</v>
      </c>
      <c r="R37" s="394"/>
      <c r="S37" s="394"/>
      <c r="T37" s="394"/>
      <c r="U37" s="394"/>
      <c r="V37" s="394">
        <v>0.7</v>
      </c>
      <c r="W37" s="394"/>
      <c r="X37" s="394"/>
      <c r="Y37" s="394"/>
      <c r="Z37" s="394"/>
      <c r="AA37" s="394"/>
      <c r="AB37" s="240"/>
      <c r="AC37" s="394"/>
      <c r="AD37" s="394"/>
      <c r="AE37" s="395"/>
      <c r="AF37" s="395"/>
      <c r="AG37" s="395"/>
      <c r="AH37" s="395"/>
      <c r="AI37" s="395"/>
      <c r="AJ37" s="395"/>
      <c r="AK37" s="395"/>
      <c r="AL37" s="395"/>
      <c r="AM37" s="395"/>
      <c r="AN37" s="395">
        <v>1</v>
      </c>
      <c r="AO37" s="395"/>
      <c r="AP37" s="395"/>
      <c r="AQ37" s="395"/>
      <c r="AR37" s="395"/>
      <c r="AS37" s="395"/>
      <c r="AT37" s="395"/>
      <c r="AU37" s="395"/>
      <c r="AV37" s="395"/>
      <c r="AW37" s="395">
        <v>1</v>
      </c>
      <c r="AX37" s="395"/>
      <c r="AY37" s="395"/>
      <c r="AZ37" s="395"/>
      <c r="BA37" s="395"/>
      <c r="BB37" s="395"/>
      <c r="BC37" s="395"/>
      <c r="BD37" s="395"/>
      <c r="BE37" s="395"/>
      <c r="BF37" s="225">
        <f t="shared" si="0"/>
        <v>0</v>
      </c>
      <c r="BG37" s="226" t="str">
        <f t="shared" si="1"/>
        <v>Non Applicabile</v>
      </c>
      <c r="BH37" s="226" t="s">
        <v>693</v>
      </c>
      <c r="BI37" s="226"/>
      <c r="BJ37" s="229"/>
      <c r="BK37" s="227"/>
      <c r="BL37" s="324" t="s">
        <v>853</v>
      </c>
      <c r="BM37" s="324" t="s">
        <v>854</v>
      </c>
      <c r="BN37" s="324" t="s">
        <v>855</v>
      </c>
      <c r="BO37" s="330"/>
      <c r="BP37" s="385" t="str">
        <f>IF(G37="X",
   IF(BG37="Applicabile",
      IF(BJ37&lt;&gt;"",
         _xlfn.XLOOKUP($BJ37,Parametri_RA!$B:$B,Parametri_RA!$D:$D,0),
         0),
      ""),
   "")</f>
        <v/>
      </c>
      <c r="BQ37" s="385" t="str">
        <f>IF(H37="X",
   IF(BG37="Applicabile",
      IF(BJ37&lt;&gt;"",
         _xlfn.XLOOKUP($BJ37,Parametri_RA!$B:$B,Parametri_RA!$D:$D,0),
         0),
      ""),
   "")</f>
        <v/>
      </c>
      <c r="BR37" s="385" t="str">
        <f t="shared" si="46"/>
        <v/>
      </c>
      <c r="BS37" s="385" t="str">
        <f t="shared" si="47"/>
        <v/>
      </c>
      <c r="BT37" s="385" t="str">
        <f t="shared" si="48"/>
        <v/>
      </c>
      <c r="BU37" s="385" t="str">
        <f t="shared" si="49"/>
        <v/>
      </c>
      <c r="BV37" s="385" t="str">
        <f t="shared" si="50"/>
        <v/>
      </c>
      <c r="BW37" s="385" t="str">
        <f t="shared" si="51"/>
        <v/>
      </c>
      <c r="BX37" s="385" t="str">
        <f t="shared" si="52"/>
        <v/>
      </c>
      <c r="BY37" s="385" t="str">
        <f t="shared" si="53"/>
        <v/>
      </c>
      <c r="BZ37" s="385" t="str">
        <f t="shared" si="54"/>
        <v/>
      </c>
      <c r="CA37" s="385" t="str">
        <f t="shared" si="55"/>
        <v/>
      </c>
      <c r="CB37" s="385" t="str">
        <f t="shared" si="56"/>
        <v/>
      </c>
      <c r="CC37" s="385" t="str">
        <f t="shared" si="57"/>
        <v/>
      </c>
      <c r="CD37" s="385" t="str">
        <f t="shared" si="58"/>
        <v/>
      </c>
      <c r="CE37" s="385" t="str">
        <f t="shared" si="59"/>
        <v/>
      </c>
      <c r="CF37" s="385" t="str">
        <f t="shared" si="60"/>
        <v/>
      </c>
      <c r="CG37" s="385" t="str">
        <f t="shared" si="61"/>
        <v/>
      </c>
      <c r="CH37" s="385" t="str">
        <f t="shared" si="62"/>
        <v/>
      </c>
      <c r="CI37" s="385" t="str">
        <f t="shared" si="63"/>
        <v/>
      </c>
      <c r="CJ37" s="385" t="str">
        <f t="shared" si="64"/>
        <v/>
      </c>
      <c r="CK37" s="385" t="str">
        <f t="shared" si="65"/>
        <v/>
      </c>
      <c r="CL37" s="385" t="str">
        <f t="shared" si="66"/>
        <v/>
      </c>
      <c r="CM37" s="385" t="str">
        <f t="shared" si="67"/>
        <v/>
      </c>
      <c r="CN37" s="385" t="str">
        <f t="shared" si="68"/>
        <v/>
      </c>
      <c r="CO37" s="385" t="str">
        <f t="shared" si="69"/>
        <v/>
      </c>
      <c r="CP37" s="385" t="str">
        <f t="shared" si="70"/>
        <v/>
      </c>
      <c r="CQ37" s="385" t="str">
        <f t="shared" si="71"/>
        <v/>
      </c>
      <c r="CR37" s="385" t="str">
        <f t="shared" si="72"/>
        <v/>
      </c>
      <c r="CS37" s="385" t="str">
        <f t="shared" si="73"/>
        <v/>
      </c>
      <c r="CT37" s="385" t="str">
        <f t="shared" si="74"/>
        <v/>
      </c>
      <c r="CU37" s="385" t="str">
        <f t="shared" si="75"/>
        <v/>
      </c>
      <c r="CV37" s="385" t="str">
        <f t="shared" si="76"/>
        <v/>
      </c>
      <c r="CW37" s="385" t="str">
        <f t="shared" si="77"/>
        <v/>
      </c>
      <c r="CX37" s="385" t="str">
        <f t="shared" si="78"/>
        <v/>
      </c>
      <c r="CY37" s="385" t="str">
        <f t="shared" si="79"/>
        <v/>
      </c>
      <c r="CZ37" s="385" t="str">
        <f t="shared" si="80"/>
        <v/>
      </c>
      <c r="DA37" s="385" t="str">
        <f t="shared" si="81"/>
        <v/>
      </c>
      <c r="DB37" s="385" t="str">
        <f t="shared" si="82"/>
        <v/>
      </c>
      <c r="DC37" s="385" t="str">
        <f t="shared" si="83"/>
        <v/>
      </c>
      <c r="DD37" s="385" t="str">
        <f t="shared" si="84"/>
        <v/>
      </c>
      <c r="DE37" s="385" t="str">
        <f t="shared" si="85"/>
        <v/>
      </c>
      <c r="DF37" s="385" t="str">
        <f t="shared" si="86"/>
        <v/>
      </c>
      <c r="DG37" s="385" t="str">
        <f t="shared" si="87"/>
        <v/>
      </c>
      <c r="DH37" s="385" t="str">
        <f t="shared" si="88"/>
        <v/>
      </c>
      <c r="DI37" s="385" t="str">
        <f t="shared" si="89"/>
        <v/>
      </c>
    </row>
    <row r="38" spans="1:113" ht="51" x14ac:dyDescent="0.35">
      <c r="A38" s="21"/>
      <c r="B38" s="396">
        <f>'Appoggio_BIA Servizio'!$B$5</f>
        <v>0</v>
      </c>
      <c r="C38" s="392" t="s">
        <v>850</v>
      </c>
      <c r="D38" s="392" t="s">
        <v>856</v>
      </c>
      <c r="E38" s="393" t="s">
        <v>857</v>
      </c>
      <c r="F38" s="240" t="s">
        <v>671</v>
      </c>
      <c r="G38" s="240" t="s">
        <v>655</v>
      </c>
      <c r="H38" s="240" t="s">
        <v>655</v>
      </c>
      <c r="I38" s="240">
        <v>1</v>
      </c>
      <c r="J38" s="240">
        <v>1</v>
      </c>
      <c r="K38" s="240">
        <v>0.7</v>
      </c>
      <c r="L38" s="394"/>
      <c r="M38" s="240">
        <v>0.4</v>
      </c>
      <c r="N38" s="240">
        <v>0.7</v>
      </c>
      <c r="O38" s="394"/>
      <c r="P38" s="394">
        <v>0.7</v>
      </c>
      <c r="Q38" s="240">
        <v>1</v>
      </c>
      <c r="R38" s="394"/>
      <c r="S38" s="394">
        <v>0.7</v>
      </c>
      <c r="T38" s="394"/>
      <c r="U38" s="394">
        <v>0.7</v>
      </c>
      <c r="V38" s="394">
        <v>0.7</v>
      </c>
      <c r="W38" s="394"/>
      <c r="X38" s="394"/>
      <c r="Y38" s="394"/>
      <c r="Z38" s="394"/>
      <c r="AA38" s="394"/>
      <c r="AB38" s="240"/>
      <c r="AC38" s="394"/>
      <c r="AD38" s="394"/>
      <c r="AE38" s="395"/>
      <c r="AF38" s="395"/>
      <c r="AG38" s="395"/>
      <c r="AH38" s="395"/>
      <c r="AI38" s="395"/>
      <c r="AJ38" s="395"/>
      <c r="AK38" s="395"/>
      <c r="AL38" s="395"/>
      <c r="AM38" s="395"/>
      <c r="AN38" s="395"/>
      <c r="AO38" s="395"/>
      <c r="AP38" s="395"/>
      <c r="AQ38" s="395"/>
      <c r="AR38" s="395"/>
      <c r="AS38" s="395"/>
      <c r="AT38" s="395"/>
      <c r="AU38" s="395"/>
      <c r="AV38" s="395"/>
      <c r="AW38" s="395">
        <v>1</v>
      </c>
      <c r="AX38" s="395"/>
      <c r="AY38" s="395"/>
      <c r="AZ38" s="395"/>
      <c r="BA38" s="395"/>
      <c r="BB38" s="395"/>
      <c r="BC38" s="395"/>
      <c r="BD38" s="395"/>
      <c r="BE38" s="395"/>
      <c r="BF38" s="225">
        <f t="shared" ref="BF38:BF69" si="90">SUM(IF(AE$3="Sì",AE38,0),IF(AF$3="Sì",AF38,0),IF(AG$3="Sì",AG38,0),IF(AH$3="Sì",AH38,0),IF(AI$3="Sì",AI38,0),IF(AJ$3="Sì",AJ38,0),IF(AK$3="Sì",AK38,0),IF(AL$3="Sì",AL38,0),IF(AM$3="Sì",AM38,0),IF(AN$3="Sì",AN38,0),IF(AO$3="Sì",AO38,0),IF(AP$3="Sì",AP38,0),IF(AQ$3="Sì",AQ38,0),IF(AR$3="Sì",AR38,0),IF(AS$3="Sì",AS38,0),IF(AT$3="Sì",AT38,0),IF(AU$3="Sì",AU38,0),IF(AV$3="Sì",AV38,0),IF(AW$3="Sì",AW38,0),IF(AX$3="Sì",AX38,0),IF(AY$3="Sì",AY38,0),IF(AZ$3="Sì",AZ38,0),IF(BA$3="Sì",BA38,0),IF(BB$3="Sì",BB38,0),IF(BC$3="Sì",BC38,0),IF(BD$3="Sì",BD38,0),IF(BE$3="Sì",BE38,0))</f>
        <v>0</v>
      </c>
      <c r="BG38" s="226" t="str">
        <f t="shared" ref="BG38:BG69" si="91">IF(BF38&gt;=1,"Applicabile","Non Applicabile")</f>
        <v>Non Applicabile</v>
      </c>
      <c r="BH38" s="226" t="s">
        <v>693</v>
      </c>
      <c r="BI38" s="226"/>
      <c r="BJ38" s="229"/>
      <c r="BK38" s="227"/>
      <c r="BL38" s="324" t="s">
        <v>858</v>
      </c>
      <c r="BM38" s="324" t="s">
        <v>859</v>
      </c>
      <c r="BN38" s="324" t="s">
        <v>860</v>
      </c>
      <c r="BO38" s="330"/>
      <c r="BP38" s="385" t="str">
        <f>IF(G38="X",
   IF(BG38="Applicabile",
      IF(BJ38&lt;&gt;"",
         _xlfn.XLOOKUP($BJ38,Parametri_RA!$B:$B,Parametri_RA!$D:$D,0),
         0),
      ""),
   "")</f>
        <v/>
      </c>
      <c r="BQ38" s="385" t="str">
        <f>IF(H38="X",
   IF(BG38="Applicabile",
      IF(BJ38&lt;&gt;"",
         _xlfn.XLOOKUP($BJ38,Parametri_RA!$B:$B,Parametri_RA!$D:$D,0),
         0),
      ""),
   "")</f>
        <v/>
      </c>
      <c r="BR38" s="385" t="str">
        <f t="shared" si="46"/>
        <v/>
      </c>
      <c r="BS38" s="385" t="str">
        <f t="shared" si="47"/>
        <v/>
      </c>
      <c r="BT38" s="385" t="str">
        <f t="shared" si="48"/>
        <v/>
      </c>
      <c r="BU38" s="385" t="str">
        <f t="shared" si="49"/>
        <v/>
      </c>
      <c r="BV38" s="385" t="str">
        <f t="shared" si="50"/>
        <v/>
      </c>
      <c r="BW38" s="385" t="str">
        <f t="shared" si="51"/>
        <v/>
      </c>
      <c r="BX38" s="385" t="str">
        <f t="shared" si="52"/>
        <v/>
      </c>
      <c r="BY38" s="385" t="str">
        <f t="shared" si="53"/>
        <v/>
      </c>
      <c r="BZ38" s="385" t="str">
        <f t="shared" si="54"/>
        <v/>
      </c>
      <c r="CA38" s="385" t="str">
        <f t="shared" si="55"/>
        <v/>
      </c>
      <c r="CB38" s="385" t="str">
        <f t="shared" si="56"/>
        <v/>
      </c>
      <c r="CC38" s="385" t="str">
        <f t="shared" si="57"/>
        <v/>
      </c>
      <c r="CD38" s="385" t="str">
        <f t="shared" si="58"/>
        <v/>
      </c>
      <c r="CE38" s="385" t="str">
        <f t="shared" si="59"/>
        <v/>
      </c>
      <c r="CF38" s="385" t="str">
        <f t="shared" si="60"/>
        <v/>
      </c>
      <c r="CG38" s="385" t="str">
        <f t="shared" si="61"/>
        <v/>
      </c>
      <c r="CH38" s="385" t="str">
        <f t="shared" si="62"/>
        <v/>
      </c>
      <c r="CI38" s="385" t="str">
        <f t="shared" si="63"/>
        <v/>
      </c>
      <c r="CJ38" s="385" t="str">
        <f t="shared" si="64"/>
        <v/>
      </c>
      <c r="CK38" s="385" t="str">
        <f t="shared" si="65"/>
        <v/>
      </c>
      <c r="CL38" s="385" t="str">
        <f t="shared" si="66"/>
        <v/>
      </c>
      <c r="CM38" s="385" t="str">
        <f t="shared" si="67"/>
        <v/>
      </c>
      <c r="CN38" s="385" t="str">
        <f t="shared" si="68"/>
        <v/>
      </c>
      <c r="CO38" s="385" t="str">
        <f t="shared" si="69"/>
        <v/>
      </c>
      <c r="CP38" s="385" t="str">
        <f t="shared" si="70"/>
        <v/>
      </c>
      <c r="CQ38" s="385" t="str">
        <f t="shared" si="71"/>
        <v/>
      </c>
      <c r="CR38" s="385" t="str">
        <f t="shared" si="72"/>
        <v/>
      </c>
      <c r="CS38" s="385" t="str">
        <f t="shared" si="73"/>
        <v/>
      </c>
      <c r="CT38" s="385" t="str">
        <f t="shared" si="74"/>
        <v/>
      </c>
      <c r="CU38" s="385" t="str">
        <f t="shared" si="75"/>
        <v/>
      </c>
      <c r="CV38" s="385" t="str">
        <f t="shared" si="76"/>
        <v/>
      </c>
      <c r="CW38" s="385" t="str">
        <f t="shared" si="77"/>
        <v/>
      </c>
      <c r="CX38" s="385" t="str">
        <f t="shared" si="78"/>
        <v/>
      </c>
      <c r="CY38" s="385" t="str">
        <f t="shared" si="79"/>
        <v/>
      </c>
      <c r="CZ38" s="385" t="str">
        <f t="shared" si="80"/>
        <v/>
      </c>
      <c r="DA38" s="385" t="str">
        <f t="shared" si="81"/>
        <v/>
      </c>
      <c r="DB38" s="385" t="str">
        <f t="shared" si="82"/>
        <v/>
      </c>
      <c r="DC38" s="385" t="str">
        <f t="shared" si="83"/>
        <v/>
      </c>
      <c r="DD38" s="385" t="str">
        <f t="shared" si="84"/>
        <v/>
      </c>
      <c r="DE38" s="385" t="str">
        <f t="shared" si="85"/>
        <v/>
      </c>
      <c r="DF38" s="385" t="str">
        <f t="shared" si="86"/>
        <v/>
      </c>
      <c r="DG38" s="385" t="str">
        <f t="shared" si="87"/>
        <v/>
      </c>
      <c r="DH38" s="385" t="str">
        <f t="shared" si="88"/>
        <v/>
      </c>
      <c r="DI38" s="385" t="str">
        <f t="shared" si="89"/>
        <v/>
      </c>
    </row>
    <row r="39" spans="1:113" ht="85" x14ac:dyDescent="0.35">
      <c r="A39" s="21"/>
      <c r="B39" s="396">
        <f>'Appoggio_BIA Servizio'!$B$5</f>
        <v>0</v>
      </c>
      <c r="C39" s="392" t="s">
        <v>850</v>
      </c>
      <c r="D39" s="392" t="s">
        <v>861</v>
      </c>
      <c r="E39" s="393" t="s">
        <v>862</v>
      </c>
      <c r="F39" s="240" t="s">
        <v>671</v>
      </c>
      <c r="G39" s="240" t="s">
        <v>655</v>
      </c>
      <c r="H39" s="240" t="s">
        <v>655</v>
      </c>
      <c r="I39" s="240">
        <v>0.7</v>
      </c>
      <c r="J39" s="240">
        <v>0.7</v>
      </c>
      <c r="K39" s="240">
        <v>0.7</v>
      </c>
      <c r="L39" s="394"/>
      <c r="M39" s="240"/>
      <c r="N39" s="240">
        <v>0.7</v>
      </c>
      <c r="O39" s="394"/>
      <c r="P39" s="394"/>
      <c r="Q39" s="240"/>
      <c r="R39" s="394"/>
      <c r="S39" s="394"/>
      <c r="T39" s="394">
        <v>0.7</v>
      </c>
      <c r="U39" s="394">
        <v>0.7</v>
      </c>
      <c r="V39" s="394">
        <v>0.7</v>
      </c>
      <c r="W39" s="394"/>
      <c r="X39" s="394"/>
      <c r="Y39" s="394"/>
      <c r="Z39" s="394"/>
      <c r="AA39" s="394"/>
      <c r="AB39" s="240"/>
      <c r="AC39" s="394"/>
      <c r="AD39" s="394"/>
      <c r="AE39" s="395"/>
      <c r="AF39" s="395"/>
      <c r="AG39" s="395"/>
      <c r="AH39" s="395"/>
      <c r="AI39" s="395"/>
      <c r="AJ39" s="395"/>
      <c r="AK39" s="395"/>
      <c r="AL39" s="395"/>
      <c r="AM39" s="395">
        <v>1</v>
      </c>
      <c r="AN39" s="395"/>
      <c r="AO39" s="395"/>
      <c r="AP39" s="395"/>
      <c r="AQ39" s="395"/>
      <c r="AR39" s="395"/>
      <c r="AS39" s="395"/>
      <c r="AT39" s="395"/>
      <c r="AU39" s="395"/>
      <c r="AV39" s="395"/>
      <c r="AW39" s="395">
        <v>1</v>
      </c>
      <c r="AX39" s="395"/>
      <c r="AY39" s="395"/>
      <c r="AZ39" s="395"/>
      <c r="BA39" s="395"/>
      <c r="BB39" s="395"/>
      <c r="BC39" s="395"/>
      <c r="BD39" s="395"/>
      <c r="BE39" s="395"/>
      <c r="BF39" s="225">
        <f t="shared" si="90"/>
        <v>0</v>
      </c>
      <c r="BG39" s="226" t="str">
        <f t="shared" si="91"/>
        <v>Non Applicabile</v>
      </c>
      <c r="BH39" s="226" t="s">
        <v>863</v>
      </c>
      <c r="BI39" s="226"/>
      <c r="BJ39" s="229"/>
      <c r="BK39" s="227"/>
      <c r="BL39" s="324" t="s">
        <v>680</v>
      </c>
      <c r="BM39" s="324" t="s">
        <v>864</v>
      </c>
      <c r="BN39" s="324" t="s">
        <v>865</v>
      </c>
      <c r="BO39" s="330"/>
      <c r="BP39" s="385" t="str">
        <f>IF(G39="X",
   IF(BG39="Applicabile",
      IF(BJ39&lt;&gt;"",
         _xlfn.XLOOKUP($BJ39,Parametri_RA!$B:$B,Parametri_RA!$D:$D,0),
         0),
      ""),
   "")</f>
        <v/>
      </c>
      <c r="BQ39" s="385" t="str">
        <f>IF(H39="X",
   IF(BG39="Applicabile",
      IF(BJ39&lt;&gt;"",
         _xlfn.XLOOKUP($BJ39,Parametri_RA!$B:$B,Parametri_RA!$D:$D,0),
         0),
      ""),
   "")</f>
        <v/>
      </c>
      <c r="BR39" s="385" t="str">
        <f t="shared" si="46"/>
        <v/>
      </c>
      <c r="BS39" s="385" t="str">
        <f t="shared" si="47"/>
        <v/>
      </c>
      <c r="BT39" s="385" t="str">
        <f t="shared" si="48"/>
        <v/>
      </c>
      <c r="BU39" s="385" t="str">
        <f t="shared" si="49"/>
        <v/>
      </c>
      <c r="BV39" s="385" t="str">
        <f t="shared" si="50"/>
        <v/>
      </c>
      <c r="BW39" s="385" t="str">
        <f t="shared" si="51"/>
        <v/>
      </c>
      <c r="BX39" s="385" t="str">
        <f t="shared" si="52"/>
        <v/>
      </c>
      <c r="BY39" s="385" t="str">
        <f t="shared" si="53"/>
        <v/>
      </c>
      <c r="BZ39" s="385" t="str">
        <f t="shared" si="54"/>
        <v/>
      </c>
      <c r="CA39" s="385" t="str">
        <f t="shared" si="55"/>
        <v/>
      </c>
      <c r="CB39" s="385" t="str">
        <f t="shared" si="56"/>
        <v/>
      </c>
      <c r="CC39" s="385" t="str">
        <f t="shared" si="57"/>
        <v/>
      </c>
      <c r="CD39" s="385" t="str">
        <f t="shared" si="58"/>
        <v/>
      </c>
      <c r="CE39" s="385" t="str">
        <f t="shared" si="59"/>
        <v/>
      </c>
      <c r="CF39" s="385" t="str">
        <f t="shared" si="60"/>
        <v/>
      </c>
      <c r="CG39" s="385" t="str">
        <f t="shared" si="61"/>
        <v/>
      </c>
      <c r="CH39" s="385" t="str">
        <f t="shared" si="62"/>
        <v/>
      </c>
      <c r="CI39" s="385" t="str">
        <f t="shared" si="63"/>
        <v/>
      </c>
      <c r="CJ39" s="385" t="str">
        <f t="shared" si="64"/>
        <v/>
      </c>
      <c r="CK39" s="385" t="str">
        <f t="shared" si="65"/>
        <v/>
      </c>
      <c r="CL39" s="385" t="str">
        <f t="shared" si="66"/>
        <v/>
      </c>
      <c r="CM39" s="385" t="str">
        <f t="shared" si="67"/>
        <v/>
      </c>
      <c r="CN39" s="385" t="str">
        <f t="shared" si="68"/>
        <v/>
      </c>
      <c r="CO39" s="385" t="str">
        <f t="shared" si="69"/>
        <v/>
      </c>
      <c r="CP39" s="385" t="str">
        <f t="shared" si="70"/>
        <v/>
      </c>
      <c r="CQ39" s="385" t="str">
        <f t="shared" si="71"/>
        <v/>
      </c>
      <c r="CR39" s="385" t="str">
        <f t="shared" si="72"/>
        <v/>
      </c>
      <c r="CS39" s="385" t="str">
        <f t="shared" si="73"/>
        <v/>
      </c>
      <c r="CT39" s="385" t="str">
        <f t="shared" si="74"/>
        <v/>
      </c>
      <c r="CU39" s="385" t="str">
        <f t="shared" si="75"/>
        <v/>
      </c>
      <c r="CV39" s="385" t="str">
        <f t="shared" si="76"/>
        <v/>
      </c>
      <c r="CW39" s="385" t="str">
        <f t="shared" si="77"/>
        <v/>
      </c>
      <c r="CX39" s="385" t="str">
        <f t="shared" si="78"/>
        <v/>
      </c>
      <c r="CY39" s="385" t="str">
        <f t="shared" si="79"/>
        <v/>
      </c>
      <c r="CZ39" s="385" t="str">
        <f t="shared" si="80"/>
        <v/>
      </c>
      <c r="DA39" s="385" t="str">
        <f t="shared" si="81"/>
        <v/>
      </c>
      <c r="DB39" s="385" t="str">
        <f t="shared" si="82"/>
        <v/>
      </c>
      <c r="DC39" s="385" t="str">
        <f t="shared" si="83"/>
        <v/>
      </c>
      <c r="DD39" s="385" t="str">
        <f t="shared" si="84"/>
        <v/>
      </c>
      <c r="DE39" s="385" t="str">
        <f t="shared" si="85"/>
        <v/>
      </c>
      <c r="DF39" s="385" t="str">
        <f t="shared" si="86"/>
        <v/>
      </c>
      <c r="DG39" s="385" t="str">
        <f t="shared" si="87"/>
        <v/>
      </c>
      <c r="DH39" s="385" t="str">
        <f t="shared" si="88"/>
        <v/>
      </c>
      <c r="DI39" s="385" t="str">
        <f t="shared" si="89"/>
        <v/>
      </c>
    </row>
    <row r="40" spans="1:113" ht="82.5" x14ac:dyDescent="0.35">
      <c r="A40" s="21"/>
      <c r="B40" s="396">
        <f>'Appoggio_BIA Servizio'!$B$5</f>
        <v>0</v>
      </c>
      <c r="C40" s="392" t="s">
        <v>850</v>
      </c>
      <c r="D40" s="392" t="s">
        <v>866</v>
      </c>
      <c r="E40" s="393" t="s">
        <v>867</v>
      </c>
      <c r="F40" s="240" t="s">
        <v>654</v>
      </c>
      <c r="G40" s="240" t="s">
        <v>655</v>
      </c>
      <c r="H40" s="240"/>
      <c r="I40" s="240">
        <v>1</v>
      </c>
      <c r="J40" s="240">
        <v>1</v>
      </c>
      <c r="K40" s="240"/>
      <c r="L40" s="394"/>
      <c r="M40" s="240"/>
      <c r="N40" s="240"/>
      <c r="O40" s="394"/>
      <c r="P40" s="394"/>
      <c r="Q40" s="240">
        <v>1</v>
      </c>
      <c r="R40" s="394">
        <v>1</v>
      </c>
      <c r="S40" s="394"/>
      <c r="T40" s="394"/>
      <c r="U40" s="394"/>
      <c r="V40" s="394"/>
      <c r="W40" s="394"/>
      <c r="X40" s="394"/>
      <c r="Y40" s="394"/>
      <c r="Z40" s="394"/>
      <c r="AA40" s="394"/>
      <c r="AB40" s="240"/>
      <c r="AC40" s="394"/>
      <c r="AD40" s="394"/>
      <c r="AE40" s="395"/>
      <c r="AF40" s="395"/>
      <c r="AG40" s="395"/>
      <c r="AH40" s="395"/>
      <c r="AI40" s="395"/>
      <c r="AJ40" s="395"/>
      <c r="AK40" s="395"/>
      <c r="AL40" s="395"/>
      <c r="AM40" s="395">
        <v>1</v>
      </c>
      <c r="AN40" s="395"/>
      <c r="AO40" s="395"/>
      <c r="AP40" s="395"/>
      <c r="AQ40" s="395"/>
      <c r="AR40" s="395"/>
      <c r="AS40" s="395"/>
      <c r="AT40" s="395"/>
      <c r="AU40" s="395"/>
      <c r="AV40" s="395">
        <v>1</v>
      </c>
      <c r="AW40" s="395">
        <v>1</v>
      </c>
      <c r="AX40" s="395">
        <v>1</v>
      </c>
      <c r="AY40" s="395"/>
      <c r="AZ40" s="395"/>
      <c r="BA40" s="395"/>
      <c r="BB40" s="395"/>
      <c r="BC40" s="395"/>
      <c r="BD40" s="395"/>
      <c r="BE40" s="395"/>
      <c r="BF40" s="225">
        <f t="shared" si="90"/>
        <v>0</v>
      </c>
      <c r="BG40" s="226" t="str">
        <f t="shared" si="91"/>
        <v>Non Applicabile</v>
      </c>
      <c r="BH40" s="226" t="s">
        <v>693</v>
      </c>
      <c r="BI40" s="226"/>
      <c r="BJ40" s="229"/>
      <c r="BK40" s="227"/>
      <c r="BL40" s="324" t="s">
        <v>868</v>
      </c>
      <c r="BM40" s="324" t="s">
        <v>869</v>
      </c>
      <c r="BN40" s="324" t="s">
        <v>870</v>
      </c>
      <c r="BO40" s="330"/>
      <c r="BP40" s="385" t="str">
        <f>IF(G40="X",
   IF(BG40="Applicabile",
      IF(BJ40&lt;&gt;"",
         _xlfn.XLOOKUP($BJ40,Parametri_RA!$B:$B,Parametri_RA!$D:$D,0),
         0),
      ""),
   "")</f>
        <v/>
      </c>
      <c r="BQ40" s="385" t="str">
        <f>IF(H40="X",
   IF(BG40="Applicabile",
      IF(BJ40&lt;&gt;"",
         _xlfn.XLOOKUP($BJ40,Parametri_RA!$B:$B,Parametri_RA!$D:$D,0),
         0),
      ""),
   "")</f>
        <v/>
      </c>
      <c r="BR40" s="385" t="str">
        <f t="shared" si="46"/>
        <v/>
      </c>
      <c r="BS40" s="385" t="str">
        <f t="shared" si="47"/>
        <v/>
      </c>
      <c r="BT40" s="385" t="str">
        <f t="shared" si="48"/>
        <v/>
      </c>
      <c r="BU40" s="385" t="str">
        <f t="shared" si="49"/>
        <v/>
      </c>
      <c r="BV40" s="385" t="str">
        <f t="shared" si="50"/>
        <v/>
      </c>
      <c r="BW40" s="385" t="str">
        <f t="shared" si="51"/>
        <v/>
      </c>
      <c r="BX40" s="385" t="str">
        <f t="shared" si="52"/>
        <v/>
      </c>
      <c r="BY40" s="385" t="str">
        <f t="shared" si="53"/>
        <v/>
      </c>
      <c r="BZ40" s="385" t="str">
        <f t="shared" si="54"/>
        <v/>
      </c>
      <c r="CA40" s="385" t="str">
        <f t="shared" si="55"/>
        <v/>
      </c>
      <c r="CB40" s="385" t="str">
        <f t="shared" si="56"/>
        <v/>
      </c>
      <c r="CC40" s="385" t="str">
        <f t="shared" si="57"/>
        <v/>
      </c>
      <c r="CD40" s="385" t="str">
        <f t="shared" si="58"/>
        <v/>
      </c>
      <c r="CE40" s="385" t="str">
        <f t="shared" si="59"/>
        <v/>
      </c>
      <c r="CF40" s="385" t="str">
        <f t="shared" si="60"/>
        <v/>
      </c>
      <c r="CG40" s="385" t="str">
        <f t="shared" si="61"/>
        <v/>
      </c>
      <c r="CH40" s="385" t="str">
        <f t="shared" si="62"/>
        <v/>
      </c>
      <c r="CI40" s="385" t="str">
        <f t="shared" si="63"/>
        <v/>
      </c>
      <c r="CJ40" s="385" t="str">
        <f t="shared" si="64"/>
        <v/>
      </c>
      <c r="CK40" s="385" t="str">
        <f t="shared" si="65"/>
        <v/>
      </c>
      <c r="CL40" s="385" t="str">
        <f t="shared" si="66"/>
        <v/>
      </c>
      <c r="CM40" s="385" t="str">
        <f t="shared" si="67"/>
        <v/>
      </c>
      <c r="CN40" s="385" t="str">
        <f t="shared" si="68"/>
        <v/>
      </c>
      <c r="CO40" s="385" t="str">
        <f t="shared" si="69"/>
        <v/>
      </c>
      <c r="CP40" s="385" t="str">
        <f t="shared" si="70"/>
        <v/>
      </c>
      <c r="CQ40" s="385" t="str">
        <f t="shared" si="71"/>
        <v/>
      </c>
      <c r="CR40" s="385" t="str">
        <f t="shared" si="72"/>
        <v/>
      </c>
      <c r="CS40" s="385" t="str">
        <f t="shared" si="73"/>
        <v/>
      </c>
      <c r="CT40" s="385" t="str">
        <f t="shared" si="74"/>
        <v/>
      </c>
      <c r="CU40" s="385" t="str">
        <f t="shared" si="75"/>
        <v/>
      </c>
      <c r="CV40" s="385" t="str">
        <f t="shared" si="76"/>
        <v/>
      </c>
      <c r="CW40" s="385" t="str">
        <f t="shared" si="77"/>
        <v/>
      </c>
      <c r="CX40" s="385" t="str">
        <f t="shared" si="78"/>
        <v/>
      </c>
      <c r="CY40" s="385" t="str">
        <f t="shared" si="79"/>
        <v/>
      </c>
      <c r="CZ40" s="385" t="str">
        <f t="shared" si="80"/>
        <v/>
      </c>
      <c r="DA40" s="385" t="str">
        <f t="shared" si="81"/>
        <v/>
      </c>
      <c r="DB40" s="385" t="str">
        <f t="shared" si="82"/>
        <v/>
      </c>
      <c r="DC40" s="385" t="str">
        <f t="shared" si="83"/>
        <v/>
      </c>
      <c r="DD40" s="385" t="str">
        <f t="shared" si="84"/>
        <v/>
      </c>
      <c r="DE40" s="385" t="str">
        <f t="shared" si="85"/>
        <v/>
      </c>
      <c r="DF40" s="385" t="str">
        <f t="shared" si="86"/>
        <v/>
      </c>
      <c r="DG40" s="385" t="str">
        <f t="shared" si="87"/>
        <v/>
      </c>
      <c r="DH40" s="385" t="str">
        <f t="shared" si="88"/>
        <v/>
      </c>
      <c r="DI40" s="385" t="str">
        <f t="shared" si="89"/>
        <v/>
      </c>
    </row>
    <row r="41" spans="1:113" ht="68" x14ac:dyDescent="0.35">
      <c r="A41" s="21"/>
      <c r="B41" s="396">
        <f>'Appoggio_BIA Servizio'!$B$5</f>
        <v>0</v>
      </c>
      <c r="C41" s="392" t="s">
        <v>850</v>
      </c>
      <c r="D41" s="392" t="s">
        <v>871</v>
      </c>
      <c r="E41" s="393" t="s">
        <v>872</v>
      </c>
      <c r="F41" s="240" t="s">
        <v>671</v>
      </c>
      <c r="G41" s="240"/>
      <c r="H41" s="240" t="s">
        <v>655</v>
      </c>
      <c r="I41" s="240">
        <v>0.7</v>
      </c>
      <c r="J41" s="240">
        <v>0.7</v>
      </c>
      <c r="K41" s="240"/>
      <c r="L41" s="394"/>
      <c r="M41" s="240"/>
      <c r="N41" s="240"/>
      <c r="O41" s="394"/>
      <c r="P41" s="394">
        <v>0.7</v>
      </c>
      <c r="Q41" s="240">
        <v>0.7</v>
      </c>
      <c r="R41" s="394"/>
      <c r="S41" s="394"/>
      <c r="T41" s="394"/>
      <c r="U41" s="394"/>
      <c r="V41" s="394"/>
      <c r="W41" s="394"/>
      <c r="X41" s="394"/>
      <c r="Y41" s="394"/>
      <c r="Z41" s="394"/>
      <c r="AA41" s="394"/>
      <c r="AB41" s="240"/>
      <c r="AC41" s="394"/>
      <c r="AD41" s="394"/>
      <c r="AE41" s="395"/>
      <c r="AF41" s="395"/>
      <c r="AG41" s="395"/>
      <c r="AH41" s="395"/>
      <c r="AI41" s="395"/>
      <c r="AJ41" s="395"/>
      <c r="AK41" s="395"/>
      <c r="AL41" s="395"/>
      <c r="AM41" s="395">
        <v>1</v>
      </c>
      <c r="AN41" s="395"/>
      <c r="AO41" s="395"/>
      <c r="AP41" s="395"/>
      <c r="AQ41" s="395"/>
      <c r="AR41" s="395"/>
      <c r="AS41" s="395"/>
      <c r="AT41" s="395"/>
      <c r="AU41" s="395"/>
      <c r="AV41" s="395"/>
      <c r="AW41" s="395">
        <v>1</v>
      </c>
      <c r="AX41" s="395"/>
      <c r="AY41" s="395"/>
      <c r="AZ41" s="395"/>
      <c r="BA41" s="395"/>
      <c r="BB41" s="395"/>
      <c r="BC41" s="395"/>
      <c r="BD41" s="395"/>
      <c r="BE41" s="395"/>
      <c r="BF41" s="225">
        <f t="shared" si="90"/>
        <v>0</v>
      </c>
      <c r="BG41" s="226" t="str">
        <f t="shared" si="91"/>
        <v>Non Applicabile</v>
      </c>
      <c r="BH41" s="226" t="s">
        <v>873</v>
      </c>
      <c r="BI41" s="228"/>
      <c r="BJ41" s="229"/>
      <c r="BK41" s="227"/>
      <c r="BL41" s="324" t="s">
        <v>874</v>
      </c>
      <c r="BM41" s="324" t="s">
        <v>875</v>
      </c>
      <c r="BN41" s="324" t="s">
        <v>876</v>
      </c>
      <c r="BO41" s="330"/>
      <c r="BP41" s="385" t="str">
        <f>IF(G41="X",
   IF(BG41="Applicabile",
      IF(BJ41&lt;&gt;"",
         _xlfn.XLOOKUP($BJ41,Parametri_RA!$B:$B,Parametri_RA!$D:$D,0),
         0),
      ""),
   "")</f>
        <v/>
      </c>
      <c r="BQ41" s="385" t="str">
        <f>IF(H41="X",
   IF(BG41="Applicabile",
      IF(BJ41&lt;&gt;"",
         _xlfn.XLOOKUP($BJ41,Parametri_RA!$B:$B,Parametri_RA!$D:$D,0),
         0),
      ""),
   "")</f>
        <v/>
      </c>
      <c r="BR41" s="385" t="str">
        <f t="shared" si="46"/>
        <v/>
      </c>
      <c r="BS41" s="385" t="str">
        <f t="shared" si="47"/>
        <v/>
      </c>
      <c r="BT41" s="385" t="str">
        <f t="shared" si="48"/>
        <v/>
      </c>
      <c r="BU41" s="385" t="str">
        <f t="shared" si="49"/>
        <v/>
      </c>
      <c r="BV41" s="385" t="str">
        <f t="shared" si="50"/>
        <v/>
      </c>
      <c r="BW41" s="385" t="str">
        <f t="shared" si="51"/>
        <v/>
      </c>
      <c r="BX41" s="385" t="str">
        <f t="shared" si="52"/>
        <v/>
      </c>
      <c r="BY41" s="385" t="str">
        <f t="shared" si="53"/>
        <v/>
      </c>
      <c r="BZ41" s="385" t="str">
        <f t="shared" si="54"/>
        <v/>
      </c>
      <c r="CA41" s="385" t="str">
        <f t="shared" si="55"/>
        <v/>
      </c>
      <c r="CB41" s="385" t="str">
        <f t="shared" si="56"/>
        <v/>
      </c>
      <c r="CC41" s="385" t="str">
        <f t="shared" si="57"/>
        <v/>
      </c>
      <c r="CD41" s="385" t="str">
        <f t="shared" si="58"/>
        <v/>
      </c>
      <c r="CE41" s="385" t="str">
        <f t="shared" si="59"/>
        <v/>
      </c>
      <c r="CF41" s="385" t="str">
        <f t="shared" si="60"/>
        <v/>
      </c>
      <c r="CG41" s="385" t="str">
        <f t="shared" si="61"/>
        <v/>
      </c>
      <c r="CH41" s="385" t="str">
        <f t="shared" si="62"/>
        <v/>
      </c>
      <c r="CI41" s="385" t="str">
        <f t="shared" si="63"/>
        <v/>
      </c>
      <c r="CJ41" s="385" t="str">
        <f t="shared" si="64"/>
        <v/>
      </c>
      <c r="CK41" s="385" t="str">
        <f t="shared" si="65"/>
        <v/>
      </c>
      <c r="CL41" s="385" t="str">
        <f t="shared" si="66"/>
        <v/>
      </c>
      <c r="CM41" s="385" t="str">
        <f t="shared" si="67"/>
        <v/>
      </c>
      <c r="CN41" s="385" t="str">
        <f t="shared" si="68"/>
        <v/>
      </c>
      <c r="CO41" s="385" t="str">
        <f t="shared" si="69"/>
        <v/>
      </c>
      <c r="CP41" s="385" t="str">
        <f t="shared" si="70"/>
        <v/>
      </c>
      <c r="CQ41" s="385" t="str">
        <f t="shared" si="71"/>
        <v/>
      </c>
      <c r="CR41" s="385" t="str">
        <f t="shared" si="72"/>
        <v/>
      </c>
      <c r="CS41" s="385" t="str">
        <f t="shared" si="73"/>
        <v/>
      </c>
      <c r="CT41" s="385" t="str">
        <f t="shared" si="74"/>
        <v/>
      </c>
      <c r="CU41" s="385" t="str">
        <f t="shared" si="75"/>
        <v/>
      </c>
      <c r="CV41" s="385" t="str">
        <f t="shared" si="76"/>
        <v/>
      </c>
      <c r="CW41" s="385" t="str">
        <f t="shared" si="77"/>
        <v/>
      </c>
      <c r="CX41" s="385" t="str">
        <f t="shared" si="78"/>
        <v/>
      </c>
      <c r="CY41" s="385" t="str">
        <f t="shared" si="79"/>
        <v/>
      </c>
      <c r="CZ41" s="385" t="str">
        <f t="shared" si="80"/>
        <v/>
      </c>
      <c r="DA41" s="385" t="str">
        <f t="shared" si="81"/>
        <v/>
      </c>
      <c r="DB41" s="385" t="str">
        <f t="shared" si="82"/>
        <v/>
      </c>
      <c r="DC41" s="385" t="str">
        <f t="shared" si="83"/>
        <v/>
      </c>
      <c r="DD41" s="385" t="str">
        <f t="shared" si="84"/>
        <v/>
      </c>
      <c r="DE41" s="385" t="str">
        <f t="shared" si="85"/>
        <v/>
      </c>
      <c r="DF41" s="385" t="str">
        <f t="shared" si="86"/>
        <v/>
      </c>
      <c r="DG41" s="385" t="str">
        <f t="shared" si="87"/>
        <v/>
      </c>
      <c r="DH41" s="385" t="str">
        <f t="shared" si="88"/>
        <v/>
      </c>
      <c r="DI41" s="385" t="str">
        <f t="shared" si="89"/>
        <v/>
      </c>
    </row>
    <row r="42" spans="1:113" ht="68" x14ac:dyDescent="0.35">
      <c r="A42" s="21" t="s">
        <v>877</v>
      </c>
      <c r="B42" s="396">
        <f>'Appoggio_BIA Servizio'!$B$5</f>
        <v>0</v>
      </c>
      <c r="C42" s="392" t="s">
        <v>850</v>
      </c>
      <c r="D42" s="392" t="s">
        <v>878</v>
      </c>
      <c r="E42" s="393" t="s">
        <v>879</v>
      </c>
      <c r="F42" s="240" t="s">
        <v>654</v>
      </c>
      <c r="G42" s="240" t="s">
        <v>655</v>
      </c>
      <c r="H42" s="240"/>
      <c r="I42" s="240">
        <v>1</v>
      </c>
      <c r="J42" s="240">
        <v>1</v>
      </c>
      <c r="K42" s="240">
        <v>1</v>
      </c>
      <c r="L42" s="394"/>
      <c r="M42" s="240"/>
      <c r="N42" s="240">
        <v>1</v>
      </c>
      <c r="O42" s="394"/>
      <c r="P42" s="240">
        <v>1</v>
      </c>
      <c r="Q42" s="240"/>
      <c r="R42" s="240">
        <v>0.7</v>
      </c>
      <c r="S42" s="240">
        <v>0.7</v>
      </c>
      <c r="T42" s="394">
        <v>0.7</v>
      </c>
      <c r="U42" s="394">
        <v>0.7</v>
      </c>
      <c r="V42" s="394">
        <v>0.7</v>
      </c>
      <c r="W42" s="394"/>
      <c r="X42" s="394"/>
      <c r="Y42" s="394"/>
      <c r="Z42" s="394"/>
      <c r="AA42" s="394"/>
      <c r="AB42" s="240"/>
      <c r="AC42" s="394"/>
      <c r="AD42" s="394"/>
      <c r="AE42" s="395"/>
      <c r="AF42" s="395"/>
      <c r="AG42" s="395"/>
      <c r="AH42" s="395"/>
      <c r="AI42" s="395"/>
      <c r="AJ42" s="395"/>
      <c r="AK42" s="395"/>
      <c r="AL42" s="395"/>
      <c r="AM42" s="395">
        <v>1</v>
      </c>
      <c r="AN42" s="395"/>
      <c r="AO42" s="395"/>
      <c r="AP42" s="395"/>
      <c r="AQ42" s="395"/>
      <c r="AR42" s="395"/>
      <c r="AS42" s="395"/>
      <c r="AT42" s="395">
        <v>1</v>
      </c>
      <c r="AU42" s="395"/>
      <c r="AV42" s="395">
        <v>1</v>
      </c>
      <c r="AW42" s="395">
        <v>1</v>
      </c>
      <c r="AX42" s="395">
        <v>1</v>
      </c>
      <c r="AY42" s="395"/>
      <c r="AZ42" s="395"/>
      <c r="BA42" s="395">
        <v>1</v>
      </c>
      <c r="BB42" s="395"/>
      <c r="BC42" s="395"/>
      <c r="BD42" s="395"/>
      <c r="BE42" s="395"/>
      <c r="BF42" s="225">
        <f t="shared" si="90"/>
        <v>0</v>
      </c>
      <c r="BG42" s="226" t="str">
        <f t="shared" si="91"/>
        <v>Non Applicabile</v>
      </c>
      <c r="BH42" s="226" t="s">
        <v>880</v>
      </c>
      <c r="BI42" s="228"/>
      <c r="BJ42" s="229"/>
      <c r="BK42" s="227"/>
      <c r="BL42" s="324" t="s">
        <v>881</v>
      </c>
      <c r="BM42" s="324" t="s">
        <v>882</v>
      </c>
      <c r="BN42" s="324" t="s">
        <v>883</v>
      </c>
      <c r="BO42" s="330"/>
      <c r="BP42" s="385" t="str">
        <f>IF(G42="X",
   IF(BG42="Applicabile",
      IF(BJ42&lt;&gt;"",
         _xlfn.XLOOKUP($BJ42,Parametri_RA!$B:$B,Parametri_RA!$D:$D,0),
         0),
      ""),
   "")</f>
        <v/>
      </c>
      <c r="BQ42" s="385" t="str">
        <f>IF(H42="X",
   IF(BG42="Applicabile",
      IF(BJ42&lt;&gt;"",
         _xlfn.XLOOKUP($BJ42,Parametri_RA!$B:$B,Parametri_RA!$D:$D,0),
         0),
      ""),
   "")</f>
        <v/>
      </c>
      <c r="BR42" s="385" t="str">
        <f t="shared" si="46"/>
        <v/>
      </c>
      <c r="BS42" s="385" t="str">
        <f t="shared" si="47"/>
        <v/>
      </c>
      <c r="BT42" s="385" t="str">
        <f t="shared" si="48"/>
        <v/>
      </c>
      <c r="BU42" s="385" t="str">
        <f t="shared" si="49"/>
        <v/>
      </c>
      <c r="BV42" s="385" t="str">
        <f t="shared" si="50"/>
        <v/>
      </c>
      <c r="BW42" s="385" t="str">
        <f t="shared" si="51"/>
        <v/>
      </c>
      <c r="BX42" s="385" t="str">
        <f t="shared" si="52"/>
        <v/>
      </c>
      <c r="BY42" s="385" t="str">
        <f t="shared" si="53"/>
        <v/>
      </c>
      <c r="BZ42" s="385" t="str">
        <f t="shared" si="54"/>
        <v/>
      </c>
      <c r="CA42" s="385" t="str">
        <f t="shared" si="55"/>
        <v/>
      </c>
      <c r="CB42" s="385" t="str">
        <f t="shared" si="56"/>
        <v/>
      </c>
      <c r="CC42" s="385" t="str">
        <f t="shared" si="57"/>
        <v/>
      </c>
      <c r="CD42" s="385" t="str">
        <f t="shared" si="58"/>
        <v/>
      </c>
      <c r="CE42" s="385" t="str">
        <f t="shared" si="59"/>
        <v/>
      </c>
      <c r="CF42" s="385" t="str">
        <f t="shared" si="60"/>
        <v/>
      </c>
      <c r="CG42" s="385" t="str">
        <f t="shared" si="61"/>
        <v/>
      </c>
      <c r="CH42" s="385" t="str">
        <f t="shared" si="62"/>
        <v/>
      </c>
      <c r="CI42" s="385" t="str">
        <f t="shared" si="63"/>
        <v/>
      </c>
      <c r="CJ42" s="385" t="str">
        <f t="shared" si="64"/>
        <v/>
      </c>
      <c r="CK42" s="385" t="str">
        <f t="shared" si="65"/>
        <v/>
      </c>
      <c r="CL42" s="385" t="str">
        <f t="shared" si="66"/>
        <v/>
      </c>
      <c r="CM42" s="385" t="str">
        <f t="shared" si="67"/>
        <v/>
      </c>
      <c r="CN42" s="385" t="str">
        <f t="shared" si="68"/>
        <v/>
      </c>
      <c r="CO42" s="385" t="str">
        <f t="shared" si="69"/>
        <v/>
      </c>
      <c r="CP42" s="385" t="str">
        <f t="shared" si="70"/>
        <v/>
      </c>
      <c r="CQ42" s="385" t="str">
        <f t="shared" si="71"/>
        <v/>
      </c>
      <c r="CR42" s="385" t="str">
        <f t="shared" si="72"/>
        <v/>
      </c>
      <c r="CS42" s="385" t="str">
        <f t="shared" si="73"/>
        <v/>
      </c>
      <c r="CT42" s="385" t="str">
        <f t="shared" si="74"/>
        <v/>
      </c>
      <c r="CU42" s="385" t="str">
        <f t="shared" si="75"/>
        <v/>
      </c>
      <c r="CV42" s="385" t="str">
        <f t="shared" si="76"/>
        <v/>
      </c>
      <c r="CW42" s="385" t="str">
        <f t="shared" si="77"/>
        <v/>
      </c>
      <c r="CX42" s="385" t="str">
        <f t="shared" si="78"/>
        <v/>
      </c>
      <c r="CY42" s="385" t="str">
        <f t="shared" si="79"/>
        <v/>
      </c>
      <c r="CZ42" s="385" t="str">
        <f t="shared" si="80"/>
        <v/>
      </c>
      <c r="DA42" s="385" t="str">
        <f t="shared" si="81"/>
        <v/>
      </c>
      <c r="DB42" s="385" t="str">
        <f t="shared" si="82"/>
        <v/>
      </c>
      <c r="DC42" s="385" t="str">
        <f t="shared" si="83"/>
        <v/>
      </c>
      <c r="DD42" s="385" t="str">
        <f t="shared" si="84"/>
        <v/>
      </c>
      <c r="DE42" s="385" t="str">
        <f t="shared" si="85"/>
        <v/>
      </c>
      <c r="DF42" s="385" t="str">
        <f t="shared" si="86"/>
        <v/>
      </c>
      <c r="DG42" s="385" t="str">
        <f t="shared" si="87"/>
        <v/>
      </c>
      <c r="DH42" s="385" t="str">
        <f t="shared" si="88"/>
        <v/>
      </c>
      <c r="DI42" s="385" t="str">
        <f t="shared" si="89"/>
        <v/>
      </c>
    </row>
    <row r="43" spans="1:113" ht="66" x14ac:dyDescent="0.35">
      <c r="A43" s="21" t="s">
        <v>884</v>
      </c>
      <c r="B43" s="396">
        <f>'Appoggio_BIA Servizio'!$B$5</f>
        <v>0</v>
      </c>
      <c r="C43" s="392" t="s">
        <v>850</v>
      </c>
      <c r="D43" s="392" t="s">
        <v>885</v>
      </c>
      <c r="E43" s="393" t="s">
        <v>886</v>
      </c>
      <c r="F43" s="240" t="s">
        <v>671</v>
      </c>
      <c r="G43" s="240" t="s">
        <v>655</v>
      </c>
      <c r="H43" s="240"/>
      <c r="I43" s="240">
        <v>1</v>
      </c>
      <c r="J43" s="240">
        <v>1</v>
      </c>
      <c r="K43" s="240">
        <v>0.7</v>
      </c>
      <c r="L43" s="394"/>
      <c r="M43" s="240"/>
      <c r="N43" s="240"/>
      <c r="O43" s="394"/>
      <c r="P43" s="240">
        <v>1</v>
      </c>
      <c r="Q43" s="240"/>
      <c r="R43" s="394"/>
      <c r="S43" s="394"/>
      <c r="T43" s="394">
        <v>0.7</v>
      </c>
      <c r="U43" s="394"/>
      <c r="V43" s="394">
        <v>0.7</v>
      </c>
      <c r="W43" s="394"/>
      <c r="X43" s="394"/>
      <c r="Y43" s="394"/>
      <c r="Z43" s="394"/>
      <c r="AA43" s="394"/>
      <c r="AB43" s="240"/>
      <c r="AC43" s="394"/>
      <c r="AD43" s="394"/>
      <c r="AE43" s="395"/>
      <c r="AF43" s="395"/>
      <c r="AG43" s="395"/>
      <c r="AH43" s="395"/>
      <c r="AI43" s="395"/>
      <c r="AJ43" s="395"/>
      <c r="AK43" s="395"/>
      <c r="AL43" s="395"/>
      <c r="AM43" s="395">
        <v>1</v>
      </c>
      <c r="AN43" s="395"/>
      <c r="AO43" s="395"/>
      <c r="AP43" s="395"/>
      <c r="AQ43" s="395"/>
      <c r="AR43" s="395"/>
      <c r="AS43" s="395"/>
      <c r="AT43" s="395"/>
      <c r="AU43" s="395"/>
      <c r="AV43" s="395"/>
      <c r="AW43" s="395">
        <v>1</v>
      </c>
      <c r="AX43" s="395"/>
      <c r="AY43" s="395"/>
      <c r="AZ43" s="395"/>
      <c r="BA43" s="395"/>
      <c r="BB43" s="395"/>
      <c r="BC43" s="395"/>
      <c r="BD43" s="395"/>
      <c r="BE43" s="395"/>
      <c r="BF43" s="225">
        <f t="shared" si="90"/>
        <v>0</v>
      </c>
      <c r="BG43" s="226" t="str">
        <f t="shared" si="91"/>
        <v>Non Applicabile</v>
      </c>
      <c r="BH43" s="226" t="s">
        <v>693</v>
      </c>
      <c r="BI43" s="226"/>
      <c r="BJ43" s="229"/>
      <c r="BK43" s="227"/>
      <c r="BL43" s="324" t="s">
        <v>887</v>
      </c>
      <c r="BM43" s="324" t="s">
        <v>888</v>
      </c>
      <c r="BN43" s="324" t="s">
        <v>889</v>
      </c>
      <c r="BO43" s="330"/>
      <c r="BP43" s="385" t="str">
        <f>IF(G43="X",
   IF(BG43="Applicabile",
      IF(BJ43&lt;&gt;"",
         _xlfn.XLOOKUP($BJ43,Parametri_RA!$B:$B,Parametri_RA!$D:$D,0),
         0),
      ""),
   "")</f>
        <v/>
      </c>
      <c r="BQ43" s="385" t="str">
        <f>IF(H43="X",
   IF(BG43="Applicabile",
      IF(BJ43&lt;&gt;"",
         _xlfn.XLOOKUP($BJ43,Parametri_RA!$B:$B,Parametri_RA!$D:$D,0),
         0),
      ""),
   "")</f>
        <v/>
      </c>
      <c r="BR43" s="385" t="str">
        <f t="shared" si="46"/>
        <v/>
      </c>
      <c r="BS43" s="385" t="str">
        <f t="shared" si="47"/>
        <v/>
      </c>
      <c r="BT43" s="385" t="str">
        <f t="shared" si="48"/>
        <v/>
      </c>
      <c r="BU43" s="385" t="str">
        <f t="shared" si="49"/>
        <v/>
      </c>
      <c r="BV43" s="385" t="str">
        <f t="shared" si="50"/>
        <v/>
      </c>
      <c r="BW43" s="385" t="str">
        <f t="shared" si="51"/>
        <v/>
      </c>
      <c r="BX43" s="385" t="str">
        <f t="shared" si="52"/>
        <v/>
      </c>
      <c r="BY43" s="385" t="str">
        <f t="shared" si="53"/>
        <v/>
      </c>
      <c r="BZ43" s="385" t="str">
        <f t="shared" si="54"/>
        <v/>
      </c>
      <c r="CA43" s="385" t="str">
        <f t="shared" si="55"/>
        <v/>
      </c>
      <c r="CB43" s="385" t="str">
        <f t="shared" si="56"/>
        <v/>
      </c>
      <c r="CC43" s="385" t="str">
        <f t="shared" si="57"/>
        <v/>
      </c>
      <c r="CD43" s="385" t="str">
        <f t="shared" si="58"/>
        <v/>
      </c>
      <c r="CE43" s="385" t="str">
        <f t="shared" si="59"/>
        <v/>
      </c>
      <c r="CF43" s="385" t="str">
        <f t="shared" si="60"/>
        <v/>
      </c>
      <c r="CG43" s="385" t="str">
        <f t="shared" si="61"/>
        <v/>
      </c>
      <c r="CH43" s="385" t="str">
        <f t="shared" si="62"/>
        <v/>
      </c>
      <c r="CI43" s="385" t="str">
        <f t="shared" si="63"/>
        <v/>
      </c>
      <c r="CJ43" s="385" t="str">
        <f t="shared" si="64"/>
        <v/>
      </c>
      <c r="CK43" s="385" t="str">
        <f t="shared" si="65"/>
        <v/>
      </c>
      <c r="CL43" s="385" t="str">
        <f t="shared" si="66"/>
        <v/>
      </c>
      <c r="CM43" s="385" t="str">
        <f t="shared" si="67"/>
        <v/>
      </c>
      <c r="CN43" s="385" t="str">
        <f t="shared" si="68"/>
        <v/>
      </c>
      <c r="CO43" s="385" t="str">
        <f t="shared" si="69"/>
        <v/>
      </c>
      <c r="CP43" s="385" t="str">
        <f t="shared" si="70"/>
        <v/>
      </c>
      <c r="CQ43" s="385" t="str">
        <f t="shared" si="71"/>
        <v/>
      </c>
      <c r="CR43" s="385" t="str">
        <f t="shared" si="72"/>
        <v/>
      </c>
      <c r="CS43" s="385" t="str">
        <f t="shared" si="73"/>
        <v/>
      </c>
      <c r="CT43" s="385" t="str">
        <f t="shared" si="74"/>
        <v/>
      </c>
      <c r="CU43" s="385" t="str">
        <f t="shared" si="75"/>
        <v/>
      </c>
      <c r="CV43" s="385" t="str">
        <f t="shared" si="76"/>
        <v/>
      </c>
      <c r="CW43" s="385" t="str">
        <f t="shared" si="77"/>
        <v/>
      </c>
      <c r="CX43" s="385" t="str">
        <f t="shared" si="78"/>
        <v/>
      </c>
      <c r="CY43" s="385" t="str">
        <f t="shared" si="79"/>
        <v/>
      </c>
      <c r="CZ43" s="385" t="str">
        <f t="shared" si="80"/>
        <v/>
      </c>
      <c r="DA43" s="385" t="str">
        <f t="shared" si="81"/>
        <v/>
      </c>
      <c r="DB43" s="385" t="str">
        <f t="shared" si="82"/>
        <v/>
      </c>
      <c r="DC43" s="385" t="str">
        <f t="shared" si="83"/>
        <v/>
      </c>
      <c r="DD43" s="385" t="str">
        <f t="shared" si="84"/>
        <v/>
      </c>
      <c r="DE43" s="385" t="str">
        <f t="shared" si="85"/>
        <v/>
      </c>
      <c r="DF43" s="385" t="str">
        <f t="shared" si="86"/>
        <v/>
      </c>
      <c r="DG43" s="385" t="str">
        <f t="shared" si="87"/>
        <v/>
      </c>
      <c r="DH43" s="385" t="str">
        <f t="shared" si="88"/>
        <v/>
      </c>
      <c r="DI43" s="385" t="str">
        <f t="shared" si="89"/>
        <v/>
      </c>
    </row>
    <row r="44" spans="1:113" ht="66" x14ac:dyDescent="0.35">
      <c r="A44" s="21" t="s">
        <v>890</v>
      </c>
      <c r="B44" s="396">
        <f>'Appoggio_BIA Servizio'!$B$5</f>
        <v>0</v>
      </c>
      <c r="C44" s="392" t="s">
        <v>850</v>
      </c>
      <c r="D44" s="392" t="s">
        <v>891</v>
      </c>
      <c r="E44" s="393" t="s">
        <v>892</v>
      </c>
      <c r="F44" s="240" t="s">
        <v>671</v>
      </c>
      <c r="G44" s="240" t="s">
        <v>655</v>
      </c>
      <c r="H44" s="240"/>
      <c r="I44" s="240">
        <v>1</v>
      </c>
      <c r="J44" s="240">
        <v>1</v>
      </c>
      <c r="K44" s="240">
        <v>0.7</v>
      </c>
      <c r="L44" s="394"/>
      <c r="M44" s="240">
        <v>1</v>
      </c>
      <c r="N44" s="240">
        <v>1</v>
      </c>
      <c r="O44" s="394"/>
      <c r="P44" s="240">
        <v>1</v>
      </c>
      <c r="Q44" s="240"/>
      <c r="R44" s="394"/>
      <c r="S44" s="394"/>
      <c r="T44" s="394">
        <v>0.7</v>
      </c>
      <c r="U44" s="394">
        <v>0.7</v>
      </c>
      <c r="V44" s="394">
        <v>0.7</v>
      </c>
      <c r="W44" s="394"/>
      <c r="X44" s="394"/>
      <c r="Y44" s="394"/>
      <c r="Z44" s="394"/>
      <c r="AA44" s="394"/>
      <c r="AB44" s="240"/>
      <c r="AC44" s="394"/>
      <c r="AD44" s="394"/>
      <c r="AE44" s="395"/>
      <c r="AF44" s="395"/>
      <c r="AG44" s="395"/>
      <c r="AH44" s="395"/>
      <c r="AI44" s="395"/>
      <c r="AJ44" s="395"/>
      <c r="AK44" s="395"/>
      <c r="AL44" s="395"/>
      <c r="AM44" s="395"/>
      <c r="AN44" s="395"/>
      <c r="AO44" s="395"/>
      <c r="AP44" s="395"/>
      <c r="AQ44" s="395"/>
      <c r="AR44" s="395"/>
      <c r="AS44" s="395"/>
      <c r="AT44" s="395"/>
      <c r="AU44" s="395"/>
      <c r="AV44" s="395">
        <v>1</v>
      </c>
      <c r="AW44" s="395"/>
      <c r="AX44" s="395"/>
      <c r="AY44" s="395"/>
      <c r="AZ44" s="395"/>
      <c r="BA44" s="395"/>
      <c r="BB44" s="395"/>
      <c r="BC44" s="395"/>
      <c r="BD44" s="395"/>
      <c r="BE44" s="395"/>
      <c r="BF44" s="225">
        <f t="shared" si="90"/>
        <v>0</v>
      </c>
      <c r="BG44" s="226" t="str">
        <f t="shared" si="91"/>
        <v>Non Applicabile</v>
      </c>
      <c r="BH44" s="226" t="s">
        <v>693</v>
      </c>
      <c r="BI44" s="228"/>
      <c r="BJ44" s="229"/>
      <c r="BK44" s="227"/>
      <c r="BL44" s="324" t="s">
        <v>893</v>
      </c>
      <c r="BM44" s="324" t="s">
        <v>894</v>
      </c>
      <c r="BN44" s="324" t="s">
        <v>895</v>
      </c>
      <c r="BO44" s="330"/>
      <c r="BP44" s="385" t="str">
        <f>IF(G44="X",
   IF(BG44="Applicabile",
      IF(BJ44&lt;&gt;"",
         _xlfn.XLOOKUP($BJ44,Parametri_RA!$B:$B,Parametri_RA!$D:$D,0),
         0),
      ""),
   "")</f>
        <v/>
      </c>
      <c r="BQ44" s="385" t="str">
        <f>IF(H44="X",
   IF(BG44="Applicabile",
      IF(BJ44&lt;&gt;"",
         _xlfn.XLOOKUP($BJ44,Parametri_RA!$B:$B,Parametri_RA!$D:$D,0),
         0),
      ""),
   "")</f>
        <v/>
      </c>
      <c r="BR44" s="385" t="str">
        <f t="shared" si="46"/>
        <v/>
      </c>
      <c r="BS44" s="385" t="str">
        <f t="shared" si="47"/>
        <v/>
      </c>
      <c r="BT44" s="385" t="str">
        <f t="shared" si="48"/>
        <v/>
      </c>
      <c r="BU44" s="385" t="str">
        <f t="shared" si="49"/>
        <v/>
      </c>
      <c r="BV44" s="385" t="str">
        <f t="shared" si="50"/>
        <v/>
      </c>
      <c r="BW44" s="385" t="str">
        <f t="shared" si="51"/>
        <v/>
      </c>
      <c r="BX44" s="385" t="str">
        <f t="shared" si="52"/>
        <v/>
      </c>
      <c r="BY44" s="385" t="str">
        <f t="shared" si="53"/>
        <v/>
      </c>
      <c r="BZ44" s="385" t="str">
        <f t="shared" si="54"/>
        <v/>
      </c>
      <c r="CA44" s="385" t="str">
        <f t="shared" si="55"/>
        <v/>
      </c>
      <c r="CB44" s="385" t="str">
        <f t="shared" si="56"/>
        <v/>
      </c>
      <c r="CC44" s="385" t="str">
        <f t="shared" si="57"/>
        <v/>
      </c>
      <c r="CD44" s="385" t="str">
        <f t="shared" si="58"/>
        <v/>
      </c>
      <c r="CE44" s="385" t="str">
        <f t="shared" si="59"/>
        <v/>
      </c>
      <c r="CF44" s="385" t="str">
        <f t="shared" si="60"/>
        <v/>
      </c>
      <c r="CG44" s="385" t="str">
        <f t="shared" si="61"/>
        <v/>
      </c>
      <c r="CH44" s="385" t="str">
        <f t="shared" si="62"/>
        <v/>
      </c>
      <c r="CI44" s="385" t="str">
        <f t="shared" si="63"/>
        <v/>
      </c>
      <c r="CJ44" s="385" t="str">
        <f t="shared" si="64"/>
        <v/>
      </c>
      <c r="CK44" s="385" t="str">
        <f t="shared" si="65"/>
        <v/>
      </c>
      <c r="CL44" s="385" t="str">
        <f t="shared" si="66"/>
        <v/>
      </c>
      <c r="CM44" s="385" t="str">
        <f t="shared" si="67"/>
        <v/>
      </c>
      <c r="CN44" s="385" t="str">
        <f t="shared" si="68"/>
        <v/>
      </c>
      <c r="CO44" s="385" t="str">
        <f t="shared" si="69"/>
        <v/>
      </c>
      <c r="CP44" s="385" t="str">
        <f t="shared" si="70"/>
        <v/>
      </c>
      <c r="CQ44" s="385" t="str">
        <f t="shared" si="71"/>
        <v/>
      </c>
      <c r="CR44" s="385" t="str">
        <f t="shared" si="72"/>
        <v/>
      </c>
      <c r="CS44" s="385" t="str">
        <f t="shared" si="73"/>
        <v/>
      </c>
      <c r="CT44" s="385" t="str">
        <f t="shared" si="74"/>
        <v/>
      </c>
      <c r="CU44" s="385" t="str">
        <f t="shared" si="75"/>
        <v/>
      </c>
      <c r="CV44" s="385" t="str">
        <f t="shared" si="76"/>
        <v/>
      </c>
      <c r="CW44" s="385" t="str">
        <f t="shared" si="77"/>
        <v/>
      </c>
      <c r="CX44" s="385" t="str">
        <f t="shared" si="78"/>
        <v/>
      </c>
      <c r="CY44" s="385" t="str">
        <f t="shared" si="79"/>
        <v/>
      </c>
      <c r="CZ44" s="385" t="str">
        <f t="shared" si="80"/>
        <v/>
      </c>
      <c r="DA44" s="385" t="str">
        <f t="shared" si="81"/>
        <v/>
      </c>
      <c r="DB44" s="385" t="str">
        <f t="shared" si="82"/>
        <v/>
      </c>
      <c r="DC44" s="385" t="str">
        <f t="shared" si="83"/>
        <v/>
      </c>
      <c r="DD44" s="385" t="str">
        <f t="shared" si="84"/>
        <v/>
      </c>
      <c r="DE44" s="385" t="str">
        <f t="shared" si="85"/>
        <v/>
      </c>
      <c r="DF44" s="385" t="str">
        <f t="shared" si="86"/>
        <v/>
      </c>
      <c r="DG44" s="385" t="str">
        <f t="shared" si="87"/>
        <v/>
      </c>
      <c r="DH44" s="385" t="str">
        <f t="shared" si="88"/>
        <v/>
      </c>
      <c r="DI44" s="385" t="str">
        <f t="shared" si="89"/>
        <v/>
      </c>
    </row>
    <row r="45" spans="1:113" ht="68" x14ac:dyDescent="0.35">
      <c r="A45" s="21" t="s">
        <v>896</v>
      </c>
      <c r="B45" s="396">
        <f>'Appoggio_BIA Servizio'!$B$5</f>
        <v>0</v>
      </c>
      <c r="C45" s="392" t="s">
        <v>850</v>
      </c>
      <c r="D45" s="392" t="s">
        <v>897</v>
      </c>
      <c r="E45" s="393" t="s">
        <v>898</v>
      </c>
      <c r="F45" s="240" t="s">
        <v>671</v>
      </c>
      <c r="G45" s="240" t="s">
        <v>655</v>
      </c>
      <c r="H45" s="240"/>
      <c r="I45" s="240">
        <v>0.7</v>
      </c>
      <c r="J45" s="240">
        <v>0.7</v>
      </c>
      <c r="K45" s="240"/>
      <c r="L45" s="394"/>
      <c r="M45" s="240"/>
      <c r="N45" s="240">
        <v>0.7</v>
      </c>
      <c r="O45" s="394"/>
      <c r="P45" s="394"/>
      <c r="Q45" s="240"/>
      <c r="R45" s="394"/>
      <c r="S45" s="394"/>
      <c r="T45" s="394">
        <v>0.7</v>
      </c>
      <c r="U45" s="394">
        <v>0.4</v>
      </c>
      <c r="V45" s="394">
        <v>0.7</v>
      </c>
      <c r="W45" s="394">
        <v>0.4</v>
      </c>
      <c r="X45" s="394"/>
      <c r="Y45" s="394"/>
      <c r="Z45" s="394"/>
      <c r="AA45" s="394"/>
      <c r="AB45" s="240"/>
      <c r="AC45" s="394"/>
      <c r="AD45" s="394"/>
      <c r="AE45" s="395"/>
      <c r="AF45" s="395"/>
      <c r="AG45" s="395"/>
      <c r="AH45" s="395"/>
      <c r="AI45" s="395"/>
      <c r="AJ45" s="395"/>
      <c r="AK45" s="395"/>
      <c r="AL45" s="395"/>
      <c r="AM45" s="395">
        <v>1</v>
      </c>
      <c r="AN45" s="395"/>
      <c r="AO45" s="395"/>
      <c r="AP45" s="395"/>
      <c r="AQ45" s="395"/>
      <c r="AR45" s="395"/>
      <c r="AS45" s="395"/>
      <c r="AT45" s="395"/>
      <c r="AU45" s="395"/>
      <c r="AV45" s="395">
        <v>1</v>
      </c>
      <c r="AW45" s="395">
        <v>1</v>
      </c>
      <c r="AX45" s="395">
        <v>1</v>
      </c>
      <c r="AY45" s="395"/>
      <c r="AZ45" s="395"/>
      <c r="BA45" s="395"/>
      <c r="BB45" s="395"/>
      <c r="BC45" s="395"/>
      <c r="BD45" s="395"/>
      <c r="BE45" s="395"/>
      <c r="BF45" s="225">
        <f t="shared" si="90"/>
        <v>0</v>
      </c>
      <c r="BG45" s="226" t="str">
        <f t="shared" si="91"/>
        <v>Non Applicabile</v>
      </c>
      <c r="BH45" s="226" t="s">
        <v>693</v>
      </c>
      <c r="BI45" s="228"/>
      <c r="BJ45" s="229"/>
      <c r="BK45" s="227"/>
      <c r="BL45" s="324" t="s">
        <v>899</v>
      </c>
      <c r="BM45" s="324" t="s">
        <v>900</v>
      </c>
      <c r="BN45" s="324" t="s">
        <v>901</v>
      </c>
      <c r="BO45" s="330"/>
      <c r="BP45" s="385" t="str">
        <f>IF(G45="X",
   IF(BG45="Applicabile",
      IF(BJ45&lt;&gt;"",
         _xlfn.XLOOKUP($BJ45,Parametri_RA!$B:$B,Parametri_RA!$D:$D,0),
         0),
      ""),
   "")</f>
        <v/>
      </c>
      <c r="BQ45" s="385" t="str">
        <f>IF(H45="X",
   IF(BG45="Applicabile",
      IF(BJ45&lt;&gt;"",
         _xlfn.XLOOKUP($BJ45,Parametri_RA!$B:$B,Parametri_RA!$D:$D,0),
         0),
      ""),
   "")</f>
        <v/>
      </c>
      <c r="BR45" s="385" t="str">
        <f t="shared" si="46"/>
        <v/>
      </c>
      <c r="BS45" s="385" t="str">
        <f t="shared" si="47"/>
        <v/>
      </c>
      <c r="BT45" s="385" t="str">
        <f t="shared" si="48"/>
        <v/>
      </c>
      <c r="BU45" s="385" t="str">
        <f t="shared" si="49"/>
        <v/>
      </c>
      <c r="BV45" s="385" t="str">
        <f t="shared" si="50"/>
        <v/>
      </c>
      <c r="BW45" s="385" t="str">
        <f t="shared" si="51"/>
        <v/>
      </c>
      <c r="BX45" s="385" t="str">
        <f t="shared" si="52"/>
        <v/>
      </c>
      <c r="BY45" s="385" t="str">
        <f t="shared" si="53"/>
        <v/>
      </c>
      <c r="BZ45" s="385" t="str">
        <f t="shared" si="54"/>
        <v/>
      </c>
      <c r="CA45" s="385" t="str">
        <f t="shared" si="55"/>
        <v/>
      </c>
      <c r="CB45" s="385" t="str">
        <f t="shared" si="56"/>
        <v/>
      </c>
      <c r="CC45" s="385" t="str">
        <f t="shared" si="57"/>
        <v/>
      </c>
      <c r="CD45" s="385" t="str">
        <f t="shared" si="58"/>
        <v/>
      </c>
      <c r="CE45" s="385" t="str">
        <f t="shared" si="59"/>
        <v/>
      </c>
      <c r="CF45" s="385" t="str">
        <f t="shared" si="60"/>
        <v/>
      </c>
      <c r="CG45" s="385" t="str">
        <f t="shared" si="61"/>
        <v/>
      </c>
      <c r="CH45" s="385" t="str">
        <f t="shared" si="62"/>
        <v/>
      </c>
      <c r="CI45" s="385" t="str">
        <f t="shared" si="63"/>
        <v/>
      </c>
      <c r="CJ45" s="385" t="str">
        <f t="shared" si="64"/>
        <v/>
      </c>
      <c r="CK45" s="385" t="str">
        <f t="shared" si="65"/>
        <v/>
      </c>
      <c r="CL45" s="385" t="str">
        <f t="shared" si="66"/>
        <v/>
      </c>
      <c r="CM45" s="385" t="str">
        <f t="shared" si="67"/>
        <v/>
      </c>
      <c r="CN45" s="385" t="str">
        <f t="shared" si="68"/>
        <v/>
      </c>
      <c r="CO45" s="385" t="str">
        <f t="shared" si="69"/>
        <v/>
      </c>
      <c r="CP45" s="385" t="str">
        <f t="shared" si="70"/>
        <v/>
      </c>
      <c r="CQ45" s="385" t="str">
        <f t="shared" si="71"/>
        <v/>
      </c>
      <c r="CR45" s="385" t="str">
        <f t="shared" si="72"/>
        <v/>
      </c>
      <c r="CS45" s="385" t="str">
        <f t="shared" si="73"/>
        <v/>
      </c>
      <c r="CT45" s="385" t="str">
        <f t="shared" si="74"/>
        <v/>
      </c>
      <c r="CU45" s="385" t="str">
        <f t="shared" si="75"/>
        <v/>
      </c>
      <c r="CV45" s="385" t="str">
        <f t="shared" si="76"/>
        <v/>
      </c>
      <c r="CW45" s="385" t="str">
        <f t="shared" si="77"/>
        <v/>
      </c>
      <c r="CX45" s="385" t="str">
        <f t="shared" si="78"/>
        <v/>
      </c>
      <c r="CY45" s="385" t="str">
        <f t="shared" si="79"/>
        <v/>
      </c>
      <c r="CZ45" s="385" t="str">
        <f t="shared" si="80"/>
        <v/>
      </c>
      <c r="DA45" s="385" t="str">
        <f t="shared" si="81"/>
        <v/>
      </c>
      <c r="DB45" s="385" t="str">
        <f t="shared" si="82"/>
        <v/>
      </c>
      <c r="DC45" s="385" t="str">
        <f t="shared" si="83"/>
        <v/>
      </c>
      <c r="DD45" s="385" t="str">
        <f t="shared" si="84"/>
        <v/>
      </c>
      <c r="DE45" s="385" t="str">
        <f t="shared" si="85"/>
        <v/>
      </c>
      <c r="DF45" s="385" t="str">
        <f t="shared" si="86"/>
        <v/>
      </c>
      <c r="DG45" s="385" t="str">
        <f t="shared" si="87"/>
        <v/>
      </c>
      <c r="DH45" s="385" t="str">
        <f t="shared" si="88"/>
        <v/>
      </c>
      <c r="DI45" s="385" t="str">
        <f t="shared" si="89"/>
        <v/>
      </c>
    </row>
    <row r="46" spans="1:113" ht="34" x14ac:dyDescent="0.35">
      <c r="A46" s="21" t="s">
        <v>902</v>
      </c>
      <c r="B46" s="396">
        <f>'Appoggio_BIA Servizio'!$B$5</f>
        <v>0</v>
      </c>
      <c r="C46" s="392" t="s">
        <v>850</v>
      </c>
      <c r="D46" s="392" t="s">
        <v>903</v>
      </c>
      <c r="E46" s="393" t="s">
        <v>904</v>
      </c>
      <c r="F46" s="240" t="s">
        <v>663</v>
      </c>
      <c r="G46" s="240" t="s">
        <v>655</v>
      </c>
      <c r="H46" s="240"/>
      <c r="I46" s="240">
        <v>0.4</v>
      </c>
      <c r="J46" s="240">
        <v>0.4</v>
      </c>
      <c r="K46" s="240">
        <v>0.4</v>
      </c>
      <c r="L46" s="394"/>
      <c r="M46" s="240"/>
      <c r="N46" s="240">
        <v>0.4</v>
      </c>
      <c r="O46" s="394"/>
      <c r="P46" s="394"/>
      <c r="Q46" s="240"/>
      <c r="R46" s="240">
        <v>0.4</v>
      </c>
      <c r="S46" s="394"/>
      <c r="T46" s="394"/>
      <c r="U46" s="394"/>
      <c r="V46" s="394">
        <v>0.4</v>
      </c>
      <c r="W46" s="394"/>
      <c r="X46" s="394"/>
      <c r="Y46" s="394"/>
      <c r="Z46" s="394"/>
      <c r="AA46" s="394"/>
      <c r="AB46" s="240"/>
      <c r="AC46" s="394"/>
      <c r="AD46" s="394"/>
      <c r="AE46" s="395"/>
      <c r="AF46" s="395"/>
      <c r="AG46" s="395"/>
      <c r="AH46" s="395"/>
      <c r="AI46" s="395"/>
      <c r="AJ46" s="395"/>
      <c r="AK46" s="395"/>
      <c r="AL46" s="395"/>
      <c r="AM46" s="395">
        <v>1</v>
      </c>
      <c r="AN46" s="395"/>
      <c r="AO46" s="395"/>
      <c r="AP46" s="395"/>
      <c r="AQ46" s="395"/>
      <c r="AR46" s="395"/>
      <c r="AS46" s="395"/>
      <c r="AT46" s="395"/>
      <c r="AU46" s="395"/>
      <c r="AV46" s="395"/>
      <c r="AW46" s="395">
        <v>1</v>
      </c>
      <c r="AX46" s="395"/>
      <c r="AY46" s="395"/>
      <c r="AZ46" s="395"/>
      <c r="BA46" s="395"/>
      <c r="BB46" s="395"/>
      <c r="BC46" s="395"/>
      <c r="BD46" s="395"/>
      <c r="BE46" s="395"/>
      <c r="BF46" s="225">
        <f t="shared" si="90"/>
        <v>0</v>
      </c>
      <c r="BG46" s="226" t="str">
        <f t="shared" si="91"/>
        <v>Non Applicabile</v>
      </c>
      <c r="BH46" s="226" t="s">
        <v>693</v>
      </c>
      <c r="BI46" s="228"/>
      <c r="BJ46" s="229"/>
      <c r="BK46" s="227"/>
      <c r="BL46" s="324" t="s">
        <v>905</v>
      </c>
      <c r="BM46" s="324" t="s">
        <v>906</v>
      </c>
      <c r="BN46" s="324" t="s">
        <v>907</v>
      </c>
      <c r="BO46" s="330"/>
      <c r="BP46" s="385" t="str">
        <f>IF(G46="X",
   IF(BG46="Applicabile",
      IF(BJ46&lt;&gt;"",
         _xlfn.XLOOKUP($BJ46,Parametri_RA!$B:$B,Parametri_RA!$D:$D,0),
         0),
      ""),
   "")</f>
        <v/>
      </c>
      <c r="BQ46" s="385" t="str">
        <f>IF(H46="X",
   IF(BG46="Applicabile",
      IF(BJ46&lt;&gt;"",
         _xlfn.XLOOKUP($BJ46,Parametri_RA!$B:$B,Parametri_RA!$D:$D,0),
         0),
      ""),
   "")</f>
        <v/>
      </c>
      <c r="BR46" s="385" t="str">
        <f t="shared" si="46"/>
        <v/>
      </c>
      <c r="BS46" s="385" t="str">
        <f t="shared" si="47"/>
        <v/>
      </c>
      <c r="BT46" s="385" t="str">
        <f t="shared" si="48"/>
        <v/>
      </c>
      <c r="BU46" s="385" t="str">
        <f t="shared" si="49"/>
        <v/>
      </c>
      <c r="BV46" s="385" t="str">
        <f t="shared" si="50"/>
        <v/>
      </c>
      <c r="BW46" s="385" t="str">
        <f t="shared" si="51"/>
        <v/>
      </c>
      <c r="BX46" s="385" t="str">
        <f t="shared" si="52"/>
        <v/>
      </c>
      <c r="BY46" s="385" t="str">
        <f t="shared" si="53"/>
        <v/>
      </c>
      <c r="BZ46" s="385" t="str">
        <f t="shared" si="54"/>
        <v/>
      </c>
      <c r="CA46" s="385" t="str">
        <f t="shared" si="55"/>
        <v/>
      </c>
      <c r="CB46" s="385" t="str">
        <f t="shared" si="56"/>
        <v/>
      </c>
      <c r="CC46" s="385" t="str">
        <f t="shared" si="57"/>
        <v/>
      </c>
      <c r="CD46" s="385" t="str">
        <f t="shared" si="58"/>
        <v/>
      </c>
      <c r="CE46" s="385" t="str">
        <f t="shared" si="59"/>
        <v/>
      </c>
      <c r="CF46" s="385" t="str">
        <f t="shared" si="60"/>
        <v/>
      </c>
      <c r="CG46" s="385" t="str">
        <f t="shared" si="61"/>
        <v/>
      </c>
      <c r="CH46" s="385" t="str">
        <f t="shared" si="62"/>
        <v/>
      </c>
      <c r="CI46" s="385" t="str">
        <f t="shared" si="63"/>
        <v/>
      </c>
      <c r="CJ46" s="385" t="str">
        <f t="shared" si="64"/>
        <v/>
      </c>
      <c r="CK46" s="385" t="str">
        <f t="shared" si="65"/>
        <v/>
      </c>
      <c r="CL46" s="385" t="str">
        <f t="shared" si="66"/>
        <v/>
      </c>
      <c r="CM46" s="385" t="str">
        <f t="shared" si="67"/>
        <v/>
      </c>
      <c r="CN46" s="385" t="str">
        <f t="shared" si="68"/>
        <v/>
      </c>
      <c r="CO46" s="385" t="str">
        <f t="shared" si="69"/>
        <v/>
      </c>
      <c r="CP46" s="385" t="str">
        <f t="shared" si="70"/>
        <v/>
      </c>
      <c r="CQ46" s="385" t="str">
        <f t="shared" si="71"/>
        <v/>
      </c>
      <c r="CR46" s="385" t="str">
        <f t="shared" si="72"/>
        <v/>
      </c>
      <c r="CS46" s="385" t="str">
        <f t="shared" si="73"/>
        <v/>
      </c>
      <c r="CT46" s="385" t="str">
        <f t="shared" si="74"/>
        <v/>
      </c>
      <c r="CU46" s="385" t="str">
        <f t="shared" si="75"/>
        <v/>
      </c>
      <c r="CV46" s="385" t="str">
        <f t="shared" si="76"/>
        <v/>
      </c>
      <c r="CW46" s="385" t="str">
        <f t="shared" si="77"/>
        <v/>
      </c>
      <c r="CX46" s="385" t="str">
        <f t="shared" si="78"/>
        <v/>
      </c>
      <c r="CY46" s="385" t="str">
        <f t="shared" si="79"/>
        <v/>
      </c>
      <c r="CZ46" s="385" t="str">
        <f t="shared" si="80"/>
        <v/>
      </c>
      <c r="DA46" s="385" t="str">
        <f t="shared" si="81"/>
        <v/>
      </c>
      <c r="DB46" s="385" t="str">
        <f t="shared" si="82"/>
        <v/>
      </c>
      <c r="DC46" s="385" t="str">
        <f t="shared" si="83"/>
        <v/>
      </c>
      <c r="DD46" s="385" t="str">
        <f t="shared" si="84"/>
        <v/>
      </c>
      <c r="DE46" s="385" t="str">
        <f t="shared" si="85"/>
        <v/>
      </c>
      <c r="DF46" s="385" t="str">
        <f t="shared" si="86"/>
        <v/>
      </c>
      <c r="DG46" s="385" t="str">
        <f t="shared" si="87"/>
        <v/>
      </c>
      <c r="DH46" s="385" t="str">
        <f t="shared" si="88"/>
        <v/>
      </c>
      <c r="DI46" s="385" t="str">
        <f t="shared" si="89"/>
        <v/>
      </c>
    </row>
    <row r="47" spans="1:113" ht="51" x14ac:dyDescent="0.35">
      <c r="A47" s="21" t="s">
        <v>908</v>
      </c>
      <c r="B47" s="396">
        <f>'Appoggio_BIA Servizio'!$B$5</f>
        <v>0</v>
      </c>
      <c r="C47" s="392" t="s">
        <v>850</v>
      </c>
      <c r="D47" s="392" t="s">
        <v>909</v>
      </c>
      <c r="E47" s="393" t="s">
        <v>910</v>
      </c>
      <c r="F47" s="240" t="s">
        <v>663</v>
      </c>
      <c r="G47" s="240" t="s">
        <v>655</v>
      </c>
      <c r="H47" s="240"/>
      <c r="I47" s="240">
        <v>0.7</v>
      </c>
      <c r="J47" s="240">
        <v>0.7</v>
      </c>
      <c r="K47" s="240">
        <v>0.7</v>
      </c>
      <c r="L47" s="240"/>
      <c r="M47" s="240">
        <v>0.4</v>
      </c>
      <c r="N47" s="240"/>
      <c r="O47" s="397"/>
      <c r="P47" s="240">
        <v>0.4</v>
      </c>
      <c r="Q47" s="240">
        <v>0.7</v>
      </c>
      <c r="R47" s="240">
        <v>0.7</v>
      </c>
      <c r="S47" s="240">
        <v>0.7</v>
      </c>
      <c r="T47" s="394"/>
      <c r="U47" s="394">
        <v>0.7</v>
      </c>
      <c r="V47" s="394">
        <v>0.7</v>
      </c>
      <c r="W47" s="394"/>
      <c r="X47" s="394"/>
      <c r="Y47" s="394"/>
      <c r="Z47" s="394"/>
      <c r="AA47" s="394"/>
      <c r="AB47" s="240"/>
      <c r="AC47" s="394"/>
      <c r="AD47" s="394"/>
      <c r="AE47" s="395"/>
      <c r="AF47" s="395"/>
      <c r="AG47" s="395"/>
      <c r="AH47" s="395"/>
      <c r="AI47" s="395"/>
      <c r="AJ47" s="395"/>
      <c r="AK47" s="395"/>
      <c r="AL47" s="395"/>
      <c r="AM47" s="395"/>
      <c r="AN47" s="395"/>
      <c r="AO47" s="395"/>
      <c r="AP47" s="395"/>
      <c r="AQ47" s="395"/>
      <c r="AR47" s="395"/>
      <c r="AS47" s="395"/>
      <c r="AT47" s="395"/>
      <c r="AU47" s="395"/>
      <c r="AV47" s="395"/>
      <c r="AW47" s="395">
        <v>1</v>
      </c>
      <c r="AX47" s="395"/>
      <c r="AY47" s="395"/>
      <c r="AZ47" s="395"/>
      <c r="BA47" s="395"/>
      <c r="BB47" s="395"/>
      <c r="BC47" s="395"/>
      <c r="BD47" s="395"/>
      <c r="BE47" s="395"/>
      <c r="BF47" s="225">
        <f t="shared" si="90"/>
        <v>0</v>
      </c>
      <c r="BG47" s="226" t="str">
        <f t="shared" si="91"/>
        <v>Non Applicabile</v>
      </c>
      <c r="BH47" s="226" t="s">
        <v>693</v>
      </c>
      <c r="BI47" s="228"/>
      <c r="BJ47" s="229"/>
      <c r="BK47" s="227"/>
      <c r="BL47" s="324" t="s">
        <v>911</v>
      </c>
      <c r="BM47" s="324" t="s">
        <v>912</v>
      </c>
      <c r="BN47" s="324" t="s">
        <v>913</v>
      </c>
      <c r="BO47" s="330"/>
      <c r="BP47" s="385" t="str">
        <f>IF(G47="X",
   IF(BG47="Applicabile",
      IF(BJ47&lt;&gt;"",
         _xlfn.XLOOKUP($BJ47,Parametri_RA!$B:$B,Parametri_RA!$D:$D,0),
         0),
      ""),
   "")</f>
        <v/>
      </c>
      <c r="BQ47" s="385" t="str">
        <f>IF(H47="X",
   IF(BG47="Applicabile",
      IF(BJ47&lt;&gt;"",
         _xlfn.XLOOKUP($BJ47,Parametri_RA!$B:$B,Parametri_RA!$D:$D,0),
         0),
      ""),
   "")</f>
        <v/>
      </c>
      <c r="BR47" s="385" t="str">
        <f t="shared" si="46"/>
        <v/>
      </c>
      <c r="BS47" s="385" t="str">
        <f t="shared" si="47"/>
        <v/>
      </c>
      <c r="BT47" s="385" t="str">
        <f t="shared" si="48"/>
        <v/>
      </c>
      <c r="BU47" s="385" t="str">
        <f t="shared" si="49"/>
        <v/>
      </c>
      <c r="BV47" s="385" t="str">
        <f t="shared" si="50"/>
        <v/>
      </c>
      <c r="BW47" s="385" t="str">
        <f t="shared" si="51"/>
        <v/>
      </c>
      <c r="BX47" s="385" t="str">
        <f t="shared" si="52"/>
        <v/>
      </c>
      <c r="BY47" s="385" t="str">
        <f t="shared" si="53"/>
        <v/>
      </c>
      <c r="BZ47" s="385" t="str">
        <f t="shared" si="54"/>
        <v/>
      </c>
      <c r="CA47" s="385" t="str">
        <f t="shared" si="55"/>
        <v/>
      </c>
      <c r="CB47" s="385" t="str">
        <f t="shared" si="56"/>
        <v/>
      </c>
      <c r="CC47" s="385" t="str">
        <f t="shared" si="57"/>
        <v/>
      </c>
      <c r="CD47" s="385" t="str">
        <f t="shared" si="58"/>
        <v/>
      </c>
      <c r="CE47" s="385" t="str">
        <f t="shared" si="59"/>
        <v/>
      </c>
      <c r="CF47" s="385" t="str">
        <f t="shared" si="60"/>
        <v/>
      </c>
      <c r="CG47" s="385" t="str">
        <f t="shared" si="61"/>
        <v/>
      </c>
      <c r="CH47" s="385" t="str">
        <f t="shared" si="62"/>
        <v/>
      </c>
      <c r="CI47" s="385" t="str">
        <f t="shared" si="63"/>
        <v/>
      </c>
      <c r="CJ47" s="385" t="str">
        <f t="shared" si="64"/>
        <v/>
      </c>
      <c r="CK47" s="385" t="str">
        <f t="shared" si="65"/>
        <v/>
      </c>
      <c r="CL47" s="385" t="str">
        <f t="shared" si="66"/>
        <v/>
      </c>
      <c r="CM47" s="385" t="str">
        <f t="shared" si="67"/>
        <v/>
      </c>
      <c r="CN47" s="385" t="str">
        <f t="shared" si="68"/>
        <v/>
      </c>
      <c r="CO47" s="385" t="str">
        <f t="shared" si="69"/>
        <v/>
      </c>
      <c r="CP47" s="385" t="str">
        <f t="shared" si="70"/>
        <v/>
      </c>
      <c r="CQ47" s="385" t="str">
        <f t="shared" si="71"/>
        <v/>
      </c>
      <c r="CR47" s="385" t="str">
        <f t="shared" si="72"/>
        <v/>
      </c>
      <c r="CS47" s="385" t="str">
        <f t="shared" si="73"/>
        <v/>
      </c>
      <c r="CT47" s="385" t="str">
        <f t="shared" si="74"/>
        <v/>
      </c>
      <c r="CU47" s="385" t="str">
        <f t="shared" si="75"/>
        <v/>
      </c>
      <c r="CV47" s="385" t="str">
        <f t="shared" si="76"/>
        <v/>
      </c>
      <c r="CW47" s="385" t="str">
        <f t="shared" si="77"/>
        <v/>
      </c>
      <c r="CX47" s="385" t="str">
        <f t="shared" si="78"/>
        <v/>
      </c>
      <c r="CY47" s="385" t="str">
        <f t="shared" si="79"/>
        <v/>
      </c>
      <c r="CZ47" s="385" t="str">
        <f t="shared" si="80"/>
        <v/>
      </c>
      <c r="DA47" s="385" t="str">
        <f t="shared" si="81"/>
        <v/>
      </c>
      <c r="DB47" s="385" t="str">
        <f t="shared" si="82"/>
        <v/>
      </c>
      <c r="DC47" s="385" t="str">
        <f t="shared" si="83"/>
        <v/>
      </c>
      <c r="DD47" s="385" t="str">
        <f t="shared" si="84"/>
        <v/>
      </c>
      <c r="DE47" s="385" t="str">
        <f t="shared" si="85"/>
        <v/>
      </c>
      <c r="DF47" s="385" t="str">
        <f t="shared" si="86"/>
        <v/>
      </c>
      <c r="DG47" s="385" t="str">
        <f t="shared" si="87"/>
        <v/>
      </c>
      <c r="DH47" s="385" t="str">
        <f t="shared" si="88"/>
        <v/>
      </c>
      <c r="DI47" s="385" t="str">
        <f t="shared" si="89"/>
        <v/>
      </c>
    </row>
    <row r="48" spans="1:113" ht="99" x14ac:dyDescent="0.35">
      <c r="A48" s="21" t="s">
        <v>914</v>
      </c>
      <c r="B48" s="396">
        <f>'Appoggio_BIA Servizio'!$B$5</f>
        <v>0</v>
      </c>
      <c r="C48" s="392" t="s">
        <v>915</v>
      </c>
      <c r="D48" s="392" t="s">
        <v>916</v>
      </c>
      <c r="E48" s="393" t="s">
        <v>917</v>
      </c>
      <c r="F48" s="240" t="s">
        <v>671</v>
      </c>
      <c r="G48" s="240" t="s">
        <v>655</v>
      </c>
      <c r="H48" s="240" t="s">
        <v>655</v>
      </c>
      <c r="I48" s="240">
        <v>0.7</v>
      </c>
      <c r="J48" s="240">
        <v>0.7</v>
      </c>
      <c r="K48" s="240">
        <v>0.7</v>
      </c>
      <c r="L48" s="394"/>
      <c r="M48" s="240">
        <v>0.7</v>
      </c>
      <c r="N48" s="240">
        <v>0.7</v>
      </c>
      <c r="O48" s="394"/>
      <c r="P48" s="394">
        <v>0.7</v>
      </c>
      <c r="Q48" s="240"/>
      <c r="R48" s="394"/>
      <c r="S48" s="394"/>
      <c r="T48" s="394">
        <v>0.7</v>
      </c>
      <c r="U48" s="394">
        <v>0.7</v>
      </c>
      <c r="V48" s="394">
        <v>0.7</v>
      </c>
      <c r="W48" s="394"/>
      <c r="X48" s="394"/>
      <c r="Y48" s="394"/>
      <c r="Z48" s="394"/>
      <c r="AA48" s="394"/>
      <c r="AB48" s="240"/>
      <c r="AC48" s="394"/>
      <c r="AD48" s="394"/>
      <c r="AE48" s="395"/>
      <c r="AF48" s="395"/>
      <c r="AG48" s="395"/>
      <c r="AH48" s="395"/>
      <c r="AI48" s="395"/>
      <c r="AJ48" s="395"/>
      <c r="AK48" s="395"/>
      <c r="AL48" s="395"/>
      <c r="AM48" s="395">
        <v>1</v>
      </c>
      <c r="AN48" s="395"/>
      <c r="AO48" s="395">
        <v>1</v>
      </c>
      <c r="AP48" s="395"/>
      <c r="AQ48" s="395"/>
      <c r="AR48" s="395"/>
      <c r="AS48" s="395"/>
      <c r="AT48" s="395"/>
      <c r="AU48" s="395"/>
      <c r="AV48" s="395"/>
      <c r="AW48" s="395">
        <v>1</v>
      </c>
      <c r="AX48" s="395">
        <v>1</v>
      </c>
      <c r="AY48" s="395"/>
      <c r="AZ48" s="395"/>
      <c r="BA48" s="395"/>
      <c r="BB48" s="395"/>
      <c r="BC48" s="395"/>
      <c r="BD48" s="395"/>
      <c r="BE48" s="395"/>
      <c r="BF48" s="225">
        <f t="shared" si="90"/>
        <v>0</v>
      </c>
      <c r="BG48" s="226" t="str">
        <f t="shared" si="91"/>
        <v>Non Applicabile</v>
      </c>
      <c r="BH48" s="226" t="s">
        <v>693</v>
      </c>
      <c r="BI48" s="228"/>
      <c r="BJ48" s="229"/>
      <c r="BK48" s="227"/>
      <c r="BL48" s="324" t="s">
        <v>918</v>
      </c>
      <c r="BM48" s="324" t="s">
        <v>919</v>
      </c>
      <c r="BN48" s="324" t="s">
        <v>920</v>
      </c>
      <c r="BO48" s="330"/>
      <c r="BP48" s="385" t="str">
        <f>IF(G48="X",
   IF(BG48="Applicabile",
      IF(BJ48&lt;&gt;"",
         _xlfn.XLOOKUP($BJ48,Parametri_RA!$B:$B,Parametri_RA!$D:$D,0),
         0),
      ""),
   "")</f>
        <v/>
      </c>
      <c r="BQ48" s="385" t="str">
        <f>IF(H48="X",
   IF(BG48="Applicabile",
      IF(BJ48&lt;&gt;"",
         _xlfn.XLOOKUP($BJ48,Parametri_RA!$B:$B,Parametri_RA!$D:$D,0),
         0),
      ""),
   "")</f>
        <v/>
      </c>
      <c r="BR48" s="385" t="str">
        <f t="shared" si="46"/>
        <v/>
      </c>
      <c r="BS48" s="385" t="str">
        <f t="shared" si="47"/>
        <v/>
      </c>
      <c r="BT48" s="385" t="str">
        <f t="shared" si="48"/>
        <v/>
      </c>
      <c r="BU48" s="385" t="str">
        <f t="shared" si="49"/>
        <v/>
      </c>
      <c r="BV48" s="385" t="str">
        <f t="shared" si="50"/>
        <v/>
      </c>
      <c r="BW48" s="385" t="str">
        <f t="shared" si="51"/>
        <v/>
      </c>
      <c r="BX48" s="385" t="str">
        <f t="shared" si="52"/>
        <v/>
      </c>
      <c r="BY48" s="385" t="str">
        <f t="shared" si="53"/>
        <v/>
      </c>
      <c r="BZ48" s="385" t="str">
        <f t="shared" si="54"/>
        <v/>
      </c>
      <c r="CA48" s="385" t="str">
        <f t="shared" si="55"/>
        <v/>
      </c>
      <c r="CB48" s="385" t="str">
        <f t="shared" si="56"/>
        <v/>
      </c>
      <c r="CC48" s="385" t="str">
        <f t="shared" si="57"/>
        <v/>
      </c>
      <c r="CD48" s="385" t="str">
        <f t="shared" si="58"/>
        <v/>
      </c>
      <c r="CE48" s="385" t="str">
        <f t="shared" si="59"/>
        <v/>
      </c>
      <c r="CF48" s="385" t="str">
        <f t="shared" si="60"/>
        <v/>
      </c>
      <c r="CG48" s="385" t="str">
        <f t="shared" si="61"/>
        <v/>
      </c>
      <c r="CH48" s="385" t="str">
        <f t="shared" si="62"/>
        <v/>
      </c>
      <c r="CI48" s="385" t="str">
        <f t="shared" si="63"/>
        <v/>
      </c>
      <c r="CJ48" s="385" t="str">
        <f t="shared" si="64"/>
        <v/>
      </c>
      <c r="CK48" s="385" t="str">
        <f t="shared" si="65"/>
        <v/>
      </c>
      <c r="CL48" s="385" t="str">
        <f t="shared" si="66"/>
        <v/>
      </c>
      <c r="CM48" s="385" t="str">
        <f t="shared" si="67"/>
        <v/>
      </c>
      <c r="CN48" s="385" t="str">
        <f t="shared" si="68"/>
        <v/>
      </c>
      <c r="CO48" s="385" t="str">
        <f t="shared" si="69"/>
        <v/>
      </c>
      <c r="CP48" s="385" t="str">
        <f t="shared" si="70"/>
        <v/>
      </c>
      <c r="CQ48" s="385" t="str">
        <f t="shared" si="71"/>
        <v/>
      </c>
      <c r="CR48" s="385" t="str">
        <f t="shared" si="72"/>
        <v/>
      </c>
      <c r="CS48" s="385" t="str">
        <f t="shared" si="73"/>
        <v/>
      </c>
      <c r="CT48" s="385" t="str">
        <f t="shared" si="74"/>
        <v/>
      </c>
      <c r="CU48" s="385" t="str">
        <f t="shared" si="75"/>
        <v/>
      </c>
      <c r="CV48" s="385" t="str">
        <f t="shared" si="76"/>
        <v/>
      </c>
      <c r="CW48" s="385" t="str">
        <f t="shared" si="77"/>
        <v/>
      </c>
      <c r="CX48" s="385" t="str">
        <f t="shared" si="78"/>
        <v/>
      </c>
      <c r="CY48" s="385" t="str">
        <f t="shared" si="79"/>
        <v/>
      </c>
      <c r="CZ48" s="385" t="str">
        <f t="shared" si="80"/>
        <v/>
      </c>
      <c r="DA48" s="385" t="str">
        <f t="shared" si="81"/>
        <v/>
      </c>
      <c r="DB48" s="385" t="str">
        <f t="shared" si="82"/>
        <v/>
      </c>
      <c r="DC48" s="385" t="str">
        <f t="shared" si="83"/>
        <v/>
      </c>
      <c r="DD48" s="385" t="str">
        <f t="shared" si="84"/>
        <v/>
      </c>
      <c r="DE48" s="385" t="str">
        <f t="shared" si="85"/>
        <v/>
      </c>
      <c r="DF48" s="385" t="str">
        <f t="shared" si="86"/>
        <v/>
      </c>
      <c r="DG48" s="385" t="str">
        <f t="shared" si="87"/>
        <v/>
      </c>
      <c r="DH48" s="385" t="str">
        <f t="shared" si="88"/>
        <v/>
      </c>
      <c r="DI48" s="385" t="str">
        <f t="shared" si="89"/>
        <v/>
      </c>
    </row>
    <row r="49" spans="1:113" ht="102" x14ac:dyDescent="0.35">
      <c r="A49" s="21" t="s">
        <v>921</v>
      </c>
      <c r="B49" s="396">
        <f>'Appoggio_BIA Servizio'!$B$5</f>
        <v>0</v>
      </c>
      <c r="C49" s="392" t="s">
        <v>915</v>
      </c>
      <c r="D49" s="392" t="s">
        <v>922</v>
      </c>
      <c r="E49" s="393" t="s">
        <v>923</v>
      </c>
      <c r="F49" s="240" t="s">
        <v>654</v>
      </c>
      <c r="G49" s="240" t="s">
        <v>655</v>
      </c>
      <c r="H49" s="240" t="s">
        <v>655</v>
      </c>
      <c r="I49" s="240">
        <v>1</v>
      </c>
      <c r="J49" s="240">
        <v>1</v>
      </c>
      <c r="K49" s="240">
        <v>1</v>
      </c>
      <c r="L49" s="394"/>
      <c r="M49" s="240">
        <v>0.7</v>
      </c>
      <c r="N49" s="240">
        <v>1</v>
      </c>
      <c r="O49" s="394"/>
      <c r="P49" s="394">
        <v>1</v>
      </c>
      <c r="Q49" s="240">
        <v>0.7</v>
      </c>
      <c r="R49" s="394"/>
      <c r="S49" s="394"/>
      <c r="T49" s="394">
        <v>0.7</v>
      </c>
      <c r="U49" s="394"/>
      <c r="V49" s="394">
        <v>1</v>
      </c>
      <c r="W49" s="394"/>
      <c r="X49" s="394"/>
      <c r="Y49" s="394"/>
      <c r="Z49" s="394"/>
      <c r="AA49" s="394"/>
      <c r="AB49" s="240"/>
      <c r="AC49" s="394"/>
      <c r="AD49" s="394"/>
      <c r="AE49" s="395"/>
      <c r="AF49" s="395"/>
      <c r="AG49" s="395"/>
      <c r="AH49" s="395"/>
      <c r="AI49" s="395"/>
      <c r="AJ49" s="395"/>
      <c r="AK49" s="395"/>
      <c r="AL49" s="395"/>
      <c r="AM49" s="395">
        <v>1</v>
      </c>
      <c r="AN49" s="395">
        <v>1</v>
      </c>
      <c r="AO49" s="395"/>
      <c r="AP49" s="395"/>
      <c r="AQ49" s="395"/>
      <c r="AR49" s="395"/>
      <c r="AS49" s="395"/>
      <c r="AT49" s="395"/>
      <c r="AU49" s="395"/>
      <c r="AV49" s="395"/>
      <c r="AW49" s="395">
        <v>1</v>
      </c>
      <c r="AX49" s="395">
        <v>1</v>
      </c>
      <c r="AY49" s="395"/>
      <c r="AZ49" s="395"/>
      <c r="BA49" s="395"/>
      <c r="BB49" s="395"/>
      <c r="BC49" s="395"/>
      <c r="BD49" s="395"/>
      <c r="BE49" s="395"/>
      <c r="BF49" s="225">
        <f t="shared" si="90"/>
        <v>0</v>
      </c>
      <c r="BG49" s="226" t="str">
        <f t="shared" si="91"/>
        <v>Non Applicabile</v>
      </c>
      <c r="BH49" s="226" t="s">
        <v>693</v>
      </c>
      <c r="BI49" s="226"/>
      <c r="BJ49" s="229"/>
      <c r="BK49" s="227"/>
      <c r="BL49" s="324" t="s">
        <v>924</v>
      </c>
      <c r="BM49" s="324" t="s">
        <v>925</v>
      </c>
      <c r="BN49" s="324" t="s">
        <v>926</v>
      </c>
      <c r="BO49" s="330"/>
      <c r="BP49" s="385" t="str">
        <f>IF(G49="X",
   IF(BG49="Applicabile",
      IF(BJ49&lt;&gt;"",
         _xlfn.XLOOKUP($BJ49,Parametri_RA!$B:$B,Parametri_RA!$D:$D,0),
         0),
      ""),
   "")</f>
        <v/>
      </c>
      <c r="BQ49" s="385" t="str">
        <f>IF(H49="X",
   IF(BG49="Applicabile",
      IF(BJ49&lt;&gt;"",
         _xlfn.XLOOKUP($BJ49,Parametri_RA!$B:$B,Parametri_RA!$D:$D,0),
         0),
      ""),
   "")</f>
        <v/>
      </c>
      <c r="BR49" s="385" t="str">
        <f t="shared" si="46"/>
        <v/>
      </c>
      <c r="BS49" s="385" t="str">
        <f t="shared" si="47"/>
        <v/>
      </c>
      <c r="BT49" s="385" t="str">
        <f t="shared" si="48"/>
        <v/>
      </c>
      <c r="BU49" s="385" t="str">
        <f t="shared" si="49"/>
        <v/>
      </c>
      <c r="BV49" s="385" t="str">
        <f t="shared" si="50"/>
        <v/>
      </c>
      <c r="BW49" s="385" t="str">
        <f t="shared" si="51"/>
        <v/>
      </c>
      <c r="BX49" s="385" t="str">
        <f t="shared" si="52"/>
        <v/>
      </c>
      <c r="BY49" s="385" t="str">
        <f t="shared" si="53"/>
        <v/>
      </c>
      <c r="BZ49" s="385" t="str">
        <f t="shared" si="54"/>
        <v/>
      </c>
      <c r="CA49" s="385" t="str">
        <f t="shared" si="55"/>
        <v/>
      </c>
      <c r="CB49" s="385" t="str">
        <f t="shared" si="56"/>
        <v/>
      </c>
      <c r="CC49" s="385" t="str">
        <f t="shared" si="57"/>
        <v/>
      </c>
      <c r="CD49" s="385" t="str">
        <f t="shared" si="58"/>
        <v/>
      </c>
      <c r="CE49" s="385" t="str">
        <f t="shared" si="59"/>
        <v/>
      </c>
      <c r="CF49" s="385" t="str">
        <f t="shared" si="60"/>
        <v/>
      </c>
      <c r="CG49" s="385" t="str">
        <f t="shared" si="61"/>
        <v/>
      </c>
      <c r="CH49" s="385" t="str">
        <f t="shared" si="62"/>
        <v/>
      </c>
      <c r="CI49" s="385" t="str">
        <f t="shared" si="63"/>
        <v/>
      </c>
      <c r="CJ49" s="385" t="str">
        <f t="shared" si="64"/>
        <v/>
      </c>
      <c r="CK49" s="385" t="str">
        <f t="shared" si="65"/>
        <v/>
      </c>
      <c r="CL49" s="385" t="str">
        <f t="shared" si="66"/>
        <v/>
      </c>
      <c r="CM49" s="385" t="str">
        <f t="shared" si="67"/>
        <v/>
      </c>
      <c r="CN49" s="385" t="str">
        <f t="shared" si="68"/>
        <v/>
      </c>
      <c r="CO49" s="385" t="str">
        <f t="shared" si="69"/>
        <v/>
      </c>
      <c r="CP49" s="385" t="str">
        <f t="shared" si="70"/>
        <v/>
      </c>
      <c r="CQ49" s="385" t="str">
        <f t="shared" si="71"/>
        <v/>
      </c>
      <c r="CR49" s="385" t="str">
        <f t="shared" si="72"/>
        <v/>
      </c>
      <c r="CS49" s="385" t="str">
        <f t="shared" si="73"/>
        <v/>
      </c>
      <c r="CT49" s="385" t="str">
        <f t="shared" si="74"/>
        <v/>
      </c>
      <c r="CU49" s="385" t="str">
        <f t="shared" si="75"/>
        <v/>
      </c>
      <c r="CV49" s="385" t="str">
        <f t="shared" si="76"/>
        <v/>
      </c>
      <c r="CW49" s="385" t="str">
        <f t="shared" si="77"/>
        <v/>
      </c>
      <c r="CX49" s="385" t="str">
        <f t="shared" si="78"/>
        <v/>
      </c>
      <c r="CY49" s="385" t="str">
        <f t="shared" si="79"/>
        <v/>
      </c>
      <c r="CZ49" s="385" t="str">
        <f t="shared" si="80"/>
        <v/>
      </c>
      <c r="DA49" s="385" t="str">
        <f t="shared" si="81"/>
        <v/>
      </c>
      <c r="DB49" s="385" t="str">
        <f t="shared" si="82"/>
        <v/>
      </c>
      <c r="DC49" s="385" t="str">
        <f t="shared" si="83"/>
        <v/>
      </c>
      <c r="DD49" s="385" t="str">
        <f t="shared" si="84"/>
        <v/>
      </c>
      <c r="DE49" s="385" t="str">
        <f t="shared" si="85"/>
        <v/>
      </c>
      <c r="DF49" s="385" t="str">
        <f t="shared" si="86"/>
        <v/>
      </c>
      <c r="DG49" s="385" t="str">
        <f t="shared" si="87"/>
        <v/>
      </c>
      <c r="DH49" s="385" t="str">
        <f t="shared" si="88"/>
        <v/>
      </c>
      <c r="DI49" s="385" t="str">
        <f t="shared" si="89"/>
        <v/>
      </c>
    </row>
    <row r="50" spans="1:113" ht="66" x14ac:dyDescent="0.35">
      <c r="A50" s="21" t="s">
        <v>927</v>
      </c>
      <c r="B50" s="396">
        <f>'Appoggio_BIA Servizio'!$B$5</f>
        <v>0</v>
      </c>
      <c r="C50" s="392" t="s">
        <v>928</v>
      </c>
      <c r="D50" s="392" t="s">
        <v>929</v>
      </c>
      <c r="E50" s="393" t="s">
        <v>930</v>
      </c>
      <c r="F50" s="240" t="s">
        <v>663</v>
      </c>
      <c r="G50" s="240" t="s">
        <v>655</v>
      </c>
      <c r="H50" s="240" t="s">
        <v>655</v>
      </c>
      <c r="I50" s="240">
        <v>0.4</v>
      </c>
      <c r="J50" s="240">
        <v>0.4</v>
      </c>
      <c r="K50" s="240">
        <v>0.4</v>
      </c>
      <c r="L50" s="394"/>
      <c r="M50" s="240">
        <v>0.4</v>
      </c>
      <c r="N50" s="240">
        <v>0.4</v>
      </c>
      <c r="O50" s="394"/>
      <c r="P50" s="394"/>
      <c r="Q50" s="240">
        <v>0.4</v>
      </c>
      <c r="R50" s="394">
        <v>0.7</v>
      </c>
      <c r="S50" s="394"/>
      <c r="T50" s="394"/>
      <c r="U50" s="394"/>
      <c r="V50" s="394"/>
      <c r="W50" s="394"/>
      <c r="X50" s="394"/>
      <c r="Y50" s="394"/>
      <c r="Z50" s="394"/>
      <c r="AA50" s="394"/>
      <c r="AB50" s="240"/>
      <c r="AC50" s="394"/>
      <c r="AD50" s="394"/>
      <c r="AE50" s="395"/>
      <c r="AF50" s="395"/>
      <c r="AG50" s="395"/>
      <c r="AH50" s="395"/>
      <c r="AI50" s="395"/>
      <c r="AJ50" s="395"/>
      <c r="AK50" s="395"/>
      <c r="AL50" s="395"/>
      <c r="AM50" s="395">
        <v>1</v>
      </c>
      <c r="AN50" s="395">
        <v>1</v>
      </c>
      <c r="AO50" s="395">
        <v>1</v>
      </c>
      <c r="AP50" s="395"/>
      <c r="AQ50" s="395"/>
      <c r="AR50" s="395"/>
      <c r="AS50" s="395"/>
      <c r="AT50" s="395"/>
      <c r="AU50" s="395"/>
      <c r="AV50" s="395"/>
      <c r="AW50" s="395"/>
      <c r="AX50" s="395"/>
      <c r="AY50" s="395"/>
      <c r="AZ50" s="395"/>
      <c r="BA50" s="395"/>
      <c r="BB50" s="395"/>
      <c r="BC50" s="395"/>
      <c r="BD50" s="395"/>
      <c r="BE50" s="395"/>
      <c r="BF50" s="225">
        <f t="shared" si="90"/>
        <v>0</v>
      </c>
      <c r="BG50" s="226" t="str">
        <f t="shared" si="91"/>
        <v>Non Applicabile</v>
      </c>
      <c r="BH50" s="226" t="s">
        <v>931</v>
      </c>
      <c r="BI50" s="226"/>
      <c r="BJ50" s="229"/>
      <c r="BK50" s="227"/>
      <c r="BL50" s="324" t="s">
        <v>932</v>
      </c>
      <c r="BM50" s="324" t="s">
        <v>933</v>
      </c>
      <c r="BN50" s="324" t="s">
        <v>934</v>
      </c>
      <c r="BO50" s="330"/>
      <c r="BP50" s="385" t="str">
        <f>IF(G50="X",
   IF(BG50="Applicabile",
      IF(BJ50&lt;&gt;"",
         _xlfn.XLOOKUP($BJ50,Parametri_RA!$B:$B,Parametri_RA!$D:$D,0),
         0),
      ""),
   "")</f>
        <v/>
      </c>
      <c r="BQ50" s="385" t="str">
        <f>IF(H50="X",
   IF(BG50="Applicabile",
      IF(BJ50&lt;&gt;"",
         _xlfn.XLOOKUP($BJ50,Parametri_RA!$B:$B,Parametri_RA!$D:$D,0),
         0),
      ""),
   "")</f>
        <v/>
      </c>
      <c r="BR50" s="385" t="str">
        <f t="shared" si="46"/>
        <v/>
      </c>
      <c r="BS50" s="385" t="str">
        <f t="shared" si="47"/>
        <v/>
      </c>
      <c r="BT50" s="385" t="str">
        <f t="shared" si="48"/>
        <v/>
      </c>
      <c r="BU50" s="385" t="str">
        <f t="shared" si="49"/>
        <v/>
      </c>
      <c r="BV50" s="385" t="str">
        <f t="shared" si="50"/>
        <v/>
      </c>
      <c r="BW50" s="385" t="str">
        <f t="shared" si="51"/>
        <v/>
      </c>
      <c r="BX50" s="385" t="str">
        <f t="shared" si="52"/>
        <v/>
      </c>
      <c r="BY50" s="385" t="str">
        <f t="shared" si="53"/>
        <v/>
      </c>
      <c r="BZ50" s="385" t="str">
        <f t="shared" si="54"/>
        <v/>
      </c>
      <c r="CA50" s="385" t="str">
        <f t="shared" si="55"/>
        <v/>
      </c>
      <c r="CB50" s="385" t="str">
        <f t="shared" si="56"/>
        <v/>
      </c>
      <c r="CC50" s="385" t="str">
        <f t="shared" si="57"/>
        <v/>
      </c>
      <c r="CD50" s="385" t="str">
        <f t="shared" si="58"/>
        <v/>
      </c>
      <c r="CE50" s="385" t="str">
        <f t="shared" si="59"/>
        <v/>
      </c>
      <c r="CF50" s="385" t="str">
        <f t="shared" si="60"/>
        <v/>
      </c>
      <c r="CG50" s="385" t="str">
        <f t="shared" si="61"/>
        <v/>
      </c>
      <c r="CH50" s="385" t="str">
        <f t="shared" si="62"/>
        <v/>
      </c>
      <c r="CI50" s="385" t="str">
        <f t="shared" si="63"/>
        <v/>
      </c>
      <c r="CJ50" s="385" t="str">
        <f t="shared" si="64"/>
        <v/>
      </c>
      <c r="CK50" s="385" t="str">
        <f t="shared" si="65"/>
        <v/>
      </c>
      <c r="CL50" s="385" t="str">
        <f t="shared" si="66"/>
        <v/>
      </c>
      <c r="CM50" s="385" t="str">
        <f t="shared" si="67"/>
        <v/>
      </c>
      <c r="CN50" s="385" t="str">
        <f t="shared" si="68"/>
        <v/>
      </c>
      <c r="CO50" s="385" t="str">
        <f t="shared" si="69"/>
        <v/>
      </c>
      <c r="CP50" s="385" t="str">
        <f t="shared" si="70"/>
        <v/>
      </c>
      <c r="CQ50" s="385" t="str">
        <f t="shared" si="71"/>
        <v/>
      </c>
      <c r="CR50" s="385" t="str">
        <f t="shared" si="72"/>
        <v/>
      </c>
      <c r="CS50" s="385" t="str">
        <f t="shared" si="73"/>
        <v/>
      </c>
      <c r="CT50" s="385" t="str">
        <f t="shared" si="74"/>
        <v/>
      </c>
      <c r="CU50" s="385" t="str">
        <f t="shared" si="75"/>
        <v/>
      </c>
      <c r="CV50" s="385" t="str">
        <f t="shared" si="76"/>
        <v/>
      </c>
      <c r="CW50" s="385" t="str">
        <f t="shared" si="77"/>
        <v/>
      </c>
      <c r="CX50" s="385" t="str">
        <f t="shared" si="78"/>
        <v/>
      </c>
      <c r="CY50" s="385" t="str">
        <f t="shared" si="79"/>
        <v/>
      </c>
      <c r="CZ50" s="385" t="str">
        <f t="shared" si="80"/>
        <v/>
      </c>
      <c r="DA50" s="385" t="str">
        <f t="shared" si="81"/>
        <v/>
      </c>
      <c r="DB50" s="385" t="str">
        <f t="shared" si="82"/>
        <v/>
      </c>
      <c r="DC50" s="385" t="str">
        <f t="shared" si="83"/>
        <v/>
      </c>
      <c r="DD50" s="385" t="str">
        <f t="shared" si="84"/>
        <v/>
      </c>
      <c r="DE50" s="385" t="str">
        <f t="shared" si="85"/>
        <v/>
      </c>
      <c r="DF50" s="385" t="str">
        <f t="shared" si="86"/>
        <v/>
      </c>
      <c r="DG50" s="385" t="str">
        <f t="shared" si="87"/>
        <v/>
      </c>
      <c r="DH50" s="385" t="str">
        <f t="shared" si="88"/>
        <v/>
      </c>
      <c r="DI50" s="385" t="str">
        <f t="shared" si="89"/>
        <v/>
      </c>
    </row>
    <row r="51" spans="1:113" ht="66" x14ac:dyDescent="0.35">
      <c r="A51" s="21" t="s">
        <v>935</v>
      </c>
      <c r="B51" s="396">
        <f>'Appoggio_BIA Servizio'!$B$5</f>
        <v>0</v>
      </c>
      <c r="C51" s="392" t="s">
        <v>928</v>
      </c>
      <c r="D51" s="392" t="s">
        <v>936</v>
      </c>
      <c r="E51" s="393" t="s">
        <v>937</v>
      </c>
      <c r="F51" s="240" t="s">
        <v>671</v>
      </c>
      <c r="G51" s="240" t="s">
        <v>655</v>
      </c>
      <c r="H51" s="240" t="s">
        <v>655</v>
      </c>
      <c r="I51" s="240">
        <v>1</v>
      </c>
      <c r="J51" s="240">
        <v>1</v>
      </c>
      <c r="K51" s="240">
        <v>0.7</v>
      </c>
      <c r="L51" s="394"/>
      <c r="M51" s="240">
        <v>0.4</v>
      </c>
      <c r="N51" s="240">
        <v>0.7</v>
      </c>
      <c r="O51" s="394"/>
      <c r="P51" s="394">
        <v>0.7</v>
      </c>
      <c r="Q51" s="240">
        <v>0.4</v>
      </c>
      <c r="R51" s="394"/>
      <c r="S51" s="394">
        <v>0.7</v>
      </c>
      <c r="T51" s="394"/>
      <c r="U51" s="394">
        <v>0.7</v>
      </c>
      <c r="V51" s="394"/>
      <c r="W51" s="394"/>
      <c r="X51" s="394"/>
      <c r="Y51" s="394"/>
      <c r="Z51" s="394"/>
      <c r="AA51" s="394"/>
      <c r="AB51" s="240"/>
      <c r="AC51" s="394"/>
      <c r="AD51" s="394"/>
      <c r="AE51" s="395"/>
      <c r="AF51" s="395"/>
      <c r="AG51" s="395"/>
      <c r="AH51" s="395"/>
      <c r="AI51" s="395"/>
      <c r="AJ51" s="395"/>
      <c r="AK51" s="395"/>
      <c r="AL51" s="395"/>
      <c r="AM51" s="395">
        <v>1</v>
      </c>
      <c r="AN51" s="395">
        <v>1</v>
      </c>
      <c r="AO51" s="395">
        <v>1</v>
      </c>
      <c r="AP51" s="395"/>
      <c r="AQ51" s="395"/>
      <c r="AR51" s="395"/>
      <c r="AS51" s="395"/>
      <c r="AT51" s="395"/>
      <c r="AU51" s="395"/>
      <c r="AV51" s="395"/>
      <c r="AW51" s="395"/>
      <c r="AX51" s="395"/>
      <c r="AY51" s="395"/>
      <c r="AZ51" s="395"/>
      <c r="BA51" s="395"/>
      <c r="BB51" s="395"/>
      <c r="BC51" s="395"/>
      <c r="BD51" s="395"/>
      <c r="BE51" s="395"/>
      <c r="BF51" s="225">
        <f t="shared" si="90"/>
        <v>0</v>
      </c>
      <c r="BG51" s="226" t="str">
        <f t="shared" si="91"/>
        <v>Non Applicabile</v>
      </c>
      <c r="BH51" s="226" t="s">
        <v>693</v>
      </c>
      <c r="BI51" s="228"/>
      <c r="BJ51" s="229"/>
      <c r="BK51" s="227"/>
      <c r="BL51" s="324" t="s">
        <v>938</v>
      </c>
      <c r="BM51" s="324" t="s">
        <v>939</v>
      </c>
      <c r="BN51" s="324" t="s">
        <v>940</v>
      </c>
      <c r="BO51" s="330"/>
      <c r="BP51" s="385" t="str">
        <f>IF(G51="X",
   IF(BG51="Applicabile",
      IF(BJ51&lt;&gt;"",
         _xlfn.XLOOKUP($BJ51,Parametri_RA!$B:$B,Parametri_RA!$D:$D,0),
         0),
      ""),
   "")</f>
        <v/>
      </c>
      <c r="BQ51" s="385" t="str">
        <f>IF(H51="X",
   IF(BG51="Applicabile",
      IF(BJ51&lt;&gt;"",
         _xlfn.XLOOKUP($BJ51,Parametri_RA!$B:$B,Parametri_RA!$D:$D,0),
         0),
      ""),
   "")</f>
        <v/>
      </c>
      <c r="BR51" s="385" t="str">
        <f t="shared" si="46"/>
        <v/>
      </c>
      <c r="BS51" s="385" t="str">
        <f t="shared" si="47"/>
        <v/>
      </c>
      <c r="BT51" s="385" t="str">
        <f t="shared" si="48"/>
        <v/>
      </c>
      <c r="BU51" s="385" t="str">
        <f t="shared" si="49"/>
        <v/>
      </c>
      <c r="BV51" s="385" t="str">
        <f t="shared" si="50"/>
        <v/>
      </c>
      <c r="BW51" s="385" t="str">
        <f t="shared" si="51"/>
        <v/>
      </c>
      <c r="BX51" s="385" t="str">
        <f t="shared" si="52"/>
        <v/>
      </c>
      <c r="BY51" s="385" t="str">
        <f t="shared" si="53"/>
        <v/>
      </c>
      <c r="BZ51" s="385" t="str">
        <f t="shared" si="54"/>
        <v/>
      </c>
      <c r="CA51" s="385" t="str">
        <f t="shared" si="55"/>
        <v/>
      </c>
      <c r="CB51" s="385" t="str">
        <f t="shared" si="56"/>
        <v/>
      </c>
      <c r="CC51" s="385" t="str">
        <f t="shared" si="57"/>
        <v/>
      </c>
      <c r="CD51" s="385" t="str">
        <f t="shared" si="58"/>
        <v/>
      </c>
      <c r="CE51" s="385" t="str">
        <f t="shared" si="59"/>
        <v/>
      </c>
      <c r="CF51" s="385" t="str">
        <f t="shared" si="60"/>
        <v/>
      </c>
      <c r="CG51" s="385" t="str">
        <f t="shared" si="61"/>
        <v/>
      </c>
      <c r="CH51" s="385" t="str">
        <f t="shared" si="62"/>
        <v/>
      </c>
      <c r="CI51" s="385" t="str">
        <f t="shared" si="63"/>
        <v/>
      </c>
      <c r="CJ51" s="385" t="str">
        <f t="shared" si="64"/>
        <v/>
      </c>
      <c r="CK51" s="385" t="str">
        <f t="shared" si="65"/>
        <v/>
      </c>
      <c r="CL51" s="385" t="str">
        <f t="shared" si="66"/>
        <v/>
      </c>
      <c r="CM51" s="385" t="str">
        <f t="shared" si="67"/>
        <v/>
      </c>
      <c r="CN51" s="385" t="str">
        <f t="shared" si="68"/>
        <v/>
      </c>
      <c r="CO51" s="385" t="str">
        <f t="shared" si="69"/>
        <v/>
      </c>
      <c r="CP51" s="385" t="str">
        <f t="shared" si="70"/>
        <v/>
      </c>
      <c r="CQ51" s="385" t="str">
        <f t="shared" si="71"/>
        <v/>
      </c>
      <c r="CR51" s="385" t="str">
        <f t="shared" si="72"/>
        <v/>
      </c>
      <c r="CS51" s="385" t="str">
        <f t="shared" si="73"/>
        <v/>
      </c>
      <c r="CT51" s="385" t="str">
        <f t="shared" si="74"/>
        <v/>
      </c>
      <c r="CU51" s="385" t="str">
        <f t="shared" si="75"/>
        <v/>
      </c>
      <c r="CV51" s="385" t="str">
        <f t="shared" si="76"/>
        <v/>
      </c>
      <c r="CW51" s="385" t="str">
        <f t="shared" si="77"/>
        <v/>
      </c>
      <c r="CX51" s="385" t="str">
        <f t="shared" si="78"/>
        <v/>
      </c>
      <c r="CY51" s="385" t="str">
        <f t="shared" si="79"/>
        <v/>
      </c>
      <c r="CZ51" s="385" t="str">
        <f t="shared" si="80"/>
        <v/>
      </c>
      <c r="DA51" s="385" t="str">
        <f t="shared" si="81"/>
        <v/>
      </c>
      <c r="DB51" s="385" t="str">
        <f t="shared" si="82"/>
        <v/>
      </c>
      <c r="DC51" s="385" t="str">
        <f t="shared" si="83"/>
        <v/>
      </c>
      <c r="DD51" s="385" t="str">
        <f t="shared" si="84"/>
        <v/>
      </c>
      <c r="DE51" s="385" t="str">
        <f t="shared" si="85"/>
        <v/>
      </c>
      <c r="DF51" s="385" t="str">
        <f t="shared" si="86"/>
        <v/>
      </c>
      <c r="DG51" s="385" t="str">
        <f t="shared" si="87"/>
        <v/>
      </c>
      <c r="DH51" s="385" t="str">
        <f t="shared" si="88"/>
        <v/>
      </c>
      <c r="DI51" s="385" t="str">
        <f t="shared" si="89"/>
        <v/>
      </c>
    </row>
    <row r="52" spans="1:113" ht="68" x14ac:dyDescent="0.35">
      <c r="A52" s="21" t="s">
        <v>941</v>
      </c>
      <c r="B52" s="396">
        <f>'Appoggio_BIA Servizio'!$B$5</f>
        <v>0</v>
      </c>
      <c r="C52" s="392" t="s">
        <v>928</v>
      </c>
      <c r="D52" s="392" t="s">
        <v>942</v>
      </c>
      <c r="E52" s="393" t="s">
        <v>943</v>
      </c>
      <c r="F52" s="240" t="s">
        <v>671</v>
      </c>
      <c r="G52" s="240" t="s">
        <v>655</v>
      </c>
      <c r="H52" s="240"/>
      <c r="I52" s="240">
        <v>0.7</v>
      </c>
      <c r="J52" s="240">
        <v>0.7</v>
      </c>
      <c r="K52" s="240">
        <v>0.7</v>
      </c>
      <c r="L52" s="394"/>
      <c r="M52" s="240"/>
      <c r="N52" s="240">
        <v>0.7</v>
      </c>
      <c r="O52" s="394"/>
      <c r="P52" s="394">
        <v>1</v>
      </c>
      <c r="Q52" s="240"/>
      <c r="R52" s="394"/>
      <c r="S52" s="394"/>
      <c r="T52" s="394">
        <v>0.7</v>
      </c>
      <c r="U52" s="394"/>
      <c r="V52" s="394"/>
      <c r="W52" s="394">
        <v>0.4</v>
      </c>
      <c r="X52" s="394"/>
      <c r="Y52" s="394"/>
      <c r="Z52" s="394"/>
      <c r="AA52" s="394"/>
      <c r="AB52" s="240"/>
      <c r="AC52" s="394"/>
      <c r="AD52" s="394"/>
      <c r="AE52" s="395"/>
      <c r="AF52" s="395"/>
      <c r="AG52" s="395"/>
      <c r="AH52" s="395"/>
      <c r="AI52" s="395"/>
      <c r="AJ52" s="395"/>
      <c r="AK52" s="395"/>
      <c r="AL52" s="395"/>
      <c r="AM52" s="395">
        <v>1</v>
      </c>
      <c r="AN52" s="395">
        <v>1</v>
      </c>
      <c r="AO52" s="395">
        <v>1</v>
      </c>
      <c r="AP52" s="395"/>
      <c r="AQ52" s="395"/>
      <c r="AR52" s="395"/>
      <c r="AS52" s="395"/>
      <c r="AT52" s="395"/>
      <c r="AU52" s="395"/>
      <c r="AV52" s="395"/>
      <c r="AW52" s="395"/>
      <c r="AX52" s="395"/>
      <c r="AY52" s="395"/>
      <c r="AZ52" s="395"/>
      <c r="BA52" s="395"/>
      <c r="BB52" s="395"/>
      <c r="BC52" s="395"/>
      <c r="BD52" s="395"/>
      <c r="BE52" s="395"/>
      <c r="BF52" s="225">
        <f t="shared" si="90"/>
        <v>0</v>
      </c>
      <c r="BG52" s="226" t="str">
        <f t="shared" si="91"/>
        <v>Non Applicabile</v>
      </c>
      <c r="BH52" s="226" t="s">
        <v>944</v>
      </c>
      <c r="BI52" s="228"/>
      <c r="BJ52" s="229"/>
      <c r="BK52" s="227"/>
      <c r="BL52" s="324" t="s">
        <v>945</v>
      </c>
      <c r="BM52" s="324" t="s">
        <v>946</v>
      </c>
      <c r="BN52" s="324" t="s">
        <v>947</v>
      </c>
      <c r="BO52" s="330"/>
      <c r="BP52" s="385" t="str">
        <f>IF(G52="X",
   IF(BG52="Applicabile",
      IF(BJ52&lt;&gt;"",
         _xlfn.XLOOKUP($BJ52,Parametri_RA!$B:$B,Parametri_RA!$D:$D,0),
         0),
      ""),
   "")</f>
        <v/>
      </c>
      <c r="BQ52" s="385" t="str">
        <f>IF(H52="X",
   IF(BG52="Applicabile",
      IF(BJ52&lt;&gt;"",
         _xlfn.XLOOKUP($BJ52,Parametri_RA!$B:$B,Parametri_RA!$D:$D,0),
         0),
      ""),
   "")</f>
        <v/>
      </c>
      <c r="BR52" s="385" t="str">
        <f t="shared" si="46"/>
        <v/>
      </c>
      <c r="BS52" s="385" t="str">
        <f t="shared" si="47"/>
        <v/>
      </c>
      <c r="BT52" s="385" t="str">
        <f t="shared" si="48"/>
        <v/>
      </c>
      <c r="BU52" s="385" t="str">
        <f t="shared" si="49"/>
        <v/>
      </c>
      <c r="BV52" s="385" t="str">
        <f t="shared" si="50"/>
        <v/>
      </c>
      <c r="BW52" s="385" t="str">
        <f t="shared" si="51"/>
        <v/>
      </c>
      <c r="BX52" s="385" t="str">
        <f t="shared" si="52"/>
        <v/>
      </c>
      <c r="BY52" s="385" t="str">
        <f t="shared" si="53"/>
        <v/>
      </c>
      <c r="BZ52" s="385" t="str">
        <f t="shared" si="54"/>
        <v/>
      </c>
      <c r="CA52" s="385" t="str">
        <f t="shared" si="55"/>
        <v/>
      </c>
      <c r="CB52" s="385" t="str">
        <f t="shared" si="56"/>
        <v/>
      </c>
      <c r="CC52" s="385" t="str">
        <f t="shared" si="57"/>
        <v/>
      </c>
      <c r="CD52" s="385" t="str">
        <f t="shared" si="58"/>
        <v/>
      </c>
      <c r="CE52" s="385" t="str">
        <f t="shared" si="59"/>
        <v/>
      </c>
      <c r="CF52" s="385" t="str">
        <f t="shared" si="60"/>
        <v/>
      </c>
      <c r="CG52" s="385" t="str">
        <f t="shared" si="61"/>
        <v/>
      </c>
      <c r="CH52" s="385" t="str">
        <f t="shared" si="62"/>
        <v/>
      </c>
      <c r="CI52" s="385" t="str">
        <f t="shared" si="63"/>
        <v/>
      </c>
      <c r="CJ52" s="385" t="str">
        <f t="shared" si="64"/>
        <v/>
      </c>
      <c r="CK52" s="385" t="str">
        <f t="shared" si="65"/>
        <v/>
      </c>
      <c r="CL52" s="385" t="str">
        <f t="shared" si="66"/>
        <v/>
      </c>
      <c r="CM52" s="385" t="str">
        <f t="shared" si="67"/>
        <v/>
      </c>
      <c r="CN52" s="385" t="str">
        <f t="shared" si="68"/>
        <v/>
      </c>
      <c r="CO52" s="385" t="str">
        <f t="shared" si="69"/>
        <v/>
      </c>
      <c r="CP52" s="385" t="str">
        <f t="shared" si="70"/>
        <v/>
      </c>
      <c r="CQ52" s="385" t="str">
        <f t="shared" si="71"/>
        <v/>
      </c>
      <c r="CR52" s="385" t="str">
        <f t="shared" si="72"/>
        <v/>
      </c>
      <c r="CS52" s="385" t="str">
        <f t="shared" si="73"/>
        <v/>
      </c>
      <c r="CT52" s="385" t="str">
        <f t="shared" si="74"/>
        <v/>
      </c>
      <c r="CU52" s="385" t="str">
        <f t="shared" si="75"/>
        <v/>
      </c>
      <c r="CV52" s="385" t="str">
        <f t="shared" si="76"/>
        <v/>
      </c>
      <c r="CW52" s="385" t="str">
        <f t="shared" si="77"/>
        <v/>
      </c>
      <c r="CX52" s="385" t="str">
        <f t="shared" si="78"/>
        <v/>
      </c>
      <c r="CY52" s="385" t="str">
        <f t="shared" si="79"/>
        <v/>
      </c>
      <c r="CZ52" s="385" t="str">
        <f t="shared" si="80"/>
        <v/>
      </c>
      <c r="DA52" s="385" t="str">
        <f t="shared" si="81"/>
        <v/>
      </c>
      <c r="DB52" s="385" t="str">
        <f t="shared" si="82"/>
        <v/>
      </c>
      <c r="DC52" s="385" t="str">
        <f t="shared" si="83"/>
        <v/>
      </c>
      <c r="DD52" s="385" t="str">
        <f t="shared" si="84"/>
        <v/>
      </c>
      <c r="DE52" s="385" t="str">
        <f t="shared" si="85"/>
        <v/>
      </c>
      <c r="DF52" s="385" t="str">
        <f t="shared" si="86"/>
        <v/>
      </c>
      <c r="DG52" s="385" t="str">
        <f t="shared" si="87"/>
        <v/>
      </c>
      <c r="DH52" s="385" t="str">
        <f t="shared" si="88"/>
        <v/>
      </c>
      <c r="DI52" s="385" t="str">
        <f t="shared" si="89"/>
        <v/>
      </c>
    </row>
    <row r="53" spans="1:113" ht="85" x14ac:dyDescent="0.35">
      <c r="A53" s="21" t="s">
        <v>948</v>
      </c>
      <c r="B53" s="396">
        <f>'Appoggio_BIA Servizio'!$B$5</f>
        <v>0</v>
      </c>
      <c r="C53" s="392" t="s">
        <v>928</v>
      </c>
      <c r="D53" s="392" t="s">
        <v>949</v>
      </c>
      <c r="E53" s="393" t="s">
        <v>950</v>
      </c>
      <c r="F53" s="240" t="s">
        <v>671</v>
      </c>
      <c r="G53" s="240" t="s">
        <v>655</v>
      </c>
      <c r="H53" s="240"/>
      <c r="I53" s="240">
        <v>0.7</v>
      </c>
      <c r="J53" s="240">
        <v>0.7</v>
      </c>
      <c r="K53" s="240">
        <v>0.7</v>
      </c>
      <c r="L53" s="394"/>
      <c r="M53" s="240"/>
      <c r="N53" s="240">
        <v>0.7</v>
      </c>
      <c r="O53" s="394"/>
      <c r="P53" s="394"/>
      <c r="Q53" s="240"/>
      <c r="R53" s="394"/>
      <c r="S53" s="394"/>
      <c r="T53" s="394">
        <v>0.7</v>
      </c>
      <c r="U53" s="394">
        <v>0.7</v>
      </c>
      <c r="V53" s="394"/>
      <c r="W53" s="394"/>
      <c r="X53" s="394"/>
      <c r="Y53" s="394"/>
      <c r="Z53" s="394"/>
      <c r="AA53" s="394"/>
      <c r="AB53" s="240"/>
      <c r="AC53" s="394"/>
      <c r="AD53" s="394"/>
      <c r="AE53" s="395"/>
      <c r="AF53" s="395"/>
      <c r="AG53" s="395"/>
      <c r="AH53" s="395"/>
      <c r="AI53" s="395"/>
      <c r="AJ53" s="395"/>
      <c r="AK53" s="395"/>
      <c r="AL53" s="395"/>
      <c r="AM53" s="395">
        <v>1</v>
      </c>
      <c r="AN53" s="395"/>
      <c r="AO53" s="395">
        <v>1</v>
      </c>
      <c r="AP53" s="395"/>
      <c r="AQ53" s="395"/>
      <c r="AR53" s="395"/>
      <c r="AS53" s="395"/>
      <c r="AT53" s="395"/>
      <c r="AU53" s="395"/>
      <c r="AV53" s="395"/>
      <c r="AW53" s="395"/>
      <c r="AX53" s="395"/>
      <c r="AY53" s="395"/>
      <c r="AZ53" s="395"/>
      <c r="BA53" s="395"/>
      <c r="BB53" s="395"/>
      <c r="BC53" s="395"/>
      <c r="BD53" s="395"/>
      <c r="BE53" s="395"/>
      <c r="BF53" s="225">
        <f t="shared" si="90"/>
        <v>0</v>
      </c>
      <c r="BG53" s="226" t="str">
        <f t="shared" si="91"/>
        <v>Non Applicabile</v>
      </c>
      <c r="BH53" s="226" t="s">
        <v>951</v>
      </c>
      <c r="BI53" s="226"/>
      <c r="BJ53" s="229"/>
      <c r="BK53" s="227"/>
      <c r="BL53" s="324" t="s">
        <v>680</v>
      </c>
      <c r="BM53" s="324" t="s">
        <v>952</v>
      </c>
      <c r="BN53" s="324" t="s">
        <v>865</v>
      </c>
      <c r="BO53" s="330"/>
      <c r="BP53" s="385" t="str">
        <f>IF(G53="X",
   IF(BG53="Applicabile",
      IF(BJ53&lt;&gt;"",
         _xlfn.XLOOKUP($BJ53,Parametri_RA!$B:$B,Parametri_RA!$D:$D,0),
         0),
      ""),
   "")</f>
        <v/>
      </c>
      <c r="BQ53" s="385" t="str">
        <f>IF(H53="X",
   IF(BG53="Applicabile",
      IF(BJ53&lt;&gt;"",
         _xlfn.XLOOKUP($BJ53,Parametri_RA!$B:$B,Parametri_RA!$D:$D,0),
         0),
      ""),
   "")</f>
        <v/>
      </c>
      <c r="BR53" s="385" t="str">
        <f t="shared" si="46"/>
        <v/>
      </c>
      <c r="BS53" s="385" t="str">
        <f t="shared" si="47"/>
        <v/>
      </c>
      <c r="BT53" s="385" t="str">
        <f t="shared" si="48"/>
        <v/>
      </c>
      <c r="BU53" s="385" t="str">
        <f t="shared" si="49"/>
        <v/>
      </c>
      <c r="BV53" s="385" t="str">
        <f t="shared" si="50"/>
        <v/>
      </c>
      <c r="BW53" s="385" t="str">
        <f t="shared" si="51"/>
        <v/>
      </c>
      <c r="BX53" s="385" t="str">
        <f t="shared" si="52"/>
        <v/>
      </c>
      <c r="BY53" s="385" t="str">
        <f t="shared" si="53"/>
        <v/>
      </c>
      <c r="BZ53" s="385" t="str">
        <f t="shared" si="54"/>
        <v/>
      </c>
      <c r="CA53" s="385" t="str">
        <f t="shared" si="55"/>
        <v/>
      </c>
      <c r="CB53" s="385" t="str">
        <f t="shared" si="56"/>
        <v/>
      </c>
      <c r="CC53" s="385" t="str">
        <f t="shared" si="57"/>
        <v/>
      </c>
      <c r="CD53" s="385" t="str">
        <f t="shared" si="58"/>
        <v/>
      </c>
      <c r="CE53" s="385" t="str">
        <f t="shared" si="59"/>
        <v/>
      </c>
      <c r="CF53" s="385" t="str">
        <f t="shared" si="60"/>
        <v/>
      </c>
      <c r="CG53" s="385" t="str">
        <f t="shared" si="61"/>
        <v/>
      </c>
      <c r="CH53" s="385" t="str">
        <f t="shared" si="62"/>
        <v/>
      </c>
      <c r="CI53" s="385" t="str">
        <f t="shared" si="63"/>
        <v/>
      </c>
      <c r="CJ53" s="385" t="str">
        <f t="shared" si="64"/>
        <v/>
      </c>
      <c r="CK53" s="385" t="str">
        <f t="shared" si="65"/>
        <v/>
      </c>
      <c r="CL53" s="385" t="str">
        <f t="shared" si="66"/>
        <v/>
      </c>
      <c r="CM53" s="385" t="str">
        <f t="shared" si="67"/>
        <v/>
      </c>
      <c r="CN53" s="385" t="str">
        <f t="shared" si="68"/>
        <v/>
      </c>
      <c r="CO53" s="385" t="str">
        <f t="shared" si="69"/>
        <v/>
      </c>
      <c r="CP53" s="385" t="str">
        <f t="shared" si="70"/>
        <v/>
      </c>
      <c r="CQ53" s="385" t="str">
        <f t="shared" si="71"/>
        <v/>
      </c>
      <c r="CR53" s="385" t="str">
        <f t="shared" si="72"/>
        <v/>
      </c>
      <c r="CS53" s="385" t="str">
        <f t="shared" si="73"/>
        <v/>
      </c>
      <c r="CT53" s="385" t="str">
        <f t="shared" si="74"/>
        <v/>
      </c>
      <c r="CU53" s="385" t="str">
        <f t="shared" si="75"/>
        <v/>
      </c>
      <c r="CV53" s="385" t="str">
        <f t="shared" si="76"/>
        <v/>
      </c>
      <c r="CW53" s="385" t="str">
        <f t="shared" si="77"/>
        <v/>
      </c>
      <c r="CX53" s="385" t="str">
        <f t="shared" si="78"/>
        <v/>
      </c>
      <c r="CY53" s="385" t="str">
        <f t="shared" si="79"/>
        <v/>
      </c>
      <c r="CZ53" s="385" t="str">
        <f t="shared" si="80"/>
        <v/>
      </c>
      <c r="DA53" s="385" t="str">
        <f t="shared" si="81"/>
        <v/>
      </c>
      <c r="DB53" s="385" t="str">
        <f t="shared" si="82"/>
        <v/>
      </c>
      <c r="DC53" s="385" t="str">
        <f t="shared" si="83"/>
        <v/>
      </c>
      <c r="DD53" s="385" t="str">
        <f t="shared" si="84"/>
        <v/>
      </c>
      <c r="DE53" s="385" t="str">
        <f t="shared" si="85"/>
        <v/>
      </c>
      <c r="DF53" s="385" t="str">
        <f t="shared" si="86"/>
        <v/>
      </c>
      <c r="DG53" s="385" t="str">
        <f t="shared" si="87"/>
        <v/>
      </c>
      <c r="DH53" s="385" t="str">
        <f t="shared" si="88"/>
        <v/>
      </c>
      <c r="DI53" s="385" t="str">
        <f t="shared" si="89"/>
        <v/>
      </c>
    </row>
    <row r="54" spans="1:113" ht="66" x14ac:dyDescent="0.35">
      <c r="A54" s="21"/>
      <c r="B54" s="396">
        <f>'Appoggio_BIA Servizio'!$B$5</f>
        <v>0</v>
      </c>
      <c r="C54" s="392" t="s">
        <v>928</v>
      </c>
      <c r="D54" s="392" t="s">
        <v>953</v>
      </c>
      <c r="E54" s="393" t="s">
        <v>954</v>
      </c>
      <c r="F54" s="240" t="s">
        <v>671</v>
      </c>
      <c r="G54" s="240" t="s">
        <v>655</v>
      </c>
      <c r="H54" s="240"/>
      <c r="I54" s="240">
        <v>0.7</v>
      </c>
      <c r="J54" s="240">
        <v>0.7</v>
      </c>
      <c r="K54" s="240"/>
      <c r="L54" s="394"/>
      <c r="M54" s="240"/>
      <c r="N54" s="240">
        <v>0.7</v>
      </c>
      <c r="O54" s="394"/>
      <c r="P54" s="240">
        <v>0.7</v>
      </c>
      <c r="Q54" s="240"/>
      <c r="R54" s="394"/>
      <c r="S54" s="394"/>
      <c r="T54" s="394">
        <v>0.4</v>
      </c>
      <c r="U54" s="394">
        <v>0.4</v>
      </c>
      <c r="V54" s="394"/>
      <c r="W54" s="394"/>
      <c r="X54" s="394"/>
      <c r="Y54" s="394"/>
      <c r="Z54" s="394"/>
      <c r="AA54" s="394"/>
      <c r="AB54" s="240"/>
      <c r="AC54" s="394"/>
      <c r="AD54" s="394"/>
      <c r="AE54" s="395"/>
      <c r="AF54" s="395"/>
      <c r="AG54" s="395"/>
      <c r="AH54" s="395"/>
      <c r="AI54" s="395"/>
      <c r="AJ54" s="395"/>
      <c r="AK54" s="395"/>
      <c r="AL54" s="395"/>
      <c r="AM54" s="395">
        <v>1</v>
      </c>
      <c r="AN54" s="395"/>
      <c r="AO54" s="395">
        <v>1</v>
      </c>
      <c r="AP54" s="395"/>
      <c r="AQ54" s="395"/>
      <c r="AR54" s="395"/>
      <c r="AS54" s="395"/>
      <c r="AT54" s="395"/>
      <c r="AU54" s="395"/>
      <c r="AV54" s="395"/>
      <c r="AW54" s="395"/>
      <c r="AX54" s="395"/>
      <c r="AY54" s="395"/>
      <c r="AZ54" s="395"/>
      <c r="BA54" s="395"/>
      <c r="BB54" s="395"/>
      <c r="BC54" s="395"/>
      <c r="BD54" s="395"/>
      <c r="BE54" s="395"/>
      <c r="BF54" s="225">
        <f t="shared" si="90"/>
        <v>0</v>
      </c>
      <c r="BG54" s="226" t="str">
        <f t="shared" si="91"/>
        <v>Non Applicabile</v>
      </c>
      <c r="BH54" s="226" t="s">
        <v>955</v>
      </c>
      <c r="BI54" s="226"/>
      <c r="BJ54" s="229"/>
      <c r="BK54" s="227"/>
      <c r="BL54" s="324" t="s">
        <v>956</v>
      </c>
      <c r="BM54" s="324" t="s">
        <v>957</v>
      </c>
      <c r="BN54" s="324" t="s">
        <v>958</v>
      </c>
      <c r="BO54" s="330"/>
      <c r="BP54" s="385" t="str">
        <f>IF(G54="X",
   IF(BG54="Applicabile",
      IF(BJ54&lt;&gt;"",
         _xlfn.XLOOKUP($BJ54,Parametri_RA!$B:$B,Parametri_RA!$D:$D,0),
         0),
      ""),
   "")</f>
        <v/>
      </c>
      <c r="BQ54" s="385" t="str">
        <f>IF(H54="X",
   IF(BG54="Applicabile",
      IF(BJ54&lt;&gt;"",
         _xlfn.XLOOKUP($BJ54,Parametri_RA!$B:$B,Parametri_RA!$D:$D,0),
         0),
      ""),
   "")</f>
        <v/>
      </c>
      <c r="BR54" s="385" t="str">
        <f t="shared" si="46"/>
        <v/>
      </c>
      <c r="BS54" s="385" t="str">
        <f t="shared" si="47"/>
        <v/>
      </c>
      <c r="BT54" s="385" t="str">
        <f t="shared" si="48"/>
        <v/>
      </c>
      <c r="BU54" s="385" t="str">
        <f t="shared" si="49"/>
        <v/>
      </c>
      <c r="BV54" s="385" t="str">
        <f t="shared" si="50"/>
        <v/>
      </c>
      <c r="BW54" s="385" t="str">
        <f t="shared" si="51"/>
        <v/>
      </c>
      <c r="BX54" s="385" t="str">
        <f t="shared" si="52"/>
        <v/>
      </c>
      <c r="BY54" s="385" t="str">
        <f t="shared" si="53"/>
        <v/>
      </c>
      <c r="BZ54" s="385" t="str">
        <f t="shared" si="54"/>
        <v/>
      </c>
      <c r="CA54" s="385" t="str">
        <f t="shared" si="55"/>
        <v/>
      </c>
      <c r="CB54" s="385" t="str">
        <f t="shared" si="56"/>
        <v/>
      </c>
      <c r="CC54" s="385" t="str">
        <f t="shared" si="57"/>
        <v/>
      </c>
      <c r="CD54" s="385" t="str">
        <f t="shared" si="58"/>
        <v/>
      </c>
      <c r="CE54" s="385" t="str">
        <f t="shared" si="59"/>
        <v/>
      </c>
      <c r="CF54" s="385" t="str">
        <f t="shared" si="60"/>
        <v/>
      </c>
      <c r="CG54" s="385" t="str">
        <f t="shared" si="61"/>
        <v/>
      </c>
      <c r="CH54" s="385" t="str">
        <f t="shared" si="62"/>
        <v/>
      </c>
      <c r="CI54" s="385" t="str">
        <f t="shared" si="63"/>
        <v/>
      </c>
      <c r="CJ54" s="385" t="str">
        <f t="shared" si="64"/>
        <v/>
      </c>
      <c r="CK54" s="385" t="str">
        <f t="shared" si="65"/>
        <v/>
      </c>
      <c r="CL54" s="385" t="str">
        <f t="shared" si="66"/>
        <v/>
      </c>
      <c r="CM54" s="385" t="str">
        <f t="shared" si="67"/>
        <v/>
      </c>
      <c r="CN54" s="385" t="str">
        <f t="shared" si="68"/>
        <v/>
      </c>
      <c r="CO54" s="385" t="str">
        <f t="shared" si="69"/>
        <v/>
      </c>
      <c r="CP54" s="385" t="str">
        <f t="shared" si="70"/>
        <v/>
      </c>
      <c r="CQ54" s="385" t="str">
        <f t="shared" si="71"/>
        <v/>
      </c>
      <c r="CR54" s="385" t="str">
        <f t="shared" si="72"/>
        <v/>
      </c>
      <c r="CS54" s="385" t="str">
        <f t="shared" si="73"/>
        <v/>
      </c>
      <c r="CT54" s="385" t="str">
        <f t="shared" si="74"/>
        <v/>
      </c>
      <c r="CU54" s="385" t="str">
        <f t="shared" si="75"/>
        <v/>
      </c>
      <c r="CV54" s="385" t="str">
        <f t="shared" si="76"/>
        <v/>
      </c>
      <c r="CW54" s="385" t="str">
        <f t="shared" si="77"/>
        <v/>
      </c>
      <c r="CX54" s="385" t="str">
        <f t="shared" si="78"/>
        <v/>
      </c>
      <c r="CY54" s="385" t="str">
        <f t="shared" si="79"/>
        <v/>
      </c>
      <c r="CZ54" s="385" t="str">
        <f t="shared" si="80"/>
        <v/>
      </c>
      <c r="DA54" s="385" t="str">
        <f t="shared" si="81"/>
        <v/>
      </c>
      <c r="DB54" s="385" t="str">
        <f t="shared" si="82"/>
        <v/>
      </c>
      <c r="DC54" s="385" t="str">
        <f t="shared" si="83"/>
        <v/>
      </c>
      <c r="DD54" s="385" t="str">
        <f t="shared" si="84"/>
        <v/>
      </c>
      <c r="DE54" s="385" t="str">
        <f t="shared" si="85"/>
        <v/>
      </c>
      <c r="DF54" s="385" t="str">
        <f t="shared" si="86"/>
        <v/>
      </c>
      <c r="DG54" s="385" t="str">
        <f t="shared" si="87"/>
        <v/>
      </c>
      <c r="DH54" s="385" t="str">
        <f t="shared" si="88"/>
        <v/>
      </c>
      <c r="DI54" s="385" t="str">
        <f t="shared" si="89"/>
        <v/>
      </c>
    </row>
    <row r="55" spans="1:113" ht="115.5" x14ac:dyDescent="0.35">
      <c r="A55" s="21" t="s">
        <v>959</v>
      </c>
      <c r="B55" s="396">
        <f>'Appoggio_BIA Servizio'!$B$5</f>
        <v>0</v>
      </c>
      <c r="C55" s="392" t="s">
        <v>928</v>
      </c>
      <c r="D55" s="392" t="s">
        <v>960</v>
      </c>
      <c r="E55" s="393" t="s">
        <v>961</v>
      </c>
      <c r="F55" s="240" t="s">
        <v>671</v>
      </c>
      <c r="G55" s="240" t="s">
        <v>655</v>
      </c>
      <c r="H55" s="240"/>
      <c r="I55" s="240">
        <v>0.7</v>
      </c>
      <c r="J55" s="240">
        <v>0.7</v>
      </c>
      <c r="K55" s="240">
        <v>0.7</v>
      </c>
      <c r="L55" s="394"/>
      <c r="M55" s="240"/>
      <c r="N55" s="240">
        <v>0.7</v>
      </c>
      <c r="O55" s="394"/>
      <c r="P55" s="394">
        <v>1</v>
      </c>
      <c r="Q55" s="240"/>
      <c r="R55" s="394">
        <v>1</v>
      </c>
      <c r="S55" s="394"/>
      <c r="T55" s="394"/>
      <c r="U55" s="394"/>
      <c r="V55" s="394"/>
      <c r="W55" s="394"/>
      <c r="X55" s="394"/>
      <c r="Y55" s="394"/>
      <c r="Z55" s="394"/>
      <c r="AA55" s="394"/>
      <c r="AB55" s="240"/>
      <c r="AC55" s="394"/>
      <c r="AD55" s="394"/>
      <c r="AE55" s="395"/>
      <c r="AF55" s="395"/>
      <c r="AG55" s="395"/>
      <c r="AH55" s="395"/>
      <c r="AI55" s="395"/>
      <c r="AJ55" s="395"/>
      <c r="AK55" s="395"/>
      <c r="AL55" s="395">
        <v>1</v>
      </c>
      <c r="AM55" s="395">
        <v>1</v>
      </c>
      <c r="AN55" s="395">
        <v>1</v>
      </c>
      <c r="AO55" s="395">
        <v>1</v>
      </c>
      <c r="AP55" s="395"/>
      <c r="AQ55" s="395"/>
      <c r="AR55" s="395"/>
      <c r="AS55" s="395"/>
      <c r="AT55" s="395"/>
      <c r="AU55" s="395"/>
      <c r="AV55" s="395"/>
      <c r="AW55" s="395"/>
      <c r="AX55" s="395"/>
      <c r="AY55" s="395"/>
      <c r="AZ55" s="395"/>
      <c r="BA55" s="395"/>
      <c r="BB55" s="395"/>
      <c r="BC55" s="395"/>
      <c r="BD55" s="395"/>
      <c r="BE55" s="395"/>
      <c r="BF55" s="225">
        <f t="shared" si="90"/>
        <v>0</v>
      </c>
      <c r="BG55" s="226" t="str">
        <f t="shared" si="91"/>
        <v>Non Applicabile</v>
      </c>
      <c r="BH55" s="226" t="s">
        <v>962</v>
      </c>
      <c r="BI55" s="228"/>
      <c r="BJ55" s="229"/>
      <c r="BK55" s="227"/>
      <c r="BL55" s="324" t="s">
        <v>963</v>
      </c>
      <c r="BM55" s="324" t="s">
        <v>964</v>
      </c>
      <c r="BN55" s="324" t="s">
        <v>965</v>
      </c>
      <c r="BO55" s="330"/>
      <c r="BP55" s="385" t="str">
        <f>IF(G55="X",
   IF(BG55="Applicabile",
      IF(BJ55&lt;&gt;"",
         _xlfn.XLOOKUP($BJ55,Parametri_RA!$B:$B,Parametri_RA!$D:$D,0),
         0),
      ""),
   "")</f>
        <v/>
      </c>
      <c r="BQ55" s="385" t="str">
        <f>IF(H55="X",
   IF(BG55="Applicabile",
      IF(BJ55&lt;&gt;"",
         _xlfn.XLOOKUP($BJ55,Parametri_RA!$B:$B,Parametri_RA!$D:$D,0),
         0),
      ""),
   "")</f>
        <v/>
      </c>
      <c r="BR55" s="385" t="str">
        <f t="shared" si="46"/>
        <v/>
      </c>
      <c r="BS55" s="385" t="str">
        <f t="shared" si="47"/>
        <v/>
      </c>
      <c r="BT55" s="385" t="str">
        <f t="shared" si="48"/>
        <v/>
      </c>
      <c r="BU55" s="385" t="str">
        <f t="shared" si="49"/>
        <v/>
      </c>
      <c r="BV55" s="385" t="str">
        <f t="shared" si="50"/>
        <v/>
      </c>
      <c r="BW55" s="385" t="str">
        <f t="shared" si="51"/>
        <v/>
      </c>
      <c r="BX55" s="385" t="str">
        <f t="shared" si="52"/>
        <v/>
      </c>
      <c r="BY55" s="385" t="str">
        <f t="shared" si="53"/>
        <v/>
      </c>
      <c r="BZ55" s="385" t="str">
        <f t="shared" si="54"/>
        <v/>
      </c>
      <c r="CA55" s="385" t="str">
        <f t="shared" si="55"/>
        <v/>
      </c>
      <c r="CB55" s="385" t="str">
        <f t="shared" si="56"/>
        <v/>
      </c>
      <c r="CC55" s="385" t="str">
        <f t="shared" si="57"/>
        <v/>
      </c>
      <c r="CD55" s="385" t="str">
        <f t="shared" si="58"/>
        <v/>
      </c>
      <c r="CE55" s="385" t="str">
        <f t="shared" si="59"/>
        <v/>
      </c>
      <c r="CF55" s="385" t="str">
        <f t="shared" si="60"/>
        <v/>
      </c>
      <c r="CG55" s="385" t="str">
        <f t="shared" si="61"/>
        <v/>
      </c>
      <c r="CH55" s="385" t="str">
        <f t="shared" si="62"/>
        <v/>
      </c>
      <c r="CI55" s="385" t="str">
        <f t="shared" si="63"/>
        <v/>
      </c>
      <c r="CJ55" s="385" t="str">
        <f t="shared" si="64"/>
        <v/>
      </c>
      <c r="CK55" s="385" t="str">
        <f t="shared" si="65"/>
        <v/>
      </c>
      <c r="CL55" s="385" t="str">
        <f t="shared" si="66"/>
        <v/>
      </c>
      <c r="CM55" s="385" t="str">
        <f t="shared" si="67"/>
        <v/>
      </c>
      <c r="CN55" s="385" t="str">
        <f t="shared" si="68"/>
        <v/>
      </c>
      <c r="CO55" s="385" t="str">
        <f t="shared" si="69"/>
        <v/>
      </c>
      <c r="CP55" s="385" t="str">
        <f t="shared" si="70"/>
        <v/>
      </c>
      <c r="CQ55" s="385" t="str">
        <f t="shared" si="71"/>
        <v/>
      </c>
      <c r="CR55" s="385" t="str">
        <f t="shared" si="72"/>
        <v/>
      </c>
      <c r="CS55" s="385" t="str">
        <f t="shared" si="73"/>
        <v/>
      </c>
      <c r="CT55" s="385" t="str">
        <f t="shared" si="74"/>
        <v/>
      </c>
      <c r="CU55" s="385" t="str">
        <f t="shared" si="75"/>
        <v/>
      </c>
      <c r="CV55" s="385" t="str">
        <f t="shared" si="76"/>
        <v/>
      </c>
      <c r="CW55" s="385" t="str">
        <f t="shared" si="77"/>
        <v/>
      </c>
      <c r="CX55" s="385" t="str">
        <f t="shared" si="78"/>
        <v/>
      </c>
      <c r="CY55" s="385" t="str">
        <f t="shared" si="79"/>
        <v/>
      </c>
      <c r="CZ55" s="385" t="str">
        <f t="shared" si="80"/>
        <v/>
      </c>
      <c r="DA55" s="385" t="str">
        <f t="shared" si="81"/>
        <v/>
      </c>
      <c r="DB55" s="385" t="str">
        <f t="shared" si="82"/>
        <v/>
      </c>
      <c r="DC55" s="385" t="str">
        <f t="shared" si="83"/>
        <v/>
      </c>
      <c r="DD55" s="385" t="str">
        <f t="shared" si="84"/>
        <v/>
      </c>
      <c r="DE55" s="385" t="str">
        <f t="shared" si="85"/>
        <v/>
      </c>
      <c r="DF55" s="385" t="str">
        <f t="shared" si="86"/>
        <v/>
      </c>
      <c r="DG55" s="385" t="str">
        <f t="shared" si="87"/>
        <v/>
      </c>
      <c r="DH55" s="385" t="str">
        <f t="shared" si="88"/>
        <v/>
      </c>
      <c r="DI55" s="385" t="str">
        <f t="shared" si="89"/>
        <v/>
      </c>
    </row>
    <row r="56" spans="1:113" ht="51" x14ac:dyDescent="0.35">
      <c r="A56" s="21" t="s">
        <v>966</v>
      </c>
      <c r="B56" s="396">
        <f>'Appoggio_BIA Servizio'!$B$5</f>
        <v>0</v>
      </c>
      <c r="C56" s="392" t="s">
        <v>928</v>
      </c>
      <c r="D56" s="392" t="s">
        <v>967</v>
      </c>
      <c r="E56" s="393" t="s">
        <v>968</v>
      </c>
      <c r="F56" s="240" t="s">
        <v>671</v>
      </c>
      <c r="G56" s="240" t="s">
        <v>655</v>
      </c>
      <c r="H56" s="240" t="s">
        <v>655</v>
      </c>
      <c r="I56" s="240">
        <v>0.7</v>
      </c>
      <c r="J56" s="240">
        <v>0.7</v>
      </c>
      <c r="K56" s="240">
        <v>0.7</v>
      </c>
      <c r="L56" s="394"/>
      <c r="M56" s="240"/>
      <c r="N56" s="240">
        <v>0.7</v>
      </c>
      <c r="O56" s="394"/>
      <c r="P56" s="240">
        <v>0.7</v>
      </c>
      <c r="Q56" s="240"/>
      <c r="R56" s="240">
        <v>0.7</v>
      </c>
      <c r="S56" s="394"/>
      <c r="T56" s="394"/>
      <c r="U56" s="394"/>
      <c r="V56" s="394"/>
      <c r="W56" s="394"/>
      <c r="X56" s="394"/>
      <c r="Y56" s="394"/>
      <c r="Z56" s="394"/>
      <c r="AA56" s="394"/>
      <c r="AB56" s="240"/>
      <c r="AC56" s="394"/>
      <c r="AD56" s="394"/>
      <c r="AE56" s="395"/>
      <c r="AF56" s="395"/>
      <c r="AG56" s="395"/>
      <c r="AH56" s="395"/>
      <c r="AI56" s="395"/>
      <c r="AJ56" s="395"/>
      <c r="AK56" s="395"/>
      <c r="AL56" s="395"/>
      <c r="AM56" s="395">
        <v>1</v>
      </c>
      <c r="AN56" s="395"/>
      <c r="AO56" s="395">
        <v>1</v>
      </c>
      <c r="AP56" s="395"/>
      <c r="AQ56" s="395"/>
      <c r="AR56" s="395"/>
      <c r="AS56" s="395"/>
      <c r="AT56" s="395"/>
      <c r="AU56" s="395"/>
      <c r="AV56" s="395"/>
      <c r="AW56" s="395"/>
      <c r="AX56" s="395"/>
      <c r="AY56" s="395"/>
      <c r="AZ56" s="395"/>
      <c r="BA56" s="395"/>
      <c r="BB56" s="395"/>
      <c r="BC56" s="395"/>
      <c r="BD56" s="395"/>
      <c r="BE56" s="395"/>
      <c r="BF56" s="225">
        <f t="shared" si="90"/>
        <v>0</v>
      </c>
      <c r="BG56" s="226" t="str">
        <f t="shared" si="91"/>
        <v>Non Applicabile</v>
      </c>
      <c r="BH56" s="226" t="s">
        <v>969</v>
      </c>
      <c r="BI56" s="228"/>
      <c r="BJ56" s="229"/>
      <c r="BK56" s="227"/>
      <c r="BL56" s="324" t="s">
        <v>970</v>
      </c>
      <c r="BM56" s="324" t="s">
        <v>971</v>
      </c>
      <c r="BN56" s="324" t="s">
        <v>972</v>
      </c>
      <c r="BO56" s="330"/>
      <c r="BP56" s="385" t="str">
        <f>IF(G56="X",
   IF(BG56="Applicabile",
      IF(BJ56&lt;&gt;"",
         _xlfn.XLOOKUP($BJ56,Parametri_RA!$B:$B,Parametri_RA!$D:$D,0),
         0),
      ""),
   "")</f>
        <v/>
      </c>
      <c r="BQ56" s="385" t="str">
        <f>IF(H56="X",
   IF(BG56="Applicabile",
      IF(BJ56&lt;&gt;"",
         _xlfn.XLOOKUP($BJ56,Parametri_RA!$B:$B,Parametri_RA!$D:$D,0),
         0),
      ""),
   "")</f>
        <v/>
      </c>
      <c r="BR56" s="385" t="str">
        <f t="shared" si="46"/>
        <v/>
      </c>
      <c r="BS56" s="385" t="str">
        <f t="shared" si="47"/>
        <v/>
      </c>
      <c r="BT56" s="385" t="str">
        <f t="shared" si="48"/>
        <v/>
      </c>
      <c r="BU56" s="385" t="str">
        <f t="shared" si="49"/>
        <v/>
      </c>
      <c r="BV56" s="385" t="str">
        <f t="shared" si="50"/>
        <v/>
      </c>
      <c r="BW56" s="385" t="str">
        <f t="shared" si="51"/>
        <v/>
      </c>
      <c r="BX56" s="385" t="str">
        <f t="shared" si="52"/>
        <v/>
      </c>
      <c r="BY56" s="385" t="str">
        <f t="shared" si="53"/>
        <v/>
      </c>
      <c r="BZ56" s="385" t="str">
        <f t="shared" si="54"/>
        <v/>
      </c>
      <c r="CA56" s="385" t="str">
        <f t="shared" si="55"/>
        <v/>
      </c>
      <c r="CB56" s="385" t="str">
        <f t="shared" si="56"/>
        <v/>
      </c>
      <c r="CC56" s="385" t="str">
        <f t="shared" si="57"/>
        <v/>
      </c>
      <c r="CD56" s="385" t="str">
        <f t="shared" si="58"/>
        <v/>
      </c>
      <c r="CE56" s="385" t="str">
        <f t="shared" si="59"/>
        <v/>
      </c>
      <c r="CF56" s="385" t="str">
        <f t="shared" si="60"/>
        <v/>
      </c>
      <c r="CG56" s="385" t="str">
        <f t="shared" si="61"/>
        <v/>
      </c>
      <c r="CH56" s="385" t="str">
        <f t="shared" si="62"/>
        <v/>
      </c>
      <c r="CI56" s="385" t="str">
        <f t="shared" si="63"/>
        <v/>
      </c>
      <c r="CJ56" s="385" t="str">
        <f t="shared" si="64"/>
        <v/>
      </c>
      <c r="CK56" s="385" t="str">
        <f t="shared" si="65"/>
        <v/>
      </c>
      <c r="CL56" s="385" t="str">
        <f t="shared" si="66"/>
        <v/>
      </c>
      <c r="CM56" s="385" t="str">
        <f t="shared" si="67"/>
        <v/>
      </c>
      <c r="CN56" s="385" t="str">
        <f t="shared" si="68"/>
        <v/>
      </c>
      <c r="CO56" s="385" t="str">
        <f t="shared" si="69"/>
        <v/>
      </c>
      <c r="CP56" s="385" t="str">
        <f t="shared" si="70"/>
        <v/>
      </c>
      <c r="CQ56" s="385" t="str">
        <f t="shared" si="71"/>
        <v/>
      </c>
      <c r="CR56" s="385" t="str">
        <f t="shared" si="72"/>
        <v/>
      </c>
      <c r="CS56" s="385" t="str">
        <f t="shared" si="73"/>
        <v/>
      </c>
      <c r="CT56" s="385" t="str">
        <f t="shared" si="74"/>
        <v/>
      </c>
      <c r="CU56" s="385" t="str">
        <f t="shared" si="75"/>
        <v/>
      </c>
      <c r="CV56" s="385" t="str">
        <f t="shared" si="76"/>
        <v/>
      </c>
      <c r="CW56" s="385" t="str">
        <f t="shared" si="77"/>
        <v/>
      </c>
      <c r="CX56" s="385" t="str">
        <f t="shared" si="78"/>
        <v/>
      </c>
      <c r="CY56" s="385" t="str">
        <f t="shared" si="79"/>
        <v/>
      </c>
      <c r="CZ56" s="385" t="str">
        <f t="shared" si="80"/>
        <v/>
      </c>
      <c r="DA56" s="385" t="str">
        <f t="shared" si="81"/>
        <v/>
      </c>
      <c r="DB56" s="385" t="str">
        <f t="shared" si="82"/>
        <v/>
      </c>
      <c r="DC56" s="385" t="str">
        <f t="shared" si="83"/>
        <v/>
      </c>
      <c r="DD56" s="385" t="str">
        <f t="shared" si="84"/>
        <v/>
      </c>
      <c r="DE56" s="385" t="str">
        <f t="shared" si="85"/>
        <v/>
      </c>
      <c r="DF56" s="385" t="str">
        <f t="shared" si="86"/>
        <v/>
      </c>
      <c r="DG56" s="385" t="str">
        <f t="shared" si="87"/>
        <v/>
      </c>
      <c r="DH56" s="385" t="str">
        <f t="shared" si="88"/>
        <v/>
      </c>
      <c r="DI56" s="385" t="str">
        <f t="shared" si="89"/>
        <v/>
      </c>
    </row>
    <row r="57" spans="1:113" ht="51" x14ac:dyDescent="0.35">
      <c r="A57" s="21" t="s">
        <v>973</v>
      </c>
      <c r="B57" s="396">
        <f>'Appoggio_BIA Servizio'!$B$5</f>
        <v>0</v>
      </c>
      <c r="C57" s="392" t="s">
        <v>928</v>
      </c>
      <c r="D57" s="392" t="s">
        <v>974</v>
      </c>
      <c r="E57" s="393" t="s">
        <v>975</v>
      </c>
      <c r="F57" s="240" t="s">
        <v>671</v>
      </c>
      <c r="G57" s="240" t="s">
        <v>655</v>
      </c>
      <c r="H57" s="240"/>
      <c r="I57" s="240">
        <v>0.7</v>
      </c>
      <c r="J57" s="240">
        <v>0.7</v>
      </c>
      <c r="K57" s="240"/>
      <c r="L57" s="394"/>
      <c r="M57" s="240"/>
      <c r="N57" s="240"/>
      <c r="O57" s="394"/>
      <c r="P57" s="240">
        <v>0.7</v>
      </c>
      <c r="Q57" s="240">
        <v>0.7</v>
      </c>
      <c r="R57" s="394"/>
      <c r="S57" s="394"/>
      <c r="T57" s="394"/>
      <c r="U57" s="394"/>
      <c r="V57" s="394"/>
      <c r="W57" s="394"/>
      <c r="X57" s="394"/>
      <c r="Y57" s="394"/>
      <c r="Z57" s="394"/>
      <c r="AA57" s="394"/>
      <c r="AB57" s="240"/>
      <c r="AC57" s="394"/>
      <c r="AD57" s="394"/>
      <c r="AE57" s="395"/>
      <c r="AF57" s="395"/>
      <c r="AG57" s="395"/>
      <c r="AH57" s="395"/>
      <c r="AI57" s="395"/>
      <c r="AJ57" s="395"/>
      <c r="AK57" s="395">
        <v>1</v>
      </c>
      <c r="AL57" s="395"/>
      <c r="AM57" s="395">
        <v>1</v>
      </c>
      <c r="AN57" s="395">
        <v>1</v>
      </c>
      <c r="AO57" s="395">
        <v>1</v>
      </c>
      <c r="AP57" s="395"/>
      <c r="AQ57" s="395"/>
      <c r="AR57" s="395"/>
      <c r="AS57" s="395"/>
      <c r="AT57" s="395"/>
      <c r="AU57" s="395"/>
      <c r="AV57" s="395"/>
      <c r="AW57" s="395"/>
      <c r="AX57" s="395"/>
      <c r="AY57" s="395"/>
      <c r="AZ57" s="395"/>
      <c r="BA57" s="395"/>
      <c r="BB57" s="395"/>
      <c r="BC57" s="395"/>
      <c r="BD57" s="395"/>
      <c r="BE57" s="395"/>
      <c r="BF57" s="225">
        <f t="shared" si="90"/>
        <v>0</v>
      </c>
      <c r="BG57" s="226" t="str">
        <f t="shared" si="91"/>
        <v>Non Applicabile</v>
      </c>
      <c r="BH57" s="226" t="s">
        <v>976</v>
      </c>
      <c r="BI57" s="226"/>
      <c r="BJ57" s="229"/>
      <c r="BK57" s="227"/>
      <c r="BL57" s="324" t="s">
        <v>977</v>
      </c>
      <c r="BM57" s="324" t="s">
        <v>978</v>
      </c>
      <c r="BN57" s="324" t="s">
        <v>979</v>
      </c>
      <c r="BO57" s="330"/>
      <c r="BP57" s="385" t="str">
        <f>IF(G57="X",
   IF(BG57="Applicabile",
      IF(BJ57&lt;&gt;"",
         _xlfn.XLOOKUP($BJ57,Parametri_RA!$B:$B,Parametri_RA!$D:$D,0),
         0),
      ""),
   "")</f>
        <v/>
      </c>
      <c r="BQ57" s="385" t="str">
        <f>IF(H57="X",
   IF(BG57="Applicabile",
      IF(BJ57&lt;&gt;"",
         _xlfn.XLOOKUP($BJ57,Parametri_RA!$B:$B,Parametri_RA!$D:$D,0),
         0),
      ""),
   "")</f>
        <v/>
      </c>
      <c r="BR57" s="385" t="str">
        <f t="shared" si="46"/>
        <v/>
      </c>
      <c r="BS57" s="385" t="str">
        <f t="shared" si="47"/>
        <v/>
      </c>
      <c r="BT57" s="385" t="str">
        <f t="shared" si="48"/>
        <v/>
      </c>
      <c r="BU57" s="385" t="str">
        <f t="shared" si="49"/>
        <v/>
      </c>
      <c r="BV57" s="385" t="str">
        <f t="shared" si="50"/>
        <v/>
      </c>
      <c r="BW57" s="385" t="str">
        <f t="shared" si="51"/>
        <v/>
      </c>
      <c r="BX57" s="385" t="str">
        <f t="shared" si="52"/>
        <v/>
      </c>
      <c r="BY57" s="385" t="str">
        <f t="shared" si="53"/>
        <v/>
      </c>
      <c r="BZ57" s="385" t="str">
        <f t="shared" si="54"/>
        <v/>
      </c>
      <c r="CA57" s="385" t="str">
        <f t="shared" si="55"/>
        <v/>
      </c>
      <c r="CB57" s="385" t="str">
        <f t="shared" si="56"/>
        <v/>
      </c>
      <c r="CC57" s="385" t="str">
        <f t="shared" si="57"/>
        <v/>
      </c>
      <c r="CD57" s="385" t="str">
        <f t="shared" si="58"/>
        <v/>
      </c>
      <c r="CE57" s="385" t="str">
        <f t="shared" si="59"/>
        <v/>
      </c>
      <c r="CF57" s="385" t="str">
        <f t="shared" si="60"/>
        <v/>
      </c>
      <c r="CG57" s="385" t="str">
        <f t="shared" si="61"/>
        <v/>
      </c>
      <c r="CH57" s="385" t="str">
        <f t="shared" si="62"/>
        <v/>
      </c>
      <c r="CI57" s="385" t="str">
        <f t="shared" si="63"/>
        <v/>
      </c>
      <c r="CJ57" s="385" t="str">
        <f t="shared" si="64"/>
        <v/>
      </c>
      <c r="CK57" s="385" t="str">
        <f t="shared" si="65"/>
        <v/>
      </c>
      <c r="CL57" s="385" t="str">
        <f t="shared" si="66"/>
        <v/>
      </c>
      <c r="CM57" s="385" t="str">
        <f t="shared" si="67"/>
        <v/>
      </c>
      <c r="CN57" s="385" t="str">
        <f t="shared" si="68"/>
        <v/>
      </c>
      <c r="CO57" s="385" t="str">
        <f t="shared" si="69"/>
        <v/>
      </c>
      <c r="CP57" s="385" t="str">
        <f t="shared" si="70"/>
        <v/>
      </c>
      <c r="CQ57" s="385" t="str">
        <f t="shared" si="71"/>
        <v/>
      </c>
      <c r="CR57" s="385" t="str">
        <f t="shared" si="72"/>
        <v/>
      </c>
      <c r="CS57" s="385" t="str">
        <f t="shared" si="73"/>
        <v/>
      </c>
      <c r="CT57" s="385" t="str">
        <f t="shared" si="74"/>
        <v/>
      </c>
      <c r="CU57" s="385" t="str">
        <f t="shared" si="75"/>
        <v/>
      </c>
      <c r="CV57" s="385" t="str">
        <f t="shared" si="76"/>
        <v/>
      </c>
      <c r="CW57" s="385" t="str">
        <f t="shared" si="77"/>
        <v/>
      </c>
      <c r="CX57" s="385" t="str">
        <f t="shared" si="78"/>
        <v/>
      </c>
      <c r="CY57" s="385" t="str">
        <f t="shared" si="79"/>
        <v/>
      </c>
      <c r="CZ57" s="385" t="str">
        <f t="shared" si="80"/>
        <v/>
      </c>
      <c r="DA57" s="385" t="str">
        <f t="shared" si="81"/>
        <v/>
      </c>
      <c r="DB57" s="385" t="str">
        <f t="shared" si="82"/>
        <v/>
      </c>
      <c r="DC57" s="385" t="str">
        <f t="shared" si="83"/>
        <v/>
      </c>
      <c r="DD57" s="385" t="str">
        <f t="shared" si="84"/>
        <v/>
      </c>
      <c r="DE57" s="385" t="str">
        <f t="shared" si="85"/>
        <v/>
      </c>
      <c r="DF57" s="385" t="str">
        <f t="shared" si="86"/>
        <v/>
      </c>
      <c r="DG57" s="385" t="str">
        <f t="shared" si="87"/>
        <v/>
      </c>
      <c r="DH57" s="385" t="str">
        <f t="shared" si="88"/>
        <v/>
      </c>
      <c r="DI57" s="385" t="str">
        <f t="shared" si="89"/>
        <v/>
      </c>
    </row>
    <row r="58" spans="1:113" ht="33.65" customHeight="1" x14ac:dyDescent="0.35">
      <c r="A58" s="21" t="s">
        <v>980</v>
      </c>
      <c r="B58" s="396">
        <f>'Appoggio_BIA Servizio'!$B$5</f>
        <v>0</v>
      </c>
      <c r="C58" s="392" t="s">
        <v>928</v>
      </c>
      <c r="D58" s="392" t="s">
        <v>981</v>
      </c>
      <c r="E58" s="393" t="s">
        <v>982</v>
      </c>
      <c r="F58" s="240" t="s">
        <v>654</v>
      </c>
      <c r="G58" s="240" t="s">
        <v>655</v>
      </c>
      <c r="H58" s="240" t="s">
        <v>655</v>
      </c>
      <c r="I58" s="240">
        <v>1</v>
      </c>
      <c r="J58" s="240">
        <v>1</v>
      </c>
      <c r="K58" s="240"/>
      <c r="L58" s="394"/>
      <c r="M58" s="240"/>
      <c r="N58" s="240">
        <v>1</v>
      </c>
      <c r="O58" s="394"/>
      <c r="P58" s="394">
        <v>1</v>
      </c>
      <c r="Q58" s="240"/>
      <c r="R58" s="394"/>
      <c r="S58" s="394"/>
      <c r="T58" s="394">
        <v>1</v>
      </c>
      <c r="U58" s="394">
        <v>1</v>
      </c>
      <c r="V58" s="394"/>
      <c r="W58" s="394"/>
      <c r="X58" s="394"/>
      <c r="Y58" s="394"/>
      <c r="Z58" s="394"/>
      <c r="AA58" s="394"/>
      <c r="AB58" s="240"/>
      <c r="AC58" s="394"/>
      <c r="AD58" s="394"/>
      <c r="AE58" s="395"/>
      <c r="AF58" s="395"/>
      <c r="AG58" s="395"/>
      <c r="AH58" s="395"/>
      <c r="AI58" s="395"/>
      <c r="AJ58" s="395"/>
      <c r="AK58" s="395"/>
      <c r="AL58" s="395"/>
      <c r="AM58" s="395">
        <v>1</v>
      </c>
      <c r="AN58" s="395"/>
      <c r="AO58" s="395">
        <v>1</v>
      </c>
      <c r="AP58" s="395"/>
      <c r="AQ58" s="395"/>
      <c r="AR58" s="395"/>
      <c r="AS58" s="395"/>
      <c r="AT58" s="395"/>
      <c r="AU58" s="395"/>
      <c r="AV58" s="395"/>
      <c r="AW58" s="395"/>
      <c r="AX58" s="395"/>
      <c r="AY58" s="395"/>
      <c r="AZ58" s="395"/>
      <c r="BA58" s="395"/>
      <c r="BB58" s="395"/>
      <c r="BC58" s="395"/>
      <c r="BD58" s="395"/>
      <c r="BE58" s="395"/>
      <c r="BF58" s="225">
        <f t="shared" si="90"/>
        <v>0</v>
      </c>
      <c r="BG58" s="226" t="str">
        <f t="shared" si="91"/>
        <v>Non Applicabile</v>
      </c>
      <c r="BH58" s="226" t="s">
        <v>983</v>
      </c>
      <c r="BI58" s="230"/>
      <c r="BJ58" s="229"/>
      <c r="BK58" s="227"/>
      <c r="BL58" s="324" t="s">
        <v>984</v>
      </c>
      <c r="BM58" s="324" t="s">
        <v>985</v>
      </c>
      <c r="BN58" s="324" t="s">
        <v>986</v>
      </c>
      <c r="BO58" s="330"/>
      <c r="BP58" s="385" t="str">
        <f>IF(G58="X",
   IF(BG58="Applicabile",
      IF(BJ58&lt;&gt;"",
         _xlfn.XLOOKUP($BJ58,Parametri_RA!$B:$B,Parametri_RA!$D:$D,0),
         0),
      ""),
   "")</f>
        <v/>
      </c>
      <c r="BQ58" s="385" t="str">
        <f>IF(H58="X",
   IF(BG58="Applicabile",
      IF(BJ58&lt;&gt;"",
         _xlfn.XLOOKUP($BJ58,Parametri_RA!$B:$B,Parametri_RA!$D:$D,0),
         0),
      ""),
   "")</f>
        <v/>
      </c>
      <c r="BR58" s="385" t="str">
        <f t="shared" si="46"/>
        <v/>
      </c>
      <c r="BS58" s="385" t="str">
        <f t="shared" si="47"/>
        <v/>
      </c>
      <c r="BT58" s="385" t="str">
        <f t="shared" si="48"/>
        <v/>
      </c>
      <c r="BU58" s="385" t="str">
        <f t="shared" si="49"/>
        <v/>
      </c>
      <c r="BV58" s="385" t="str">
        <f t="shared" si="50"/>
        <v/>
      </c>
      <c r="BW58" s="385" t="str">
        <f t="shared" si="51"/>
        <v/>
      </c>
      <c r="BX58" s="385" t="str">
        <f t="shared" si="52"/>
        <v/>
      </c>
      <c r="BY58" s="385" t="str">
        <f t="shared" si="53"/>
        <v/>
      </c>
      <c r="BZ58" s="385" t="str">
        <f t="shared" si="54"/>
        <v/>
      </c>
      <c r="CA58" s="385" t="str">
        <f t="shared" si="55"/>
        <v/>
      </c>
      <c r="CB58" s="385" t="str">
        <f t="shared" si="56"/>
        <v/>
      </c>
      <c r="CC58" s="385" t="str">
        <f t="shared" si="57"/>
        <v/>
      </c>
      <c r="CD58" s="385" t="str">
        <f t="shared" si="58"/>
        <v/>
      </c>
      <c r="CE58" s="385" t="str">
        <f t="shared" si="59"/>
        <v/>
      </c>
      <c r="CF58" s="385" t="str">
        <f t="shared" si="60"/>
        <v/>
      </c>
      <c r="CG58" s="385" t="str">
        <f t="shared" si="61"/>
        <v/>
      </c>
      <c r="CH58" s="385" t="str">
        <f t="shared" si="62"/>
        <v/>
      </c>
      <c r="CI58" s="385" t="str">
        <f t="shared" si="63"/>
        <v/>
      </c>
      <c r="CJ58" s="385" t="str">
        <f t="shared" si="64"/>
        <v/>
      </c>
      <c r="CK58" s="385" t="str">
        <f t="shared" si="65"/>
        <v/>
      </c>
      <c r="CL58" s="385" t="str">
        <f t="shared" si="66"/>
        <v/>
      </c>
      <c r="CM58" s="385" t="str">
        <f t="shared" si="67"/>
        <v/>
      </c>
      <c r="CN58" s="385" t="str">
        <f t="shared" si="68"/>
        <v/>
      </c>
      <c r="CO58" s="385" t="str">
        <f t="shared" si="69"/>
        <v/>
      </c>
      <c r="CP58" s="385" t="str">
        <f t="shared" si="70"/>
        <v/>
      </c>
      <c r="CQ58" s="385" t="str">
        <f t="shared" si="71"/>
        <v/>
      </c>
      <c r="CR58" s="385" t="str">
        <f t="shared" si="72"/>
        <v/>
      </c>
      <c r="CS58" s="385" t="str">
        <f t="shared" si="73"/>
        <v/>
      </c>
      <c r="CT58" s="385" t="str">
        <f t="shared" si="74"/>
        <v/>
      </c>
      <c r="CU58" s="385" t="str">
        <f t="shared" si="75"/>
        <v/>
      </c>
      <c r="CV58" s="385" t="str">
        <f t="shared" si="76"/>
        <v/>
      </c>
      <c r="CW58" s="385" t="str">
        <f t="shared" si="77"/>
        <v/>
      </c>
      <c r="CX58" s="385" t="str">
        <f t="shared" si="78"/>
        <v/>
      </c>
      <c r="CY58" s="385" t="str">
        <f t="shared" si="79"/>
        <v/>
      </c>
      <c r="CZ58" s="385" t="str">
        <f t="shared" si="80"/>
        <v/>
      </c>
      <c r="DA58" s="385" t="str">
        <f t="shared" si="81"/>
        <v/>
      </c>
      <c r="DB58" s="385" t="str">
        <f t="shared" si="82"/>
        <v/>
      </c>
      <c r="DC58" s="385" t="str">
        <f t="shared" si="83"/>
        <v/>
      </c>
      <c r="DD58" s="385" t="str">
        <f t="shared" si="84"/>
        <v/>
      </c>
      <c r="DE58" s="385" t="str">
        <f t="shared" si="85"/>
        <v/>
      </c>
      <c r="DF58" s="385" t="str">
        <f t="shared" si="86"/>
        <v/>
      </c>
      <c r="DG58" s="385" t="str">
        <f t="shared" si="87"/>
        <v/>
      </c>
      <c r="DH58" s="385" t="str">
        <f t="shared" si="88"/>
        <v/>
      </c>
      <c r="DI58" s="385" t="str">
        <f t="shared" si="89"/>
        <v/>
      </c>
    </row>
    <row r="59" spans="1:113" ht="56.75" customHeight="1" x14ac:dyDescent="0.35">
      <c r="A59" s="21" t="s">
        <v>987</v>
      </c>
      <c r="B59" s="396">
        <f>'Appoggio_BIA Servizio'!$B$5</f>
        <v>0</v>
      </c>
      <c r="C59" s="392" t="s">
        <v>928</v>
      </c>
      <c r="D59" s="392" t="s">
        <v>988</v>
      </c>
      <c r="E59" s="393" t="s">
        <v>989</v>
      </c>
      <c r="F59" s="240" t="s">
        <v>654</v>
      </c>
      <c r="G59" s="240" t="s">
        <v>655</v>
      </c>
      <c r="H59" s="240" t="s">
        <v>655</v>
      </c>
      <c r="I59" s="240">
        <v>1</v>
      </c>
      <c r="J59" s="240">
        <v>1</v>
      </c>
      <c r="K59" s="240"/>
      <c r="L59" s="394"/>
      <c r="M59" s="240"/>
      <c r="N59" s="240">
        <v>1</v>
      </c>
      <c r="O59" s="394"/>
      <c r="P59" s="394">
        <v>1</v>
      </c>
      <c r="Q59" s="240"/>
      <c r="R59" s="394"/>
      <c r="S59" s="394"/>
      <c r="T59" s="394">
        <v>1</v>
      </c>
      <c r="U59" s="394">
        <v>1</v>
      </c>
      <c r="V59" s="394"/>
      <c r="W59" s="394"/>
      <c r="X59" s="394"/>
      <c r="Y59" s="394"/>
      <c r="Z59" s="394"/>
      <c r="AA59" s="394"/>
      <c r="AB59" s="240"/>
      <c r="AC59" s="394"/>
      <c r="AD59" s="394"/>
      <c r="AE59" s="395"/>
      <c r="AF59" s="395"/>
      <c r="AG59" s="395"/>
      <c r="AH59" s="395"/>
      <c r="AI59" s="395"/>
      <c r="AJ59" s="395"/>
      <c r="AK59" s="395"/>
      <c r="AL59" s="395"/>
      <c r="AM59" s="395">
        <v>1</v>
      </c>
      <c r="AN59" s="395"/>
      <c r="AO59" s="395">
        <v>1</v>
      </c>
      <c r="AP59" s="395"/>
      <c r="AQ59" s="395"/>
      <c r="AR59" s="395"/>
      <c r="AS59" s="395"/>
      <c r="AT59" s="395"/>
      <c r="AU59" s="395"/>
      <c r="AV59" s="395"/>
      <c r="AW59" s="395"/>
      <c r="AX59" s="395"/>
      <c r="AY59" s="395"/>
      <c r="AZ59" s="395"/>
      <c r="BA59" s="395"/>
      <c r="BB59" s="395"/>
      <c r="BC59" s="395"/>
      <c r="BD59" s="395"/>
      <c r="BE59" s="395"/>
      <c r="BF59" s="225">
        <f t="shared" si="90"/>
        <v>0</v>
      </c>
      <c r="BG59" s="226" t="str">
        <f t="shared" si="91"/>
        <v>Non Applicabile</v>
      </c>
      <c r="BH59" s="226" t="s">
        <v>990</v>
      </c>
      <c r="BI59" s="226"/>
      <c r="BJ59" s="229"/>
      <c r="BK59" s="227"/>
      <c r="BL59" s="324" t="s">
        <v>991</v>
      </c>
      <c r="BM59" s="324" t="s">
        <v>992</v>
      </c>
      <c r="BN59" s="324" t="s">
        <v>993</v>
      </c>
      <c r="BO59" s="330"/>
      <c r="BP59" s="385" t="str">
        <f>IF(G59="X",
   IF(BG59="Applicabile",
      IF(BJ59&lt;&gt;"",
         _xlfn.XLOOKUP($BJ59,Parametri_RA!$B:$B,Parametri_RA!$D:$D,0),
         0),
      ""),
   "")</f>
        <v/>
      </c>
      <c r="BQ59" s="385" t="str">
        <f>IF(H59="X",
   IF(BG59="Applicabile",
      IF(BJ59&lt;&gt;"",
         _xlfn.XLOOKUP($BJ59,Parametri_RA!$B:$B,Parametri_RA!$D:$D,0),
         0),
      ""),
   "")</f>
        <v/>
      </c>
      <c r="BR59" s="385" t="str">
        <f t="shared" si="46"/>
        <v/>
      </c>
      <c r="BS59" s="385" t="str">
        <f t="shared" si="47"/>
        <v/>
      </c>
      <c r="BT59" s="385" t="str">
        <f t="shared" si="48"/>
        <v/>
      </c>
      <c r="BU59" s="385" t="str">
        <f t="shared" si="49"/>
        <v/>
      </c>
      <c r="BV59" s="385" t="str">
        <f t="shared" si="50"/>
        <v/>
      </c>
      <c r="BW59" s="385" t="str">
        <f t="shared" si="51"/>
        <v/>
      </c>
      <c r="BX59" s="385" t="str">
        <f t="shared" si="52"/>
        <v/>
      </c>
      <c r="BY59" s="385" t="str">
        <f t="shared" si="53"/>
        <v/>
      </c>
      <c r="BZ59" s="385" t="str">
        <f t="shared" si="54"/>
        <v/>
      </c>
      <c r="CA59" s="385" t="str">
        <f t="shared" si="55"/>
        <v/>
      </c>
      <c r="CB59" s="385" t="str">
        <f t="shared" si="56"/>
        <v/>
      </c>
      <c r="CC59" s="385" t="str">
        <f t="shared" si="57"/>
        <v/>
      </c>
      <c r="CD59" s="385" t="str">
        <f t="shared" si="58"/>
        <v/>
      </c>
      <c r="CE59" s="385" t="str">
        <f t="shared" si="59"/>
        <v/>
      </c>
      <c r="CF59" s="385" t="str">
        <f t="shared" si="60"/>
        <v/>
      </c>
      <c r="CG59" s="385" t="str">
        <f t="shared" si="61"/>
        <v/>
      </c>
      <c r="CH59" s="385" t="str">
        <f t="shared" si="62"/>
        <v/>
      </c>
      <c r="CI59" s="385" t="str">
        <f t="shared" si="63"/>
        <v/>
      </c>
      <c r="CJ59" s="385" t="str">
        <f t="shared" si="64"/>
        <v/>
      </c>
      <c r="CK59" s="385" t="str">
        <f t="shared" si="65"/>
        <v/>
      </c>
      <c r="CL59" s="385" t="str">
        <f t="shared" si="66"/>
        <v/>
      </c>
      <c r="CM59" s="385" t="str">
        <f t="shared" si="67"/>
        <v/>
      </c>
      <c r="CN59" s="385" t="str">
        <f t="shared" si="68"/>
        <v/>
      </c>
      <c r="CO59" s="385" t="str">
        <f t="shared" si="69"/>
        <v/>
      </c>
      <c r="CP59" s="385" t="str">
        <f t="shared" si="70"/>
        <v/>
      </c>
      <c r="CQ59" s="385" t="str">
        <f t="shared" si="71"/>
        <v/>
      </c>
      <c r="CR59" s="385" t="str">
        <f t="shared" si="72"/>
        <v/>
      </c>
      <c r="CS59" s="385" t="str">
        <f t="shared" si="73"/>
        <v/>
      </c>
      <c r="CT59" s="385" t="str">
        <f t="shared" si="74"/>
        <v/>
      </c>
      <c r="CU59" s="385" t="str">
        <f t="shared" si="75"/>
        <v/>
      </c>
      <c r="CV59" s="385" t="str">
        <f t="shared" si="76"/>
        <v/>
      </c>
      <c r="CW59" s="385" t="str">
        <f t="shared" si="77"/>
        <v/>
      </c>
      <c r="CX59" s="385" t="str">
        <f t="shared" si="78"/>
        <v/>
      </c>
      <c r="CY59" s="385" t="str">
        <f t="shared" si="79"/>
        <v/>
      </c>
      <c r="CZ59" s="385" t="str">
        <f t="shared" si="80"/>
        <v/>
      </c>
      <c r="DA59" s="385" t="str">
        <f t="shared" si="81"/>
        <v/>
      </c>
      <c r="DB59" s="385" t="str">
        <f t="shared" si="82"/>
        <v/>
      </c>
      <c r="DC59" s="385" t="str">
        <f t="shared" si="83"/>
        <v/>
      </c>
      <c r="DD59" s="385" t="str">
        <f t="shared" si="84"/>
        <v/>
      </c>
      <c r="DE59" s="385" t="str">
        <f t="shared" si="85"/>
        <v/>
      </c>
      <c r="DF59" s="385" t="str">
        <f t="shared" si="86"/>
        <v/>
      </c>
      <c r="DG59" s="385" t="str">
        <f t="shared" si="87"/>
        <v/>
      </c>
      <c r="DH59" s="385" t="str">
        <f t="shared" si="88"/>
        <v/>
      </c>
      <c r="DI59" s="385" t="str">
        <f t="shared" si="89"/>
        <v/>
      </c>
    </row>
    <row r="60" spans="1:113" ht="51" x14ac:dyDescent="0.35">
      <c r="A60" s="21" t="s">
        <v>994</v>
      </c>
      <c r="B60" s="396">
        <f>'Appoggio_BIA Servizio'!$B$5</f>
        <v>0</v>
      </c>
      <c r="C60" s="392" t="s">
        <v>928</v>
      </c>
      <c r="D60" s="392" t="s">
        <v>995</v>
      </c>
      <c r="E60" s="393" t="s">
        <v>996</v>
      </c>
      <c r="F60" s="240" t="s">
        <v>654</v>
      </c>
      <c r="G60" s="240" t="s">
        <v>655</v>
      </c>
      <c r="H60" s="240"/>
      <c r="I60" s="240">
        <v>1</v>
      </c>
      <c r="J60" s="240">
        <v>1</v>
      </c>
      <c r="K60" s="240">
        <v>1</v>
      </c>
      <c r="L60" s="394">
        <v>0.4</v>
      </c>
      <c r="M60" s="240">
        <v>1</v>
      </c>
      <c r="N60" s="240">
        <v>1</v>
      </c>
      <c r="O60" s="394"/>
      <c r="P60" s="394">
        <v>1</v>
      </c>
      <c r="Q60" s="240"/>
      <c r="R60" s="240">
        <v>0.7</v>
      </c>
      <c r="S60" s="240">
        <v>0.7</v>
      </c>
      <c r="T60" s="240">
        <v>0.7</v>
      </c>
      <c r="U60" s="240">
        <v>0.7</v>
      </c>
      <c r="V60" s="394">
        <v>0.7</v>
      </c>
      <c r="W60" s="394"/>
      <c r="X60" s="394"/>
      <c r="Y60" s="394"/>
      <c r="Z60" s="394"/>
      <c r="AA60" s="394"/>
      <c r="AB60" s="240"/>
      <c r="AC60" s="394"/>
      <c r="AD60" s="394"/>
      <c r="AE60" s="395"/>
      <c r="AF60" s="395"/>
      <c r="AG60" s="395"/>
      <c r="AH60" s="395"/>
      <c r="AI60" s="395"/>
      <c r="AJ60" s="395"/>
      <c r="AK60" s="395"/>
      <c r="AL60" s="395"/>
      <c r="AM60" s="395">
        <v>1</v>
      </c>
      <c r="AN60" s="395"/>
      <c r="AO60" s="395">
        <v>1</v>
      </c>
      <c r="AP60" s="395"/>
      <c r="AQ60" s="395"/>
      <c r="AR60" s="395"/>
      <c r="AS60" s="395"/>
      <c r="AT60" s="395"/>
      <c r="AU60" s="395"/>
      <c r="AV60" s="395"/>
      <c r="AW60" s="395"/>
      <c r="AX60" s="395"/>
      <c r="AY60" s="395"/>
      <c r="AZ60" s="395"/>
      <c r="BA60" s="395"/>
      <c r="BB60" s="395"/>
      <c r="BC60" s="395"/>
      <c r="BD60" s="395"/>
      <c r="BE60" s="395"/>
      <c r="BF60" s="225">
        <f t="shared" si="90"/>
        <v>0</v>
      </c>
      <c r="BG60" s="226" t="str">
        <f t="shared" si="91"/>
        <v>Non Applicabile</v>
      </c>
      <c r="BH60" s="226" t="s">
        <v>997</v>
      </c>
      <c r="BI60" s="226"/>
      <c r="BJ60" s="229"/>
      <c r="BK60" s="227"/>
      <c r="BL60" s="324" t="s">
        <v>998</v>
      </c>
      <c r="BM60" s="324" t="s">
        <v>999</v>
      </c>
      <c r="BN60" s="324" t="s">
        <v>1000</v>
      </c>
      <c r="BO60" s="330"/>
      <c r="BP60" s="385" t="str">
        <f>IF(G60="X",
   IF(BG60="Applicabile",
      IF(BJ60&lt;&gt;"",
         _xlfn.XLOOKUP($BJ60,Parametri_RA!$B:$B,Parametri_RA!$D:$D,0),
         0),
      ""),
   "")</f>
        <v/>
      </c>
      <c r="BQ60" s="385" t="str">
        <f>IF(H60="X",
   IF(BG60="Applicabile",
      IF(BJ60&lt;&gt;"",
         _xlfn.XLOOKUP($BJ60,Parametri_RA!$B:$B,Parametri_RA!$D:$D,0),
         0),
      ""),
   "")</f>
        <v/>
      </c>
      <c r="BR60" s="385" t="str">
        <f t="shared" si="46"/>
        <v/>
      </c>
      <c r="BS60" s="385" t="str">
        <f t="shared" si="47"/>
        <v/>
      </c>
      <c r="BT60" s="385" t="str">
        <f t="shared" si="48"/>
        <v/>
      </c>
      <c r="BU60" s="385" t="str">
        <f t="shared" si="49"/>
        <v/>
      </c>
      <c r="BV60" s="385" t="str">
        <f t="shared" si="50"/>
        <v/>
      </c>
      <c r="BW60" s="385" t="str">
        <f t="shared" si="51"/>
        <v/>
      </c>
      <c r="BX60" s="385" t="str">
        <f t="shared" si="52"/>
        <v/>
      </c>
      <c r="BY60" s="385" t="str">
        <f t="shared" si="53"/>
        <v/>
      </c>
      <c r="BZ60" s="385" t="str">
        <f t="shared" si="54"/>
        <v/>
      </c>
      <c r="CA60" s="385" t="str">
        <f t="shared" si="55"/>
        <v/>
      </c>
      <c r="CB60" s="385" t="str">
        <f t="shared" si="56"/>
        <v/>
      </c>
      <c r="CC60" s="385" t="str">
        <f t="shared" si="57"/>
        <v/>
      </c>
      <c r="CD60" s="385" t="str">
        <f t="shared" si="58"/>
        <v/>
      </c>
      <c r="CE60" s="385" t="str">
        <f t="shared" si="59"/>
        <v/>
      </c>
      <c r="CF60" s="385" t="str">
        <f t="shared" si="60"/>
        <v/>
      </c>
      <c r="CG60" s="385" t="str">
        <f t="shared" si="61"/>
        <v/>
      </c>
      <c r="CH60" s="385" t="str">
        <f t="shared" si="62"/>
        <v/>
      </c>
      <c r="CI60" s="385" t="str">
        <f t="shared" si="63"/>
        <v/>
      </c>
      <c r="CJ60" s="385" t="str">
        <f t="shared" si="64"/>
        <v/>
      </c>
      <c r="CK60" s="385" t="str">
        <f t="shared" si="65"/>
        <v/>
      </c>
      <c r="CL60" s="385" t="str">
        <f t="shared" si="66"/>
        <v/>
      </c>
      <c r="CM60" s="385" t="str">
        <f t="shared" si="67"/>
        <v/>
      </c>
      <c r="CN60" s="385" t="str">
        <f t="shared" si="68"/>
        <v/>
      </c>
      <c r="CO60" s="385" t="str">
        <f t="shared" si="69"/>
        <v/>
      </c>
      <c r="CP60" s="385" t="str">
        <f t="shared" si="70"/>
        <v/>
      </c>
      <c r="CQ60" s="385" t="str">
        <f t="shared" si="71"/>
        <v/>
      </c>
      <c r="CR60" s="385" t="str">
        <f t="shared" si="72"/>
        <v/>
      </c>
      <c r="CS60" s="385" t="str">
        <f t="shared" si="73"/>
        <v/>
      </c>
      <c r="CT60" s="385" t="str">
        <f t="shared" si="74"/>
        <v/>
      </c>
      <c r="CU60" s="385" t="str">
        <f t="shared" si="75"/>
        <v/>
      </c>
      <c r="CV60" s="385" t="str">
        <f t="shared" si="76"/>
        <v/>
      </c>
      <c r="CW60" s="385" t="str">
        <f t="shared" si="77"/>
        <v/>
      </c>
      <c r="CX60" s="385" t="str">
        <f t="shared" si="78"/>
        <v/>
      </c>
      <c r="CY60" s="385" t="str">
        <f t="shared" si="79"/>
        <v/>
      </c>
      <c r="CZ60" s="385" t="str">
        <f t="shared" si="80"/>
        <v/>
      </c>
      <c r="DA60" s="385" t="str">
        <f t="shared" si="81"/>
        <v/>
      </c>
      <c r="DB60" s="385" t="str">
        <f t="shared" si="82"/>
        <v/>
      </c>
      <c r="DC60" s="385" t="str">
        <f t="shared" si="83"/>
        <v/>
      </c>
      <c r="DD60" s="385" t="str">
        <f t="shared" si="84"/>
        <v/>
      </c>
      <c r="DE60" s="385" t="str">
        <f t="shared" si="85"/>
        <v/>
      </c>
      <c r="DF60" s="385" t="str">
        <f t="shared" si="86"/>
        <v/>
      </c>
      <c r="DG60" s="385" t="str">
        <f t="shared" si="87"/>
        <v/>
      </c>
      <c r="DH60" s="385" t="str">
        <f t="shared" si="88"/>
        <v/>
      </c>
      <c r="DI60" s="385" t="str">
        <f t="shared" si="89"/>
        <v/>
      </c>
    </row>
    <row r="61" spans="1:113" ht="51" x14ac:dyDescent="0.35">
      <c r="A61" s="21" t="s">
        <v>1001</v>
      </c>
      <c r="B61" s="396">
        <f>'Appoggio_BIA Servizio'!$B$5</f>
        <v>0</v>
      </c>
      <c r="C61" s="392" t="s">
        <v>928</v>
      </c>
      <c r="D61" s="392" t="s">
        <v>1002</v>
      </c>
      <c r="E61" s="393" t="s">
        <v>1003</v>
      </c>
      <c r="F61" s="240" t="s">
        <v>671</v>
      </c>
      <c r="G61" s="240" t="s">
        <v>655</v>
      </c>
      <c r="H61" s="240"/>
      <c r="I61" s="240">
        <v>0.7</v>
      </c>
      <c r="J61" s="240">
        <v>0.7</v>
      </c>
      <c r="K61" s="240"/>
      <c r="L61" s="394"/>
      <c r="M61" s="240">
        <v>0.7</v>
      </c>
      <c r="N61" s="240">
        <v>0.7</v>
      </c>
      <c r="O61" s="394"/>
      <c r="P61" s="394"/>
      <c r="Q61" s="240"/>
      <c r="R61" s="394"/>
      <c r="S61" s="394"/>
      <c r="T61" s="394">
        <v>0.4</v>
      </c>
      <c r="U61" s="394">
        <v>0.4</v>
      </c>
      <c r="V61" s="394"/>
      <c r="W61" s="394">
        <v>0.4</v>
      </c>
      <c r="X61" s="394"/>
      <c r="Y61" s="394"/>
      <c r="Z61" s="394"/>
      <c r="AA61" s="394"/>
      <c r="AB61" s="240"/>
      <c r="AC61" s="394"/>
      <c r="AD61" s="394"/>
      <c r="AE61" s="395"/>
      <c r="AF61" s="395"/>
      <c r="AG61" s="395"/>
      <c r="AH61" s="395"/>
      <c r="AI61" s="395"/>
      <c r="AJ61" s="395"/>
      <c r="AK61" s="395"/>
      <c r="AL61" s="395"/>
      <c r="AM61" s="395">
        <v>1</v>
      </c>
      <c r="AN61" s="395"/>
      <c r="AO61" s="395">
        <v>1</v>
      </c>
      <c r="AP61" s="395"/>
      <c r="AQ61" s="395"/>
      <c r="AR61" s="395"/>
      <c r="AS61" s="395"/>
      <c r="AT61" s="395"/>
      <c r="AU61" s="395"/>
      <c r="AV61" s="395"/>
      <c r="AW61" s="395"/>
      <c r="AX61" s="395"/>
      <c r="AY61" s="395"/>
      <c r="AZ61" s="395"/>
      <c r="BA61" s="395">
        <v>1</v>
      </c>
      <c r="BB61" s="395"/>
      <c r="BC61" s="395"/>
      <c r="BD61" s="395"/>
      <c r="BE61" s="395"/>
      <c r="BF61" s="225">
        <f t="shared" si="90"/>
        <v>0</v>
      </c>
      <c r="BG61" s="226" t="str">
        <f t="shared" si="91"/>
        <v>Non Applicabile</v>
      </c>
      <c r="BH61" s="226" t="s">
        <v>1004</v>
      </c>
      <c r="BI61" s="228"/>
      <c r="BJ61" s="229"/>
      <c r="BK61" s="227"/>
      <c r="BL61" s="324" t="s">
        <v>899</v>
      </c>
      <c r="BM61" s="324" t="s">
        <v>1005</v>
      </c>
      <c r="BN61" s="324" t="s">
        <v>1006</v>
      </c>
      <c r="BO61" s="330"/>
      <c r="BP61" s="385" t="str">
        <f>IF(G61="X",
   IF(BG61="Applicabile",
      IF(BJ61&lt;&gt;"",
         _xlfn.XLOOKUP($BJ61,Parametri_RA!$B:$B,Parametri_RA!$D:$D,0),
         0),
      ""),
   "")</f>
        <v/>
      </c>
      <c r="BQ61" s="385" t="str">
        <f>IF(H61="X",
   IF(BG61="Applicabile",
      IF(BJ61&lt;&gt;"",
         _xlfn.XLOOKUP($BJ61,Parametri_RA!$B:$B,Parametri_RA!$D:$D,0),
         0),
      ""),
   "")</f>
        <v/>
      </c>
      <c r="BR61" s="385" t="str">
        <f t="shared" si="46"/>
        <v/>
      </c>
      <c r="BS61" s="385" t="str">
        <f t="shared" si="47"/>
        <v/>
      </c>
      <c r="BT61" s="385" t="str">
        <f t="shared" si="48"/>
        <v/>
      </c>
      <c r="BU61" s="385" t="str">
        <f t="shared" si="49"/>
        <v/>
      </c>
      <c r="BV61" s="385" t="str">
        <f t="shared" si="50"/>
        <v/>
      </c>
      <c r="BW61" s="385" t="str">
        <f t="shared" si="51"/>
        <v/>
      </c>
      <c r="BX61" s="385" t="str">
        <f t="shared" si="52"/>
        <v/>
      </c>
      <c r="BY61" s="385" t="str">
        <f t="shared" si="53"/>
        <v/>
      </c>
      <c r="BZ61" s="385" t="str">
        <f t="shared" si="54"/>
        <v/>
      </c>
      <c r="CA61" s="385" t="str">
        <f t="shared" si="55"/>
        <v/>
      </c>
      <c r="CB61" s="385" t="str">
        <f t="shared" si="56"/>
        <v/>
      </c>
      <c r="CC61" s="385" t="str">
        <f t="shared" si="57"/>
        <v/>
      </c>
      <c r="CD61" s="385" t="str">
        <f t="shared" si="58"/>
        <v/>
      </c>
      <c r="CE61" s="385" t="str">
        <f t="shared" si="59"/>
        <v/>
      </c>
      <c r="CF61" s="385" t="str">
        <f t="shared" si="60"/>
        <v/>
      </c>
      <c r="CG61" s="385" t="str">
        <f t="shared" si="61"/>
        <v/>
      </c>
      <c r="CH61" s="385" t="str">
        <f t="shared" si="62"/>
        <v/>
      </c>
      <c r="CI61" s="385" t="str">
        <f t="shared" si="63"/>
        <v/>
      </c>
      <c r="CJ61" s="385" t="str">
        <f t="shared" si="64"/>
        <v/>
      </c>
      <c r="CK61" s="385" t="str">
        <f t="shared" si="65"/>
        <v/>
      </c>
      <c r="CL61" s="385" t="str">
        <f t="shared" si="66"/>
        <v/>
      </c>
      <c r="CM61" s="385" t="str">
        <f t="shared" si="67"/>
        <v/>
      </c>
      <c r="CN61" s="385" t="str">
        <f t="shared" si="68"/>
        <v/>
      </c>
      <c r="CO61" s="385" t="str">
        <f t="shared" si="69"/>
        <v/>
      </c>
      <c r="CP61" s="385" t="str">
        <f t="shared" si="70"/>
        <v/>
      </c>
      <c r="CQ61" s="385" t="str">
        <f t="shared" si="71"/>
        <v/>
      </c>
      <c r="CR61" s="385" t="str">
        <f t="shared" si="72"/>
        <v/>
      </c>
      <c r="CS61" s="385" t="str">
        <f t="shared" si="73"/>
        <v/>
      </c>
      <c r="CT61" s="385" t="str">
        <f t="shared" si="74"/>
        <v/>
      </c>
      <c r="CU61" s="385" t="str">
        <f t="shared" si="75"/>
        <v/>
      </c>
      <c r="CV61" s="385" t="str">
        <f t="shared" si="76"/>
        <v/>
      </c>
      <c r="CW61" s="385" t="str">
        <f t="shared" si="77"/>
        <v/>
      </c>
      <c r="CX61" s="385" t="str">
        <f t="shared" si="78"/>
        <v/>
      </c>
      <c r="CY61" s="385" t="str">
        <f t="shared" si="79"/>
        <v/>
      </c>
      <c r="CZ61" s="385" t="str">
        <f t="shared" si="80"/>
        <v/>
      </c>
      <c r="DA61" s="385" t="str">
        <f t="shared" si="81"/>
        <v/>
      </c>
      <c r="DB61" s="385" t="str">
        <f t="shared" si="82"/>
        <v/>
      </c>
      <c r="DC61" s="385" t="str">
        <f t="shared" si="83"/>
        <v/>
      </c>
      <c r="DD61" s="385" t="str">
        <f t="shared" si="84"/>
        <v/>
      </c>
      <c r="DE61" s="385" t="str">
        <f t="shared" si="85"/>
        <v/>
      </c>
      <c r="DF61" s="385" t="str">
        <f t="shared" si="86"/>
        <v/>
      </c>
      <c r="DG61" s="385" t="str">
        <f t="shared" si="87"/>
        <v/>
      </c>
      <c r="DH61" s="385" t="str">
        <f t="shared" si="88"/>
        <v/>
      </c>
      <c r="DI61" s="385" t="str">
        <f t="shared" si="89"/>
        <v/>
      </c>
    </row>
    <row r="62" spans="1:113" ht="99" x14ac:dyDescent="0.35">
      <c r="A62" s="21" t="s">
        <v>1007</v>
      </c>
      <c r="B62" s="396">
        <f>'Appoggio_BIA Servizio'!$B$5</f>
        <v>0</v>
      </c>
      <c r="C62" s="392" t="s">
        <v>928</v>
      </c>
      <c r="D62" s="392" t="s">
        <v>1008</v>
      </c>
      <c r="E62" s="393" t="s">
        <v>1009</v>
      </c>
      <c r="F62" s="240" t="s">
        <v>654</v>
      </c>
      <c r="G62" s="240"/>
      <c r="H62" s="240" t="s">
        <v>655</v>
      </c>
      <c r="I62" s="240">
        <v>1</v>
      </c>
      <c r="J62" s="240">
        <v>1</v>
      </c>
      <c r="K62" s="240">
        <v>1</v>
      </c>
      <c r="L62" s="394"/>
      <c r="M62" s="240">
        <v>0.7</v>
      </c>
      <c r="N62" s="240">
        <v>0.7</v>
      </c>
      <c r="O62" s="394"/>
      <c r="P62" s="394">
        <v>0.4</v>
      </c>
      <c r="Q62" s="240">
        <v>1</v>
      </c>
      <c r="R62" s="394">
        <v>1</v>
      </c>
      <c r="S62" s="394">
        <v>0.7</v>
      </c>
      <c r="T62" s="394"/>
      <c r="U62" s="394">
        <v>0.4</v>
      </c>
      <c r="V62" s="394"/>
      <c r="W62" s="394"/>
      <c r="X62" s="394">
        <v>0.7</v>
      </c>
      <c r="Y62" s="394"/>
      <c r="Z62" s="394"/>
      <c r="AA62" s="394"/>
      <c r="AB62" s="240"/>
      <c r="AC62" s="394"/>
      <c r="AD62" s="394"/>
      <c r="AE62" s="395"/>
      <c r="AF62" s="395"/>
      <c r="AG62" s="395"/>
      <c r="AH62" s="395"/>
      <c r="AI62" s="395"/>
      <c r="AJ62" s="395"/>
      <c r="AK62" s="395">
        <v>1</v>
      </c>
      <c r="AL62" s="395"/>
      <c r="AM62" s="395">
        <v>1</v>
      </c>
      <c r="AN62" s="395">
        <v>1</v>
      </c>
      <c r="AO62" s="395">
        <v>1</v>
      </c>
      <c r="AP62" s="395"/>
      <c r="AQ62" s="395"/>
      <c r="AR62" s="395"/>
      <c r="AS62" s="395"/>
      <c r="AT62" s="395"/>
      <c r="AU62" s="395"/>
      <c r="AV62" s="395"/>
      <c r="AW62" s="395"/>
      <c r="AX62" s="395"/>
      <c r="AY62" s="395"/>
      <c r="AZ62" s="395"/>
      <c r="BA62" s="395"/>
      <c r="BB62" s="395"/>
      <c r="BC62" s="395"/>
      <c r="BD62" s="395"/>
      <c r="BE62" s="395"/>
      <c r="BF62" s="225">
        <f t="shared" si="90"/>
        <v>0</v>
      </c>
      <c r="BG62" s="226" t="str">
        <f t="shared" si="91"/>
        <v>Non Applicabile</v>
      </c>
      <c r="BH62" s="226" t="s">
        <v>1010</v>
      </c>
      <c r="BI62" s="226"/>
      <c r="BJ62" s="229"/>
      <c r="BK62" s="227"/>
      <c r="BL62" s="324" t="s">
        <v>1011</v>
      </c>
      <c r="BM62" s="324" t="s">
        <v>1012</v>
      </c>
      <c r="BN62" s="324" t="s">
        <v>1013</v>
      </c>
      <c r="BO62" s="330"/>
      <c r="BP62" s="385" t="str">
        <f>IF(G62="X",
   IF(BG62="Applicabile",
      IF(BJ62&lt;&gt;"",
         _xlfn.XLOOKUP($BJ62,Parametri_RA!$B:$B,Parametri_RA!$D:$D,0),
         0),
      ""),
   "")</f>
        <v/>
      </c>
      <c r="BQ62" s="385" t="str">
        <f>IF(H62="X",
   IF(BG62="Applicabile",
      IF(BJ62&lt;&gt;"",
         _xlfn.XLOOKUP($BJ62,Parametri_RA!$B:$B,Parametri_RA!$D:$D,0),
         0),
      ""),
   "")</f>
        <v/>
      </c>
      <c r="BR62" s="385" t="str">
        <f t="shared" si="46"/>
        <v/>
      </c>
      <c r="BS62" s="385" t="str">
        <f t="shared" si="47"/>
        <v/>
      </c>
      <c r="BT62" s="385" t="str">
        <f t="shared" si="48"/>
        <v/>
      </c>
      <c r="BU62" s="385" t="str">
        <f t="shared" si="49"/>
        <v/>
      </c>
      <c r="BV62" s="385" t="str">
        <f t="shared" si="50"/>
        <v/>
      </c>
      <c r="BW62" s="385" t="str">
        <f t="shared" si="51"/>
        <v/>
      </c>
      <c r="BX62" s="385" t="str">
        <f t="shared" si="52"/>
        <v/>
      </c>
      <c r="BY62" s="385" t="str">
        <f t="shared" si="53"/>
        <v/>
      </c>
      <c r="BZ62" s="385" t="str">
        <f t="shared" si="54"/>
        <v/>
      </c>
      <c r="CA62" s="385" t="str">
        <f t="shared" si="55"/>
        <v/>
      </c>
      <c r="CB62" s="385" t="str">
        <f t="shared" si="56"/>
        <v/>
      </c>
      <c r="CC62" s="385" t="str">
        <f t="shared" si="57"/>
        <v/>
      </c>
      <c r="CD62" s="385" t="str">
        <f t="shared" si="58"/>
        <v/>
      </c>
      <c r="CE62" s="385" t="str">
        <f t="shared" si="59"/>
        <v/>
      </c>
      <c r="CF62" s="385" t="str">
        <f t="shared" si="60"/>
        <v/>
      </c>
      <c r="CG62" s="385" t="str">
        <f t="shared" si="61"/>
        <v/>
      </c>
      <c r="CH62" s="385" t="str">
        <f t="shared" si="62"/>
        <v/>
      </c>
      <c r="CI62" s="385" t="str">
        <f t="shared" si="63"/>
        <v/>
      </c>
      <c r="CJ62" s="385" t="str">
        <f t="shared" si="64"/>
        <v/>
      </c>
      <c r="CK62" s="385" t="str">
        <f t="shared" si="65"/>
        <v/>
      </c>
      <c r="CL62" s="385" t="str">
        <f t="shared" si="66"/>
        <v/>
      </c>
      <c r="CM62" s="385" t="str">
        <f t="shared" si="67"/>
        <v/>
      </c>
      <c r="CN62" s="385" t="str">
        <f t="shared" si="68"/>
        <v/>
      </c>
      <c r="CO62" s="385" t="str">
        <f t="shared" si="69"/>
        <v/>
      </c>
      <c r="CP62" s="385" t="str">
        <f t="shared" si="70"/>
        <v/>
      </c>
      <c r="CQ62" s="385" t="str">
        <f t="shared" si="71"/>
        <v/>
      </c>
      <c r="CR62" s="385" t="str">
        <f t="shared" si="72"/>
        <v/>
      </c>
      <c r="CS62" s="385" t="str">
        <f t="shared" si="73"/>
        <v/>
      </c>
      <c r="CT62" s="385" t="str">
        <f t="shared" si="74"/>
        <v/>
      </c>
      <c r="CU62" s="385" t="str">
        <f t="shared" si="75"/>
        <v/>
      </c>
      <c r="CV62" s="385" t="str">
        <f t="shared" si="76"/>
        <v/>
      </c>
      <c r="CW62" s="385" t="str">
        <f t="shared" si="77"/>
        <v/>
      </c>
      <c r="CX62" s="385" t="str">
        <f t="shared" si="78"/>
        <v/>
      </c>
      <c r="CY62" s="385" t="str">
        <f t="shared" si="79"/>
        <v/>
      </c>
      <c r="CZ62" s="385" t="str">
        <f t="shared" si="80"/>
        <v/>
      </c>
      <c r="DA62" s="385" t="str">
        <f t="shared" si="81"/>
        <v/>
      </c>
      <c r="DB62" s="385" t="str">
        <f t="shared" si="82"/>
        <v/>
      </c>
      <c r="DC62" s="385" t="str">
        <f t="shared" si="83"/>
        <v/>
      </c>
      <c r="DD62" s="385" t="str">
        <f t="shared" si="84"/>
        <v/>
      </c>
      <c r="DE62" s="385" t="str">
        <f t="shared" si="85"/>
        <v/>
      </c>
      <c r="DF62" s="385" t="str">
        <f t="shared" si="86"/>
        <v/>
      </c>
      <c r="DG62" s="385" t="str">
        <f t="shared" si="87"/>
        <v/>
      </c>
      <c r="DH62" s="385" t="str">
        <f t="shared" si="88"/>
        <v/>
      </c>
      <c r="DI62" s="385" t="str">
        <f t="shared" si="89"/>
        <v/>
      </c>
    </row>
    <row r="63" spans="1:113" ht="170" x14ac:dyDescent="0.35">
      <c r="A63" s="21" t="s">
        <v>1014</v>
      </c>
      <c r="B63" s="396">
        <f>'Appoggio_BIA Servizio'!$B$5</f>
        <v>0</v>
      </c>
      <c r="C63" s="392" t="s">
        <v>928</v>
      </c>
      <c r="D63" s="392" t="s">
        <v>1015</v>
      </c>
      <c r="E63" s="393" t="s">
        <v>1016</v>
      </c>
      <c r="F63" s="240" t="s">
        <v>671</v>
      </c>
      <c r="G63" s="240" t="s">
        <v>655</v>
      </c>
      <c r="H63" s="240" t="s">
        <v>655</v>
      </c>
      <c r="I63" s="240">
        <v>1</v>
      </c>
      <c r="J63" s="240">
        <v>1</v>
      </c>
      <c r="K63" s="240">
        <v>0.7</v>
      </c>
      <c r="L63" s="394"/>
      <c r="M63" s="240"/>
      <c r="N63" s="240">
        <v>0.7</v>
      </c>
      <c r="O63" s="394"/>
      <c r="P63" s="394">
        <v>1</v>
      </c>
      <c r="Q63" s="240"/>
      <c r="R63" s="394">
        <v>0.7</v>
      </c>
      <c r="S63" s="394">
        <v>0.7</v>
      </c>
      <c r="T63" s="394">
        <v>0.7</v>
      </c>
      <c r="U63" s="394"/>
      <c r="V63" s="394"/>
      <c r="W63" s="394">
        <v>0.4</v>
      </c>
      <c r="X63" s="394"/>
      <c r="Y63" s="394"/>
      <c r="Z63" s="394"/>
      <c r="AA63" s="394"/>
      <c r="AB63" s="240"/>
      <c r="AC63" s="394"/>
      <c r="AD63" s="394"/>
      <c r="AE63" s="395"/>
      <c r="AF63" s="395"/>
      <c r="AG63" s="395"/>
      <c r="AH63" s="395"/>
      <c r="AI63" s="395"/>
      <c r="AJ63" s="395"/>
      <c r="AK63" s="395"/>
      <c r="AL63" s="395"/>
      <c r="AM63" s="395">
        <v>1</v>
      </c>
      <c r="AN63" s="395"/>
      <c r="AO63" s="395">
        <v>1</v>
      </c>
      <c r="AP63" s="395"/>
      <c r="AQ63" s="395"/>
      <c r="AR63" s="395"/>
      <c r="AS63" s="395"/>
      <c r="AT63" s="395"/>
      <c r="AU63" s="395"/>
      <c r="AV63" s="395"/>
      <c r="AW63" s="395"/>
      <c r="AX63" s="395">
        <v>1</v>
      </c>
      <c r="AY63" s="395"/>
      <c r="AZ63" s="395"/>
      <c r="BA63" s="395"/>
      <c r="BB63" s="395"/>
      <c r="BC63" s="395"/>
      <c r="BD63" s="395"/>
      <c r="BE63" s="395"/>
      <c r="BF63" s="225">
        <f t="shared" si="90"/>
        <v>0</v>
      </c>
      <c r="BG63" s="226" t="str">
        <f t="shared" si="91"/>
        <v>Non Applicabile</v>
      </c>
      <c r="BH63" s="226" t="s">
        <v>1017</v>
      </c>
      <c r="BI63" s="228"/>
      <c r="BJ63" s="229"/>
      <c r="BK63" s="227"/>
      <c r="BL63" s="324" t="s">
        <v>1018</v>
      </c>
      <c r="BM63" s="324" t="s">
        <v>1019</v>
      </c>
      <c r="BN63" s="324" t="s">
        <v>1020</v>
      </c>
      <c r="BO63" s="330"/>
      <c r="BP63" s="385" t="str">
        <f>IF(G63="X",
   IF(BG63="Applicabile",
      IF(BJ63&lt;&gt;"",
         _xlfn.XLOOKUP($BJ63,Parametri_RA!$B:$B,Parametri_RA!$D:$D,0),
         0),
      ""),
   "")</f>
        <v/>
      </c>
      <c r="BQ63" s="385" t="str">
        <f>IF(H63="X",
   IF(BG63="Applicabile",
      IF(BJ63&lt;&gt;"",
         _xlfn.XLOOKUP($BJ63,Parametri_RA!$B:$B,Parametri_RA!$D:$D,0),
         0),
      ""),
   "")</f>
        <v/>
      </c>
      <c r="BR63" s="385" t="str">
        <f t="shared" si="46"/>
        <v/>
      </c>
      <c r="BS63" s="385" t="str">
        <f t="shared" si="47"/>
        <v/>
      </c>
      <c r="BT63" s="385" t="str">
        <f t="shared" si="48"/>
        <v/>
      </c>
      <c r="BU63" s="385" t="str">
        <f t="shared" si="49"/>
        <v/>
      </c>
      <c r="BV63" s="385" t="str">
        <f t="shared" si="50"/>
        <v/>
      </c>
      <c r="BW63" s="385" t="str">
        <f t="shared" si="51"/>
        <v/>
      </c>
      <c r="BX63" s="385" t="str">
        <f t="shared" si="52"/>
        <v/>
      </c>
      <c r="BY63" s="385" t="str">
        <f t="shared" si="53"/>
        <v/>
      </c>
      <c r="BZ63" s="385" t="str">
        <f t="shared" si="54"/>
        <v/>
      </c>
      <c r="CA63" s="385" t="str">
        <f t="shared" si="55"/>
        <v/>
      </c>
      <c r="CB63" s="385" t="str">
        <f t="shared" si="56"/>
        <v/>
      </c>
      <c r="CC63" s="385" t="str">
        <f t="shared" si="57"/>
        <v/>
      </c>
      <c r="CD63" s="385" t="str">
        <f t="shared" si="58"/>
        <v/>
      </c>
      <c r="CE63" s="385" t="str">
        <f t="shared" si="59"/>
        <v/>
      </c>
      <c r="CF63" s="385" t="str">
        <f t="shared" si="60"/>
        <v/>
      </c>
      <c r="CG63" s="385" t="str">
        <f t="shared" si="61"/>
        <v/>
      </c>
      <c r="CH63" s="385" t="str">
        <f t="shared" si="62"/>
        <v/>
      </c>
      <c r="CI63" s="385" t="str">
        <f t="shared" si="63"/>
        <v/>
      </c>
      <c r="CJ63" s="385" t="str">
        <f t="shared" si="64"/>
        <v/>
      </c>
      <c r="CK63" s="385" t="str">
        <f t="shared" si="65"/>
        <v/>
      </c>
      <c r="CL63" s="385" t="str">
        <f t="shared" si="66"/>
        <v/>
      </c>
      <c r="CM63" s="385" t="str">
        <f t="shared" si="67"/>
        <v/>
      </c>
      <c r="CN63" s="385" t="str">
        <f t="shared" si="68"/>
        <v/>
      </c>
      <c r="CO63" s="385" t="str">
        <f t="shared" si="69"/>
        <v/>
      </c>
      <c r="CP63" s="385" t="str">
        <f t="shared" si="70"/>
        <v/>
      </c>
      <c r="CQ63" s="385" t="str">
        <f t="shared" si="71"/>
        <v/>
      </c>
      <c r="CR63" s="385" t="str">
        <f t="shared" si="72"/>
        <v/>
      </c>
      <c r="CS63" s="385" t="str">
        <f t="shared" si="73"/>
        <v/>
      </c>
      <c r="CT63" s="385" t="str">
        <f t="shared" si="74"/>
        <v/>
      </c>
      <c r="CU63" s="385" t="str">
        <f t="shared" si="75"/>
        <v/>
      </c>
      <c r="CV63" s="385" t="str">
        <f t="shared" si="76"/>
        <v/>
      </c>
      <c r="CW63" s="385" t="str">
        <f t="shared" si="77"/>
        <v/>
      </c>
      <c r="CX63" s="385" t="str">
        <f t="shared" si="78"/>
        <v/>
      </c>
      <c r="CY63" s="385" t="str">
        <f t="shared" si="79"/>
        <v/>
      </c>
      <c r="CZ63" s="385" t="str">
        <f t="shared" si="80"/>
        <v/>
      </c>
      <c r="DA63" s="385" t="str">
        <f t="shared" si="81"/>
        <v/>
      </c>
      <c r="DB63" s="385" t="str">
        <f t="shared" si="82"/>
        <v/>
      </c>
      <c r="DC63" s="385" t="str">
        <f t="shared" si="83"/>
        <v/>
      </c>
      <c r="DD63" s="385" t="str">
        <f t="shared" si="84"/>
        <v/>
      </c>
      <c r="DE63" s="385" t="str">
        <f t="shared" si="85"/>
        <v/>
      </c>
      <c r="DF63" s="385" t="str">
        <f t="shared" si="86"/>
        <v/>
      </c>
      <c r="DG63" s="385" t="str">
        <f t="shared" si="87"/>
        <v/>
      </c>
      <c r="DH63" s="385" t="str">
        <f t="shared" si="88"/>
        <v/>
      </c>
      <c r="DI63" s="385" t="str">
        <f t="shared" si="89"/>
        <v/>
      </c>
    </row>
    <row r="64" spans="1:113" ht="51" x14ac:dyDescent="0.35">
      <c r="A64" s="21" t="s">
        <v>1021</v>
      </c>
      <c r="B64" s="396">
        <f>'Appoggio_BIA Servizio'!$B$5</f>
        <v>0</v>
      </c>
      <c r="C64" s="392" t="s">
        <v>928</v>
      </c>
      <c r="D64" s="392" t="s">
        <v>1022</v>
      </c>
      <c r="E64" s="393" t="s">
        <v>1023</v>
      </c>
      <c r="F64" s="240" t="s">
        <v>663</v>
      </c>
      <c r="G64" s="240" t="s">
        <v>655</v>
      </c>
      <c r="H64" s="240" t="s">
        <v>655</v>
      </c>
      <c r="I64" s="240">
        <v>0.7</v>
      </c>
      <c r="J64" s="240">
        <v>0.7</v>
      </c>
      <c r="K64" s="240">
        <v>0.7</v>
      </c>
      <c r="L64" s="394"/>
      <c r="M64" s="240">
        <v>0.4</v>
      </c>
      <c r="N64" s="240">
        <v>0.7</v>
      </c>
      <c r="O64" s="394"/>
      <c r="P64" s="240">
        <v>0.4</v>
      </c>
      <c r="Q64" s="240">
        <v>0.4</v>
      </c>
      <c r="R64" s="394">
        <v>0.7</v>
      </c>
      <c r="S64" s="394">
        <v>0.7</v>
      </c>
      <c r="T64" s="394"/>
      <c r="U64" s="394">
        <v>0.7</v>
      </c>
      <c r="V64" s="394">
        <v>0.4</v>
      </c>
      <c r="W64" s="394"/>
      <c r="X64" s="394"/>
      <c r="Y64" s="394"/>
      <c r="Z64" s="394"/>
      <c r="AA64" s="394"/>
      <c r="AB64" s="240"/>
      <c r="AC64" s="394"/>
      <c r="AD64" s="394"/>
      <c r="AE64" s="395"/>
      <c r="AF64" s="395"/>
      <c r="AG64" s="395"/>
      <c r="AH64" s="395"/>
      <c r="AI64" s="395"/>
      <c r="AJ64" s="395"/>
      <c r="AK64" s="395"/>
      <c r="AL64" s="395"/>
      <c r="AM64" s="395">
        <v>1</v>
      </c>
      <c r="AN64" s="395">
        <v>1</v>
      </c>
      <c r="AO64" s="395">
        <v>1</v>
      </c>
      <c r="AP64" s="395"/>
      <c r="AQ64" s="395"/>
      <c r="AR64" s="395"/>
      <c r="AS64" s="395"/>
      <c r="AT64" s="395"/>
      <c r="AU64" s="395"/>
      <c r="AV64" s="395"/>
      <c r="AW64" s="395"/>
      <c r="AX64" s="395"/>
      <c r="AY64" s="395"/>
      <c r="AZ64" s="395"/>
      <c r="BA64" s="395"/>
      <c r="BB64" s="395"/>
      <c r="BC64" s="395"/>
      <c r="BD64" s="395"/>
      <c r="BE64" s="395"/>
      <c r="BF64" s="225">
        <f t="shared" si="90"/>
        <v>0</v>
      </c>
      <c r="BG64" s="226" t="str">
        <f t="shared" si="91"/>
        <v>Non Applicabile</v>
      </c>
      <c r="BH64" s="226" t="s">
        <v>693</v>
      </c>
      <c r="BI64" s="228"/>
      <c r="BJ64" s="229"/>
      <c r="BK64" s="227"/>
      <c r="BL64" s="324" t="s">
        <v>911</v>
      </c>
      <c r="BM64" s="324" t="s">
        <v>1024</v>
      </c>
      <c r="BN64" s="324" t="s">
        <v>1025</v>
      </c>
      <c r="BO64" s="330"/>
      <c r="BP64" s="385" t="str">
        <f>IF(G64="X",
   IF(BG64="Applicabile",
      IF(BJ64&lt;&gt;"",
         _xlfn.XLOOKUP($BJ64,Parametri_RA!$B:$B,Parametri_RA!$D:$D,0),
         0),
      ""),
   "")</f>
        <v/>
      </c>
      <c r="BQ64" s="385" t="str">
        <f>IF(H64="X",
   IF(BG64="Applicabile",
      IF(BJ64&lt;&gt;"",
         _xlfn.XLOOKUP($BJ64,Parametri_RA!$B:$B,Parametri_RA!$D:$D,0),
         0),
      ""),
   "")</f>
        <v/>
      </c>
      <c r="BR64" s="385" t="str">
        <f t="shared" si="46"/>
        <v/>
      </c>
      <c r="BS64" s="385" t="str">
        <f t="shared" si="47"/>
        <v/>
      </c>
      <c r="BT64" s="385" t="str">
        <f t="shared" si="48"/>
        <v/>
      </c>
      <c r="BU64" s="385" t="str">
        <f t="shared" si="49"/>
        <v/>
      </c>
      <c r="BV64" s="385" t="str">
        <f t="shared" si="50"/>
        <v/>
      </c>
      <c r="BW64" s="385" t="str">
        <f t="shared" si="51"/>
        <v/>
      </c>
      <c r="BX64" s="385" t="str">
        <f t="shared" si="52"/>
        <v/>
      </c>
      <c r="BY64" s="385" t="str">
        <f t="shared" si="53"/>
        <v/>
      </c>
      <c r="BZ64" s="385" t="str">
        <f t="shared" si="54"/>
        <v/>
      </c>
      <c r="CA64" s="385" t="str">
        <f t="shared" si="55"/>
        <v/>
      </c>
      <c r="CB64" s="385" t="str">
        <f t="shared" si="56"/>
        <v/>
      </c>
      <c r="CC64" s="385" t="str">
        <f t="shared" si="57"/>
        <v/>
      </c>
      <c r="CD64" s="385" t="str">
        <f t="shared" si="58"/>
        <v/>
      </c>
      <c r="CE64" s="385" t="str">
        <f t="shared" si="59"/>
        <v/>
      </c>
      <c r="CF64" s="385" t="str">
        <f t="shared" si="60"/>
        <v/>
      </c>
      <c r="CG64" s="385" t="str">
        <f t="shared" si="61"/>
        <v/>
      </c>
      <c r="CH64" s="385" t="str">
        <f t="shared" si="62"/>
        <v/>
      </c>
      <c r="CI64" s="385" t="str">
        <f t="shared" si="63"/>
        <v/>
      </c>
      <c r="CJ64" s="385" t="str">
        <f t="shared" si="64"/>
        <v/>
      </c>
      <c r="CK64" s="385" t="str">
        <f t="shared" si="65"/>
        <v/>
      </c>
      <c r="CL64" s="385" t="str">
        <f t="shared" si="66"/>
        <v/>
      </c>
      <c r="CM64" s="385" t="str">
        <f t="shared" si="67"/>
        <v/>
      </c>
      <c r="CN64" s="385" t="str">
        <f t="shared" si="68"/>
        <v/>
      </c>
      <c r="CO64" s="385" t="str">
        <f t="shared" si="69"/>
        <v/>
      </c>
      <c r="CP64" s="385" t="str">
        <f t="shared" si="70"/>
        <v/>
      </c>
      <c r="CQ64" s="385" t="str">
        <f t="shared" si="71"/>
        <v/>
      </c>
      <c r="CR64" s="385" t="str">
        <f t="shared" si="72"/>
        <v/>
      </c>
      <c r="CS64" s="385" t="str">
        <f t="shared" si="73"/>
        <v/>
      </c>
      <c r="CT64" s="385" t="str">
        <f t="shared" si="74"/>
        <v/>
      </c>
      <c r="CU64" s="385" t="str">
        <f t="shared" si="75"/>
        <v/>
      </c>
      <c r="CV64" s="385" t="str">
        <f t="shared" si="76"/>
        <v/>
      </c>
      <c r="CW64" s="385" t="str">
        <f t="shared" si="77"/>
        <v/>
      </c>
      <c r="CX64" s="385" t="str">
        <f t="shared" si="78"/>
        <v/>
      </c>
      <c r="CY64" s="385" t="str">
        <f t="shared" si="79"/>
        <v/>
      </c>
      <c r="CZ64" s="385" t="str">
        <f t="shared" si="80"/>
        <v/>
      </c>
      <c r="DA64" s="385" t="str">
        <f t="shared" si="81"/>
        <v/>
      </c>
      <c r="DB64" s="385" t="str">
        <f t="shared" si="82"/>
        <v/>
      </c>
      <c r="DC64" s="385" t="str">
        <f t="shared" si="83"/>
        <v/>
      </c>
      <c r="DD64" s="385" t="str">
        <f t="shared" si="84"/>
        <v/>
      </c>
      <c r="DE64" s="385" t="str">
        <f t="shared" si="85"/>
        <v/>
      </c>
      <c r="DF64" s="385" t="str">
        <f t="shared" si="86"/>
        <v/>
      </c>
      <c r="DG64" s="385" t="str">
        <f t="shared" si="87"/>
        <v/>
      </c>
      <c r="DH64" s="385" t="str">
        <f t="shared" si="88"/>
        <v/>
      </c>
      <c r="DI64" s="385" t="str">
        <f t="shared" si="89"/>
        <v/>
      </c>
    </row>
    <row r="65" spans="1:113" ht="51" x14ac:dyDescent="0.35">
      <c r="A65" s="21" t="s">
        <v>1026</v>
      </c>
      <c r="B65" s="396">
        <f>'Appoggio_BIA Servizio'!$B$5</f>
        <v>0</v>
      </c>
      <c r="C65" s="392" t="s">
        <v>1027</v>
      </c>
      <c r="D65" s="392" t="s">
        <v>1028</v>
      </c>
      <c r="E65" s="393" t="s">
        <v>1029</v>
      </c>
      <c r="F65" s="240" t="s">
        <v>663</v>
      </c>
      <c r="G65" s="240" t="s">
        <v>655</v>
      </c>
      <c r="H65" s="240" t="s">
        <v>655</v>
      </c>
      <c r="I65" s="240">
        <v>0.4</v>
      </c>
      <c r="J65" s="240">
        <v>0.4</v>
      </c>
      <c r="K65" s="240">
        <v>0.4</v>
      </c>
      <c r="L65" s="394"/>
      <c r="M65" s="240"/>
      <c r="N65" s="240">
        <v>0.4</v>
      </c>
      <c r="O65" s="394"/>
      <c r="P65" s="394"/>
      <c r="Q65" s="240">
        <v>0.4</v>
      </c>
      <c r="R65" s="394"/>
      <c r="S65" s="240">
        <v>0.4</v>
      </c>
      <c r="T65" s="240">
        <v>0.4</v>
      </c>
      <c r="U65" s="394"/>
      <c r="V65" s="394"/>
      <c r="W65" s="394"/>
      <c r="X65" s="394"/>
      <c r="Y65" s="394"/>
      <c r="Z65" s="394"/>
      <c r="AA65" s="394"/>
      <c r="AB65" s="240"/>
      <c r="AC65" s="394"/>
      <c r="AD65" s="394"/>
      <c r="AE65" s="395"/>
      <c r="AF65" s="395"/>
      <c r="AG65" s="395"/>
      <c r="AH65" s="395"/>
      <c r="AI65" s="395"/>
      <c r="AJ65" s="395"/>
      <c r="AK65" s="395"/>
      <c r="AL65" s="395"/>
      <c r="AM65" s="395">
        <v>1</v>
      </c>
      <c r="AN65" s="395"/>
      <c r="AO65" s="395"/>
      <c r="AP65" s="395">
        <v>1</v>
      </c>
      <c r="AQ65" s="395"/>
      <c r="AR65" s="395">
        <v>1</v>
      </c>
      <c r="AS65" s="395"/>
      <c r="AT65" s="395"/>
      <c r="AU65" s="395"/>
      <c r="AV65" s="395"/>
      <c r="AW65" s="395"/>
      <c r="AX65" s="395">
        <v>1</v>
      </c>
      <c r="AY65" s="395"/>
      <c r="AZ65" s="395"/>
      <c r="BA65" s="395"/>
      <c r="BB65" s="395"/>
      <c r="BC65" s="395"/>
      <c r="BD65" s="395"/>
      <c r="BE65" s="395"/>
      <c r="BF65" s="225">
        <f t="shared" si="90"/>
        <v>0</v>
      </c>
      <c r="BG65" s="226" t="str">
        <f t="shared" si="91"/>
        <v>Non Applicabile</v>
      </c>
      <c r="BH65" s="226" t="s">
        <v>1030</v>
      </c>
      <c r="BI65" s="228"/>
      <c r="BJ65" s="229"/>
      <c r="BK65" s="227"/>
      <c r="BL65" s="324" t="s">
        <v>1031</v>
      </c>
      <c r="BM65" s="324" t="s">
        <v>1032</v>
      </c>
      <c r="BN65" s="324" t="s">
        <v>1033</v>
      </c>
      <c r="BO65" s="330"/>
      <c r="BP65" s="385" t="str">
        <f>IF(G65="X",
   IF(BG65="Applicabile",
      IF(BJ65&lt;&gt;"",
         _xlfn.XLOOKUP($BJ65,Parametri_RA!$B:$B,Parametri_RA!$D:$D,0),
         0),
      ""),
   "")</f>
        <v/>
      </c>
      <c r="BQ65" s="385" t="str">
        <f>IF(H65="X",
   IF(BG65="Applicabile",
      IF(BJ65&lt;&gt;"",
         _xlfn.XLOOKUP($BJ65,Parametri_RA!$B:$B,Parametri_RA!$D:$D,0),
         0),
      ""),
   "")</f>
        <v/>
      </c>
      <c r="BR65" s="385" t="str">
        <f t="shared" si="46"/>
        <v/>
      </c>
      <c r="BS65" s="385" t="str">
        <f t="shared" si="47"/>
        <v/>
      </c>
      <c r="BT65" s="385" t="str">
        <f t="shared" si="48"/>
        <v/>
      </c>
      <c r="BU65" s="385" t="str">
        <f t="shared" si="49"/>
        <v/>
      </c>
      <c r="BV65" s="385" t="str">
        <f t="shared" si="50"/>
        <v/>
      </c>
      <c r="BW65" s="385" t="str">
        <f t="shared" si="51"/>
        <v/>
      </c>
      <c r="BX65" s="385" t="str">
        <f t="shared" si="52"/>
        <v/>
      </c>
      <c r="BY65" s="385" t="str">
        <f t="shared" si="53"/>
        <v/>
      </c>
      <c r="BZ65" s="385" t="str">
        <f t="shared" si="54"/>
        <v/>
      </c>
      <c r="CA65" s="385" t="str">
        <f t="shared" si="55"/>
        <v/>
      </c>
      <c r="CB65" s="385" t="str">
        <f t="shared" si="56"/>
        <v/>
      </c>
      <c r="CC65" s="385" t="str">
        <f t="shared" si="57"/>
        <v/>
      </c>
      <c r="CD65" s="385" t="str">
        <f t="shared" si="58"/>
        <v/>
      </c>
      <c r="CE65" s="385" t="str">
        <f t="shared" si="59"/>
        <v/>
      </c>
      <c r="CF65" s="385" t="str">
        <f t="shared" si="60"/>
        <v/>
      </c>
      <c r="CG65" s="385" t="str">
        <f t="shared" si="61"/>
        <v/>
      </c>
      <c r="CH65" s="385" t="str">
        <f t="shared" si="62"/>
        <v/>
      </c>
      <c r="CI65" s="385" t="str">
        <f t="shared" si="63"/>
        <v/>
      </c>
      <c r="CJ65" s="385" t="str">
        <f t="shared" si="64"/>
        <v/>
      </c>
      <c r="CK65" s="385" t="str">
        <f t="shared" si="65"/>
        <v/>
      </c>
      <c r="CL65" s="385" t="str">
        <f t="shared" si="66"/>
        <v/>
      </c>
      <c r="CM65" s="385" t="str">
        <f t="shared" si="67"/>
        <v/>
      </c>
      <c r="CN65" s="385" t="str">
        <f t="shared" si="68"/>
        <v/>
      </c>
      <c r="CO65" s="385" t="str">
        <f t="shared" si="69"/>
        <v/>
      </c>
      <c r="CP65" s="385" t="str">
        <f t="shared" si="70"/>
        <v/>
      </c>
      <c r="CQ65" s="385" t="str">
        <f t="shared" si="71"/>
        <v/>
      </c>
      <c r="CR65" s="385" t="str">
        <f t="shared" si="72"/>
        <v/>
      </c>
      <c r="CS65" s="385" t="str">
        <f t="shared" si="73"/>
        <v/>
      </c>
      <c r="CT65" s="385" t="str">
        <f t="shared" si="74"/>
        <v/>
      </c>
      <c r="CU65" s="385" t="str">
        <f t="shared" si="75"/>
        <v/>
      </c>
      <c r="CV65" s="385" t="str">
        <f t="shared" si="76"/>
        <v/>
      </c>
      <c r="CW65" s="385" t="str">
        <f t="shared" si="77"/>
        <v/>
      </c>
      <c r="CX65" s="385" t="str">
        <f t="shared" si="78"/>
        <v/>
      </c>
      <c r="CY65" s="385" t="str">
        <f t="shared" si="79"/>
        <v/>
      </c>
      <c r="CZ65" s="385" t="str">
        <f t="shared" si="80"/>
        <v/>
      </c>
      <c r="DA65" s="385" t="str">
        <f t="shared" si="81"/>
        <v/>
      </c>
      <c r="DB65" s="385" t="str">
        <f t="shared" si="82"/>
        <v/>
      </c>
      <c r="DC65" s="385" t="str">
        <f t="shared" si="83"/>
        <v/>
      </c>
      <c r="DD65" s="385" t="str">
        <f t="shared" si="84"/>
        <v/>
      </c>
      <c r="DE65" s="385" t="str">
        <f t="shared" si="85"/>
        <v/>
      </c>
      <c r="DF65" s="385" t="str">
        <f t="shared" si="86"/>
        <v/>
      </c>
      <c r="DG65" s="385" t="str">
        <f t="shared" si="87"/>
        <v/>
      </c>
      <c r="DH65" s="385" t="str">
        <f t="shared" si="88"/>
        <v/>
      </c>
      <c r="DI65" s="385" t="str">
        <f t="shared" si="89"/>
        <v/>
      </c>
    </row>
    <row r="66" spans="1:113" ht="68" x14ac:dyDescent="0.35">
      <c r="A66" s="21" t="s">
        <v>1034</v>
      </c>
      <c r="B66" s="396">
        <f>'Appoggio_BIA Servizio'!$B$5</f>
        <v>0</v>
      </c>
      <c r="C66" s="392" t="s">
        <v>1027</v>
      </c>
      <c r="D66" s="392" t="s">
        <v>1035</v>
      </c>
      <c r="E66" s="393" t="s">
        <v>1036</v>
      </c>
      <c r="F66" s="240" t="s">
        <v>654</v>
      </c>
      <c r="G66" s="240" t="s">
        <v>655</v>
      </c>
      <c r="H66" s="240"/>
      <c r="I66" s="240">
        <v>1</v>
      </c>
      <c r="J66" s="240">
        <v>1</v>
      </c>
      <c r="K66" s="240">
        <v>1</v>
      </c>
      <c r="L66" s="394"/>
      <c r="M66" s="240"/>
      <c r="N66" s="240">
        <v>1</v>
      </c>
      <c r="O66" s="394">
        <v>1</v>
      </c>
      <c r="P66" s="394"/>
      <c r="Q66" s="240"/>
      <c r="R66" s="394"/>
      <c r="S66" s="394"/>
      <c r="T66" s="394"/>
      <c r="U66" s="394"/>
      <c r="V66" s="394"/>
      <c r="W66" s="394">
        <v>0.4</v>
      </c>
      <c r="X66" s="394"/>
      <c r="Y66" s="394"/>
      <c r="Z66" s="394"/>
      <c r="AA66" s="394"/>
      <c r="AB66" s="240"/>
      <c r="AC66" s="394"/>
      <c r="AD66" s="394"/>
      <c r="AE66" s="395"/>
      <c r="AF66" s="395">
        <v>0.9</v>
      </c>
      <c r="AG66" s="395"/>
      <c r="AH66" s="395"/>
      <c r="AI66" s="395"/>
      <c r="AJ66" s="395"/>
      <c r="AK66" s="395"/>
      <c r="AL66" s="395"/>
      <c r="AM66" s="395">
        <v>0.1</v>
      </c>
      <c r="AN66" s="395">
        <v>0.1</v>
      </c>
      <c r="AO66" s="395"/>
      <c r="AP66" s="395">
        <v>0.1</v>
      </c>
      <c r="AQ66" s="395"/>
      <c r="AR66" s="395">
        <v>0.1</v>
      </c>
      <c r="AS66" s="395"/>
      <c r="AT66" s="395"/>
      <c r="AU66" s="395"/>
      <c r="AV66" s="395"/>
      <c r="AW66" s="395"/>
      <c r="AX66" s="395">
        <v>0.1</v>
      </c>
      <c r="AY66" s="395"/>
      <c r="AZ66" s="395"/>
      <c r="BA66" s="395"/>
      <c r="BB66" s="395"/>
      <c r="BC66" s="395"/>
      <c r="BD66" s="395"/>
      <c r="BE66" s="395"/>
      <c r="BF66" s="225">
        <f t="shared" si="90"/>
        <v>0</v>
      </c>
      <c r="BG66" s="226" t="str">
        <f t="shared" si="91"/>
        <v>Non Applicabile</v>
      </c>
      <c r="BH66" s="226" t="s">
        <v>693</v>
      </c>
      <c r="BI66" s="226"/>
      <c r="BJ66" s="229"/>
      <c r="BK66" s="227"/>
      <c r="BL66" s="324" t="s">
        <v>1037</v>
      </c>
      <c r="BM66" s="324" t="s">
        <v>1038</v>
      </c>
      <c r="BN66" s="324" t="s">
        <v>1039</v>
      </c>
      <c r="BO66" s="330"/>
      <c r="BP66" s="385" t="str">
        <f>IF(G66="X",
   IF(BG66="Applicabile",
      IF(BJ66&lt;&gt;"",
         _xlfn.XLOOKUP($BJ66,Parametri_RA!$B:$B,Parametri_RA!$D:$D,0),
         0),
      ""),
   "")</f>
        <v/>
      </c>
      <c r="BQ66" s="385" t="str">
        <f>IF(H66="X",
   IF(BG66="Applicabile",
      IF(BJ66&lt;&gt;"",
         _xlfn.XLOOKUP($BJ66,Parametri_RA!$B:$B,Parametri_RA!$D:$D,0),
         0),
      ""),
   "")</f>
        <v/>
      </c>
      <c r="BR66" s="385" t="str">
        <f t="shared" si="46"/>
        <v/>
      </c>
      <c r="BS66" s="385" t="str">
        <f t="shared" si="47"/>
        <v/>
      </c>
      <c r="BT66" s="385" t="str">
        <f t="shared" si="48"/>
        <v/>
      </c>
      <c r="BU66" s="385" t="str">
        <f t="shared" si="49"/>
        <v/>
      </c>
      <c r="BV66" s="385" t="str">
        <f t="shared" si="50"/>
        <v/>
      </c>
      <c r="BW66" s="385" t="str">
        <f t="shared" si="51"/>
        <v/>
      </c>
      <c r="BX66" s="385" t="str">
        <f t="shared" si="52"/>
        <v/>
      </c>
      <c r="BY66" s="385" t="str">
        <f t="shared" si="53"/>
        <v/>
      </c>
      <c r="BZ66" s="385" t="str">
        <f t="shared" si="54"/>
        <v/>
      </c>
      <c r="CA66" s="385" t="str">
        <f t="shared" si="55"/>
        <v/>
      </c>
      <c r="CB66" s="385" t="str">
        <f t="shared" si="56"/>
        <v/>
      </c>
      <c r="CC66" s="385" t="str">
        <f t="shared" si="57"/>
        <v/>
      </c>
      <c r="CD66" s="385" t="str">
        <f t="shared" si="58"/>
        <v/>
      </c>
      <c r="CE66" s="385" t="str">
        <f t="shared" si="59"/>
        <v/>
      </c>
      <c r="CF66" s="385" t="str">
        <f t="shared" si="60"/>
        <v/>
      </c>
      <c r="CG66" s="385" t="str">
        <f t="shared" si="61"/>
        <v/>
      </c>
      <c r="CH66" s="385" t="str">
        <f t="shared" si="62"/>
        <v/>
      </c>
      <c r="CI66" s="385" t="str">
        <f t="shared" si="63"/>
        <v/>
      </c>
      <c r="CJ66" s="385" t="str">
        <f t="shared" si="64"/>
        <v/>
      </c>
      <c r="CK66" s="385" t="str">
        <f t="shared" si="65"/>
        <v/>
      </c>
      <c r="CL66" s="385" t="str">
        <f t="shared" si="66"/>
        <v/>
      </c>
      <c r="CM66" s="385" t="str">
        <f t="shared" si="67"/>
        <v/>
      </c>
      <c r="CN66" s="385" t="str">
        <f t="shared" si="68"/>
        <v/>
      </c>
      <c r="CO66" s="385" t="str">
        <f t="shared" si="69"/>
        <v/>
      </c>
      <c r="CP66" s="385" t="str">
        <f t="shared" si="70"/>
        <v/>
      </c>
      <c r="CQ66" s="385" t="str">
        <f t="shared" si="71"/>
        <v/>
      </c>
      <c r="CR66" s="385" t="str">
        <f t="shared" si="72"/>
        <v/>
      </c>
      <c r="CS66" s="385" t="str">
        <f t="shared" si="73"/>
        <v/>
      </c>
      <c r="CT66" s="385" t="str">
        <f t="shared" si="74"/>
        <v/>
      </c>
      <c r="CU66" s="385" t="str">
        <f t="shared" si="75"/>
        <v/>
      </c>
      <c r="CV66" s="385" t="str">
        <f t="shared" si="76"/>
        <v/>
      </c>
      <c r="CW66" s="385" t="str">
        <f t="shared" si="77"/>
        <v/>
      </c>
      <c r="CX66" s="385" t="str">
        <f t="shared" si="78"/>
        <v/>
      </c>
      <c r="CY66" s="385" t="str">
        <f t="shared" si="79"/>
        <v/>
      </c>
      <c r="CZ66" s="385" t="str">
        <f t="shared" si="80"/>
        <v/>
      </c>
      <c r="DA66" s="385" t="str">
        <f t="shared" si="81"/>
        <v/>
      </c>
      <c r="DB66" s="385" t="str">
        <f t="shared" si="82"/>
        <v/>
      </c>
      <c r="DC66" s="385" t="str">
        <f t="shared" si="83"/>
        <v/>
      </c>
      <c r="DD66" s="385" t="str">
        <f t="shared" si="84"/>
        <v/>
      </c>
      <c r="DE66" s="385" t="str">
        <f t="shared" si="85"/>
        <v/>
      </c>
      <c r="DF66" s="385" t="str">
        <f t="shared" si="86"/>
        <v/>
      </c>
      <c r="DG66" s="385" t="str">
        <f t="shared" si="87"/>
        <v/>
      </c>
      <c r="DH66" s="385" t="str">
        <f t="shared" si="88"/>
        <v/>
      </c>
      <c r="DI66" s="385" t="str">
        <f t="shared" si="89"/>
        <v/>
      </c>
    </row>
    <row r="67" spans="1:113" ht="68" x14ac:dyDescent="0.35">
      <c r="A67" s="21"/>
      <c r="B67" s="396">
        <f>'Appoggio_BIA Servizio'!$B$5</f>
        <v>0</v>
      </c>
      <c r="C67" s="392" t="s">
        <v>1027</v>
      </c>
      <c r="D67" s="392" t="s">
        <v>1040</v>
      </c>
      <c r="E67" s="393" t="s">
        <v>1041</v>
      </c>
      <c r="F67" s="240" t="s">
        <v>671</v>
      </c>
      <c r="G67" s="240" t="s">
        <v>655</v>
      </c>
      <c r="H67" s="240"/>
      <c r="I67" s="240">
        <v>0.7</v>
      </c>
      <c r="J67" s="240">
        <v>0.7</v>
      </c>
      <c r="K67" s="240">
        <v>0.7</v>
      </c>
      <c r="L67" s="394"/>
      <c r="M67" s="240">
        <v>0.4</v>
      </c>
      <c r="N67" s="240">
        <v>1</v>
      </c>
      <c r="O67" s="240">
        <v>0.7</v>
      </c>
      <c r="P67" s="394"/>
      <c r="Q67" s="240"/>
      <c r="R67" s="394"/>
      <c r="S67" s="394"/>
      <c r="T67" s="394"/>
      <c r="U67" s="394"/>
      <c r="V67" s="394"/>
      <c r="W67" s="394">
        <v>0.4</v>
      </c>
      <c r="X67" s="394"/>
      <c r="Y67" s="394"/>
      <c r="Z67" s="394"/>
      <c r="AA67" s="394"/>
      <c r="AB67" s="240"/>
      <c r="AC67" s="394"/>
      <c r="AD67" s="394"/>
      <c r="AE67" s="395">
        <v>0.9</v>
      </c>
      <c r="AF67" s="395"/>
      <c r="AG67" s="395"/>
      <c r="AH67" s="395"/>
      <c r="AI67" s="395"/>
      <c r="AJ67" s="395"/>
      <c r="AK67" s="395"/>
      <c r="AL67" s="395"/>
      <c r="AM67" s="395">
        <v>0.1</v>
      </c>
      <c r="AN67" s="395">
        <v>0.1</v>
      </c>
      <c r="AO67" s="395"/>
      <c r="AP67" s="395">
        <v>0.1</v>
      </c>
      <c r="AQ67" s="395"/>
      <c r="AR67" s="395">
        <v>0.1</v>
      </c>
      <c r="AS67" s="395"/>
      <c r="AT67" s="395"/>
      <c r="AU67" s="395"/>
      <c r="AV67" s="395"/>
      <c r="AW67" s="395"/>
      <c r="AX67" s="395">
        <v>0.1</v>
      </c>
      <c r="AY67" s="395"/>
      <c r="AZ67" s="395"/>
      <c r="BA67" s="395"/>
      <c r="BB67" s="395"/>
      <c r="BC67" s="395"/>
      <c r="BD67" s="395"/>
      <c r="BE67" s="395"/>
      <c r="BF67" s="225">
        <f t="shared" si="90"/>
        <v>0</v>
      </c>
      <c r="BG67" s="226" t="str">
        <f t="shared" si="91"/>
        <v>Non Applicabile</v>
      </c>
      <c r="BH67" s="226" t="s">
        <v>693</v>
      </c>
      <c r="BI67" s="226"/>
      <c r="BJ67" s="229"/>
      <c r="BK67" s="227"/>
      <c r="BL67" s="324" t="s">
        <v>1042</v>
      </c>
      <c r="BM67" s="324" t="s">
        <v>1043</v>
      </c>
      <c r="BN67" s="324" t="s">
        <v>1044</v>
      </c>
      <c r="BO67" s="330"/>
      <c r="BP67" s="385" t="str">
        <f>IF(G67="X",
   IF(BG67="Applicabile",
      IF(BJ67&lt;&gt;"",
         _xlfn.XLOOKUP($BJ67,Parametri_RA!$B:$B,Parametri_RA!$D:$D,0),
         0),
      ""),
   "")</f>
        <v/>
      </c>
      <c r="BQ67" s="385" t="str">
        <f>IF(H67="X",
   IF(BG67="Applicabile",
      IF(BJ67&lt;&gt;"",
         _xlfn.XLOOKUP($BJ67,Parametri_RA!$B:$B,Parametri_RA!$D:$D,0),
         0),
      ""),
   "")</f>
        <v/>
      </c>
      <c r="BR67" s="385" t="str">
        <f t="shared" si="46"/>
        <v/>
      </c>
      <c r="BS67" s="385" t="str">
        <f t="shared" si="47"/>
        <v/>
      </c>
      <c r="BT67" s="385" t="str">
        <f t="shared" si="48"/>
        <v/>
      </c>
      <c r="BU67" s="385" t="str">
        <f t="shared" si="49"/>
        <v/>
      </c>
      <c r="BV67" s="385" t="str">
        <f t="shared" si="50"/>
        <v/>
      </c>
      <c r="BW67" s="385" t="str">
        <f t="shared" si="51"/>
        <v/>
      </c>
      <c r="BX67" s="385" t="str">
        <f t="shared" si="52"/>
        <v/>
      </c>
      <c r="BY67" s="385" t="str">
        <f t="shared" si="53"/>
        <v/>
      </c>
      <c r="BZ67" s="385" t="str">
        <f t="shared" si="54"/>
        <v/>
      </c>
      <c r="CA67" s="385" t="str">
        <f t="shared" si="55"/>
        <v/>
      </c>
      <c r="CB67" s="385" t="str">
        <f t="shared" si="56"/>
        <v/>
      </c>
      <c r="CC67" s="385" t="str">
        <f t="shared" si="57"/>
        <v/>
      </c>
      <c r="CD67" s="385" t="str">
        <f t="shared" si="58"/>
        <v/>
      </c>
      <c r="CE67" s="385" t="str">
        <f t="shared" si="59"/>
        <v/>
      </c>
      <c r="CF67" s="385" t="str">
        <f t="shared" si="60"/>
        <v/>
      </c>
      <c r="CG67" s="385" t="str">
        <f t="shared" si="61"/>
        <v/>
      </c>
      <c r="CH67" s="385" t="str">
        <f t="shared" si="62"/>
        <v/>
      </c>
      <c r="CI67" s="385" t="str">
        <f t="shared" si="63"/>
        <v/>
      </c>
      <c r="CJ67" s="385" t="str">
        <f t="shared" si="64"/>
        <v/>
      </c>
      <c r="CK67" s="385" t="str">
        <f t="shared" si="65"/>
        <v/>
      </c>
      <c r="CL67" s="385" t="str">
        <f t="shared" si="66"/>
        <v/>
      </c>
      <c r="CM67" s="385" t="str">
        <f t="shared" si="67"/>
        <v/>
      </c>
      <c r="CN67" s="385" t="str">
        <f t="shared" si="68"/>
        <v/>
      </c>
      <c r="CO67" s="385" t="str">
        <f t="shared" si="69"/>
        <v/>
      </c>
      <c r="CP67" s="385" t="str">
        <f t="shared" si="70"/>
        <v/>
      </c>
      <c r="CQ67" s="385" t="str">
        <f t="shared" si="71"/>
        <v/>
      </c>
      <c r="CR67" s="385" t="str">
        <f t="shared" si="72"/>
        <v/>
      </c>
      <c r="CS67" s="385" t="str">
        <f t="shared" si="73"/>
        <v/>
      </c>
      <c r="CT67" s="385" t="str">
        <f t="shared" si="74"/>
        <v/>
      </c>
      <c r="CU67" s="385" t="str">
        <f t="shared" si="75"/>
        <v/>
      </c>
      <c r="CV67" s="385" t="str">
        <f t="shared" si="76"/>
        <v/>
      </c>
      <c r="CW67" s="385" t="str">
        <f t="shared" si="77"/>
        <v/>
      </c>
      <c r="CX67" s="385" t="str">
        <f t="shared" si="78"/>
        <v/>
      </c>
      <c r="CY67" s="385" t="str">
        <f t="shared" si="79"/>
        <v/>
      </c>
      <c r="CZ67" s="385" t="str">
        <f t="shared" si="80"/>
        <v/>
      </c>
      <c r="DA67" s="385" t="str">
        <f t="shared" si="81"/>
        <v/>
      </c>
      <c r="DB67" s="385" t="str">
        <f t="shared" si="82"/>
        <v/>
      </c>
      <c r="DC67" s="385" t="str">
        <f t="shared" si="83"/>
        <v/>
      </c>
      <c r="DD67" s="385" t="str">
        <f t="shared" si="84"/>
        <v/>
      </c>
      <c r="DE67" s="385" t="str">
        <f t="shared" si="85"/>
        <v/>
      </c>
      <c r="DF67" s="385" t="str">
        <f t="shared" si="86"/>
        <v/>
      </c>
      <c r="DG67" s="385" t="str">
        <f t="shared" si="87"/>
        <v/>
      </c>
      <c r="DH67" s="385" t="str">
        <f t="shared" si="88"/>
        <v/>
      </c>
      <c r="DI67" s="385" t="str">
        <f t="shared" si="89"/>
        <v/>
      </c>
    </row>
    <row r="68" spans="1:113" ht="119" x14ac:dyDescent="0.35">
      <c r="A68" s="21" t="s">
        <v>1045</v>
      </c>
      <c r="B68" s="396">
        <f>'Appoggio_BIA Servizio'!$B$5</f>
        <v>0</v>
      </c>
      <c r="C68" s="392" t="s">
        <v>1027</v>
      </c>
      <c r="D68" s="392" t="s">
        <v>1046</v>
      </c>
      <c r="E68" s="393" t="s">
        <v>1047</v>
      </c>
      <c r="F68" s="240" t="s">
        <v>654</v>
      </c>
      <c r="G68" s="240" t="s">
        <v>655</v>
      </c>
      <c r="H68" s="240"/>
      <c r="I68" s="240">
        <v>1</v>
      </c>
      <c r="J68" s="240">
        <v>1</v>
      </c>
      <c r="K68" s="240">
        <v>1</v>
      </c>
      <c r="L68" s="394"/>
      <c r="M68" s="240"/>
      <c r="N68" s="240">
        <v>1</v>
      </c>
      <c r="O68" s="394"/>
      <c r="P68" s="240">
        <v>1</v>
      </c>
      <c r="Q68" s="240"/>
      <c r="R68" s="394"/>
      <c r="S68" s="240">
        <v>1</v>
      </c>
      <c r="T68" s="240">
        <v>1</v>
      </c>
      <c r="U68" s="394"/>
      <c r="V68" s="394"/>
      <c r="W68" s="240">
        <v>0.7</v>
      </c>
      <c r="X68" s="394"/>
      <c r="Y68" s="394"/>
      <c r="Z68" s="394"/>
      <c r="AA68" s="394"/>
      <c r="AB68" s="240"/>
      <c r="AC68" s="394"/>
      <c r="AD68" s="394"/>
      <c r="AE68" s="395">
        <v>1</v>
      </c>
      <c r="AF68" s="395"/>
      <c r="AG68" s="395"/>
      <c r="AH68" s="395"/>
      <c r="AI68" s="395">
        <v>1</v>
      </c>
      <c r="AJ68" s="395"/>
      <c r="AK68" s="395"/>
      <c r="AL68" s="395">
        <v>1</v>
      </c>
      <c r="AM68" s="395">
        <v>1</v>
      </c>
      <c r="AN68" s="395"/>
      <c r="AO68" s="395"/>
      <c r="AP68" s="395">
        <v>1</v>
      </c>
      <c r="AQ68" s="395"/>
      <c r="AR68" s="395">
        <v>1</v>
      </c>
      <c r="AS68" s="395"/>
      <c r="AT68" s="395"/>
      <c r="AU68" s="395"/>
      <c r="AV68" s="395"/>
      <c r="AW68" s="395"/>
      <c r="AX68" s="395"/>
      <c r="AY68" s="395"/>
      <c r="AZ68" s="395"/>
      <c r="BA68" s="395"/>
      <c r="BB68" s="395"/>
      <c r="BC68" s="395"/>
      <c r="BD68" s="395"/>
      <c r="BE68" s="395"/>
      <c r="BF68" s="225">
        <f t="shared" si="90"/>
        <v>0</v>
      </c>
      <c r="BG68" s="226" t="str">
        <f t="shared" si="91"/>
        <v>Non Applicabile</v>
      </c>
      <c r="BH68" s="226" t="s">
        <v>693</v>
      </c>
      <c r="BI68" s="226"/>
      <c r="BJ68" s="229"/>
      <c r="BK68" s="227"/>
      <c r="BL68" s="324" t="s">
        <v>1048</v>
      </c>
      <c r="BM68" s="324" t="s">
        <v>1049</v>
      </c>
      <c r="BN68" s="324" t="s">
        <v>1050</v>
      </c>
      <c r="BO68" s="330"/>
      <c r="BP68" s="385" t="str">
        <f>IF(G68="X",
   IF(BG68="Applicabile",
      IF(BJ68&lt;&gt;"",
         _xlfn.XLOOKUP($BJ68,Parametri_RA!$B:$B,Parametri_RA!$D:$D,0),
         0),
      ""),
   "")</f>
        <v/>
      </c>
      <c r="BQ68" s="385" t="str">
        <f>IF(H68="X",
   IF(BG68="Applicabile",
      IF(BJ68&lt;&gt;"",
         _xlfn.XLOOKUP($BJ68,Parametri_RA!$B:$B,Parametri_RA!$D:$D,0),
         0),
      ""),
   "")</f>
        <v/>
      </c>
      <c r="BR68" s="385" t="str">
        <f t="shared" si="46"/>
        <v/>
      </c>
      <c r="BS68" s="385" t="str">
        <f t="shared" si="47"/>
        <v/>
      </c>
      <c r="BT68" s="385" t="str">
        <f t="shared" si="48"/>
        <v/>
      </c>
      <c r="BU68" s="385" t="str">
        <f t="shared" si="49"/>
        <v/>
      </c>
      <c r="BV68" s="385" t="str">
        <f t="shared" si="50"/>
        <v/>
      </c>
      <c r="BW68" s="385" t="str">
        <f t="shared" si="51"/>
        <v/>
      </c>
      <c r="BX68" s="385" t="str">
        <f t="shared" si="52"/>
        <v/>
      </c>
      <c r="BY68" s="385" t="str">
        <f t="shared" si="53"/>
        <v/>
      </c>
      <c r="BZ68" s="385" t="str">
        <f t="shared" si="54"/>
        <v/>
      </c>
      <c r="CA68" s="385" t="str">
        <f t="shared" si="55"/>
        <v/>
      </c>
      <c r="CB68" s="385" t="str">
        <f t="shared" si="56"/>
        <v/>
      </c>
      <c r="CC68" s="385" t="str">
        <f t="shared" si="57"/>
        <v/>
      </c>
      <c r="CD68" s="385" t="str">
        <f t="shared" si="58"/>
        <v/>
      </c>
      <c r="CE68" s="385" t="str">
        <f t="shared" si="59"/>
        <v/>
      </c>
      <c r="CF68" s="385" t="str">
        <f t="shared" si="60"/>
        <v/>
      </c>
      <c r="CG68" s="385" t="str">
        <f t="shared" si="61"/>
        <v/>
      </c>
      <c r="CH68" s="385" t="str">
        <f t="shared" si="62"/>
        <v/>
      </c>
      <c r="CI68" s="385" t="str">
        <f t="shared" si="63"/>
        <v/>
      </c>
      <c r="CJ68" s="385" t="str">
        <f t="shared" si="64"/>
        <v/>
      </c>
      <c r="CK68" s="385" t="str">
        <f t="shared" si="65"/>
        <v/>
      </c>
      <c r="CL68" s="385" t="str">
        <f t="shared" si="66"/>
        <v/>
      </c>
      <c r="CM68" s="385" t="str">
        <f t="shared" si="67"/>
        <v/>
      </c>
      <c r="CN68" s="385" t="str">
        <f t="shared" si="68"/>
        <v/>
      </c>
      <c r="CO68" s="385" t="str">
        <f t="shared" si="69"/>
        <v/>
      </c>
      <c r="CP68" s="385" t="str">
        <f t="shared" si="70"/>
        <v/>
      </c>
      <c r="CQ68" s="385" t="str">
        <f t="shared" si="71"/>
        <v/>
      </c>
      <c r="CR68" s="385" t="str">
        <f t="shared" si="72"/>
        <v/>
      </c>
      <c r="CS68" s="385" t="str">
        <f t="shared" si="73"/>
        <v/>
      </c>
      <c r="CT68" s="385" t="str">
        <f t="shared" si="74"/>
        <v/>
      </c>
      <c r="CU68" s="385" t="str">
        <f t="shared" si="75"/>
        <v/>
      </c>
      <c r="CV68" s="385" t="str">
        <f t="shared" si="76"/>
        <v/>
      </c>
      <c r="CW68" s="385" t="str">
        <f t="shared" si="77"/>
        <v/>
      </c>
      <c r="CX68" s="385" t="str">
        <f t="shared" si="78"/>
        <v/>
      </c>
      <c r="CY68" s="385" t="str">
        <f t="shared" si="79"/>
        <v/>
      </c>
      <c r="CZ68" s="385" t="str">
        <f t="shared" si="80"/>
        <v/>
      </c>
      <c r="DA68" s="385" t="str">
        <f t="shared" si="81"/>
        <v/>
      </c>
      <c r="DB68" s="385" t="str">
        <f t="shared" si="82"/>
        <v/>
      </c>
      <c r="DC68" s="385" t="str">
        <f t="shared" si="83"/>
        <v/>
      </c>
      <c r="DD68" s="385" t="str">
        <f t="shared" si="84"/>
        <v/>
      </c>
      <c r="DE68" s="385" t="str">
        <f t="shared" si="85"/>
        <v/>
      </c>
      <c r="DF68" s="385" t="str">
        <f t="shared" si="86"/>
        <v/>
      </c>
      <c r="DG68" s="385" t="str">
        <f t="shared" si="87"/>
        <v/>
      </c>
      <c r="DH68" s="385" t="str">
        <f t="shared" si="88"/>
        <v/>
      </c>
      <c r="DI68" s="385" t="str">
        <f t="shared" si="89"/>
        <v/>
      </c>
    </row>
    <row r="69" spans="1:113" ht="49.5" x14ac:dyDescent="0.35">
      <c r="A69" s="21" t="s">
        <v>1051</v>
      </c>
      <c r="B69" s="396">
        <f>'Appoggio_BIA Servizio'!$B$5</f>
        <v>0</v>
      </c>
      <c r="C69" s="392" t="s">
        <v>1027</v>
      </c>
      <c r="D69" s="392" t="s">
        <v>1052</v>
      </c>
      <c r="E69" s="393" t="s">
        <v>1053</v>
      </c>
      <c r="F69" s="240" t="s">
        <v>671</v>
      </c>
      <c r="G69" s="240" t="s">
        <v>655</v>
      </c>
      <c r="H69" s="240" t="s">
        <v>655</v>
      </c>
      <c r="I69" s="240">
        <v>0.7</v>
      </c>
      <c r="J69" s="240">
        <v>0.7</v>
      </c>
      <c r="K69" s="240">
        <v>0.7</v>
      </c>
      <c r="L69" s="394"/>
      <c r="M69" s="240">
        <v>0.4</v>
      </c>
      <c r="N69" s="240">
        <v>0.7</v>
      </c>
      <c r="O69" s="394"/>
      <c r="P69" s="394"/>
      <c r="Q69" s="240"/>
      <c r="R69" s="394"/>
      <c r="S69" s="240">
        <v>0.7</v>
      </c>
      <c r="T69" s="394">
        <v>0.7</v>
      </c>
      <c r="U69" s="394">
        <v>0.7</v>
      </c>
      <c r="V69" s="394">
        <v>0.7</v>
      </c>
      <c r="W69" s="394"/>
      <c r="X69" s="394"/>
      <c r="Y69" s="394"/>
      <c r="Z69" s="394"/>
      <c r="AA69" s="394"/>
      <c r="AB69" s="240"/>
      <c r="AC69" s="394"/>
      <c r="AD69" s="394"/>
      <c r="AE69" s="395"/>
      <c r="AF69" s="395"/>
      <c r="AG69" s="395"/>
      <c r="AH69" s="395"/>
      <c r="AI69" s="395"/>
      <c r="AJ69" s="395"/>
      <c r="AK69" s="395"/>
      <c r="AL69" s="395">
        <v>1</v>
      </c>
      <c r="AM69" s="395">
        <v>1</v>
      </c>
      <c r="AN69" s="395"/>
      <c r="AO69" s="395"/>
      <c r="AP69" s="395">
        <v>0.2</v>
      </c>
      <c r="AQ69" s="395">
        <v>0.8</v>
      </c>
      <c r="AR69" s="395"/>
      <c r="AS69" s="395"/>
      <c r="AT69" s="395"/>
      <c r="AU69" s="395"/>
      <c r="AV69" s="395"/>
      <c r="AW69" s="395"/>
      <c r="AX69" s="395"/>
      <c r="AY69" s="395"/>
      <c r="AZ69" s="395"/>
      <c r="BA69" s="395"/>
      <c r="BB69" s="395"/>
      <c r="BC69" s="395"/>
      <c r="BD69" s="395"/>
      <c r="BE69" s="395"/>
      <c r="BF69" s="225">
        <f t="shared" si="90"/>
        <v>0</v>
      </c>
      <c r="BG69" s="226" t="str">
        <f t="shared" si="91"/>
        <v>Non Applicabile</v>
      </c>
      <c r="BH69" s="226" t="s">
        <v>693</v>
      </c>
      <c r="BI69" s="226"/>
      <c r="BJ69" s="229"/>
      <c r="BK69" s="227"/>
      <c r="BL69" s="324" t="s">
        <v>1054</v>
      </c>
      <c r="BM69" s="324" t="s">
        <v>1055</v>
      </c>
      <c r="BN69" s="324" t="s">
        <v>1056</v>
      </c>
      <c r="BO69" s="330"/>
      <c r="BP69" s="385" t="str">
        <f>IF(G69="X",
   IF(BG69="Applicabile",
      IF(BJ69&lt;&gt;"",
         _xlfn.XLOOKUP($BJ69,Parametri_RA!$B:$B,Parametri_RA!$D:$D,0),
         0),
      ""),
   "")</f>
        <v/>
      </c>
      <c r="BQ69" s="385" t="str">
        <f>IF(H69="X",
   IF(BG69="Applicabile",
      IF(BJ69&lt;&gt;"",
         _xlfn.XLOOKUP($BJ69,Parametri_RA!$B:$B,Parametri_RA!$D:$D,0),
         0),
      ""),
   "")</f>
        <v/>
      </c>
      <c r="BR69" s="385" t="str">
        <f t="shared" si="46"/>
        <v/>
      </c>
      <c r="BS69" s="385" t="str">
        <f t="shared" si="47"/>
        <v/>
      </c>
      <c r="BT69" s="385" t="str">
        <f t="shared" si="48"/>
        <v/>
      </c>
      <c r="BU69" s="385" t="str">
        <f t="shared" si="49"/>
        <v/>
      </c>
      <c r="BV69" s="385" t="str">
        <f t="shared" si="50"/>
        <v/>
      </c>
      <c r="BW69" s="385" t="str">
        <f t="shared" si="51"/>
        <v/>
      </c>
      <c r="BX69" s="385" t="str">
        <f t="shared" si="52"/>
        <v/>
      </c>
      <c r="BY69" s="385" t="str">
        <f t="shared" si="53"/>
        <v/>
      </c>
      <c r="BZ69" s="385" t="str">
        <f t="shared" si="54"/>
        <v/>
      </c>
      <c r="CA69" s="385" t="str">
        <f t="shared" si="55"/>
        <v/>
      </c>
      <c r="CB69" s="385" t="str">
        <f t="shared" si="56"/>
        <v/>
      </c>
      <c r="CC69" s="385" t="str">
        <f t="shared" si="57"/>
        <v/>
      </c>
      <c r="CD69" s="385" t="str">
        <f t="shared" si="58"/>
        <v/>
      </c>
      <c r="CE69" s="385" t="str">
        <f t="shared" si="59"/>
        <v/>
      </c>
      <c r="CF69" s="385" t="str">
        <f t="shared" si="60"/>
        <v/>
      </c>
      <c r="CG69" s="385" t="str">
        <f t="shared" si="61"/>
        <v/>
      </c>
      <c r="CH69" s="385" t="str">
        <f t="shared" si="62"/>
        <v/>
      </c>
      <c r="CI69" s="385" t="str">
        <f t="shared" si="63"/>
        <v/>
      </c>
      <c r="CJ69" s="385" t="str">
        <f t="shared" si="64"/>
        <v/>
      </c>
      <c r="CK69" s="385" t="str">
        <f t="shared" si="65"/>
        <v/>
      </c>
      <c r="CL69" s="385" t="str">
        <f t="shared" si="66"/>
        <v/>
      </c>
      <c r="CM69" s="385" t="str">
        <f t="shared" si="67"/>
        <v/>
      </c>
      <c r="CN69" s="385" t="str">
        <f t="shared" si="68"/>
        <v/>
      </c>
      <c r="CO69" s="385" t="str">
        <f t="shared" si="69"/>
        <v/>
      </c>
      <c r="CP69" s="385" t="str">
        <f t="shared" si="70"/>
        <v/>
      </c>
      <c r="CQ69" s="385" t="str">
        <f t="shared" si="71"/>
        <v/>
      </c>
      <c r="CR69" s="385" t="str">
        <f t="shared" si="72"/>
        <v/>
      </c>
      <c r="CS69" s="385" t="str">
        <f t="shared" si="73"/>
        <v/>
      </c>
      <c r="CT69" s="385" t="str">
        <f t="shared" si="74"/>
        <v/>
      </c>
      <c r="CU69" s="385" t="str">
        <f t="shared" si="75"/>
        <v/>
      </c>
      <c r="CV69" s="385" t="str">
        <f t="shared" si="76"/>
        <v/>
      </c>
      <c r="CW69" s="385" t="str">
        <f t="shared" si="77"/>
        <v/>
      </c>
      <c r="CX69" s="385" t="str">
        <f t="shared" si="78"/>
        <v/>
      </c>
      <c r="CY69" s="385" t="str">
        <f t="shared" si="79"/>
        <v/>
      </c>
      <c r="CZ69" s="385" t="str">
        <f t="shared" si="80"/>
        <v/>
      </c>
      <c r="DA69" s="385" t="str">
        <f t="shared" si="81"/>
        <v/>
      </c>
      <c r="DB69" s="385" t="str">
        <f t="shared" si="82"/>
        <v/>
      </c>
      <c r="DC69" s="385" t="str">
        <f t="shared" si="83"/>
        <v/>
      </c>
      <c r="DD69" s="385" t="str">
        <f t="shared" si="84"/>
        <v/>
      </c>
      <c r="DE69" s="385" t="str">
        <f t="shared" si="85"/>
        <v/>
      </c>
      <c r="DF69" s="385" t="str">
        <f t="shared" si="86"/>
        <v/>
      </c>
      <c r="DG69" s="385" t="str">
        <f t="shared" si="87"/>
        <v/>
      </c>
      <c r="DH69" s="385" t="str">
        <f t="shared" si="88"/>
        <v/>
      </c>
      <c r="DI69" s="385" t="str">
        <f t="shared" si="89"/>
        <v/>
      </c>
    </row>
    <row r="70" spans="1:113" ht="66" x14ac:dyDescent="0.35">
      <c r="A70" s="21" t="s">
        <v>1057</v>
      </c>
      <c r="B70" s="396">
        <f>'Appoggio_BIA Servizio'!$B$5</f>
        <v>0</v>
      </c>
      <c r="C70" s="392" t="s">
        <v>1027</v>
      </c>
      <c r="D70" s="392" t="s">
        <v>1058</v>
      </c>
      <c r="E70" s="393" t="s">
        <v>1059</v>
      </c>
      <c r="F70" s="240" t="s">
        <v>671</v>
      </c>
      <c r="G70" s="240" t="s">
        <v>655</v>
      </c>
      <c r="H70" s="240" t="s">
        <v>655</v>
      </c>
      <c r="I70" s="240">
        <v>0.7</v>
      </c>
      <c r="J70" s="240">
        <v>0.7</v>
      </c>
      <c r="K70" s="240">
        <v>0.7</v>
      </c>
      <c r="L70" s="394"/>
      <c r="M70" s="240">
        <v>0.4</v>
      </c>
      <c r="N70" s="240">
        <v>1</v>
      </c>
      <c r="O70" s="394"/>
      <c r="P70" s="394">
        <v>0.7</v>
      </c>
      <c r="Q70" s="240">
        <v>0.4</v>
      </c>
      <c r="R70" s="394"/>
      <c r="S70" s="394">
        <v>0.7</v>
      </c>
      <c r="T70" s="394">
        <v>0.7</v>
      </c>
      <c r="U70" s="394">
        <v>0.7</v>
      </c>
      <c r="V70" s="394"/>
      <c r="W70" s="394"/>
      <c r="X70" s="394"/>
      <c r="Y70" s="394"/>
      <c r="Z70" s="394"/>
      <c r="AA70" s="394"/>
      <c r="AB70" s="240"/>
      <c r="AC70" s="394"/>
      <c r="AD70" s="394"/>
      <c r="AE70" s="395"/>
      <c r="AF70" s="395"/>
      <c r="AG70" s="395"/>
      <c r="AH70" s="395"/>
      <c r="AI70" s="395"/>
      <c r="AJ70" s="395"/>
      <c r="AK70" s="395"/>
      <c r="AL70" s="395">
        <v>1</v>
      </c>
      <c r="AM70" s="395">
        <v>1</v>
      </c>
      <c r="AN70" s="395"/>
      <c r="AO70" s="395"/>
      <c r="AP70" s="395">
        <v>0.2</v>
      </c>
      <c r="AQ70" s="395">
        <v>0.8</v>
      </c>
      <c r="AR70" s="395"/>
      <c r="AS70" s="395"/>
      <c r="AT70" s="395"/>
      <c r="AU70" s="395"/>
      <c r="AV70" s="395"/>
      <c r="AW70" s="395"/>
      <c r="AX70" s="395"/>
      <c r="AY70" s="395"/>
      <c r="AZ70" s="395"/>
      <c r="BA70" s="395"/>
      <c r="BB70" s="395"/>
      <c r="BC70" s="395"/>
      <c r="BD70" s="395"/>
      <c r="BE70" s="395"/>
      <c r="BF70" s="225">
        <f t="shared" ref="BF70:BF101" si="92">SUM(IF(AE$3="Sì",AE70,0),IF(AF$3="Sì",AF70,0),IF(AG$3="Sì",AG70,0),IF(AH$3="Sì",AH70,0),IF(AI$3="Sì",AI70,0),IF(AJ$3="Sì",AJ70,0),IF(AK$3="Sì",AK70,0),IF(AL$3="Sì",AL70,0),IF(AM$3="Sì",AM70,0),IF(AN$3="Sì",AN70,0),IF(AO$3="Sì",AO70,0),IF(AP$3="Sì",AP70,0),IF(AQ$3="Sì",AQ70,0),IF(AR$3="Sì",AR70,0),IF(AS$3="Sì",AS70,0),IF(AT$3="Sì",AT70,0),IF(AU$3="Sì",AU70,0),IF(AV$3="Sì",AV70,0),IF(AW$3="Sì",AW70,0),IF(AX$3="Sì",AX70,0),IF(AY$3="Sì",AY70,0),IF(AZ$3="Sì",AZ70,0),IF(BA$3="Sì",BA70,0),IF(BB$3="Sì",BB70,0),IF(BC$3="Sì",BC70,0),IF(BD$3="Sì",BD70,0),IF(BE$3="Sì",BE70,0))</f>
        <v>0</v>
      </c>
      <c r="BG70" s="226" t="str">
        <f t="shared" ref="BG70:BG101" si="93">IF(BF70&gt;=1,"Applicabile","Non Applicabile")</f>
        <v>Non Applicabile</v>
      </c>
      <c r="BH70" s="226" t="s">
        <v>693</v>
      </c>
      <c r="BI70" s="228"/>
      <c r="BJ70" s="229"/>
      <c r="BK70" s="227"/>
      <c r="BL70" s="324" t="s">
        <v>1060</v>
      </c>
      <c r="BM70" s="324" t="s">
        <v>1061</v>
      </c>
      <c r="BN70" s="324" t="s">
        <v>1062</v>
      </c>
      <c r="BO70" s="330"/>
      <c r="BP70" s="385" t="str">
        <f>IF(G70="X",
   IF(BG70="Applicabile",
      IF(BJ70&lt;&gt;"",
         _xlfn.XLOOKUP($BJ70,Parametri_RA!$B:$B,Parametri_RA!$D:$D,0),
         0),
      ""),
   "")</f>
        <v/>
      </c>
      <c r="BQ70" s="385" t="str">
        <f>IF(H70="X",
   IF(BG70="Applicabile",
      IF(BJ70&lt;&gt;"",
         _xlfn.XLOOKUP($BJ70,Parametri_RA!$B:$B,Parametri_RA!$D:$D,0),
         0),
      ""),
   "")</f>
        <v/>
      </c>
      <c r="BR70" s="385" t="str">
        <f t="shared" si="46"/>
        <v/>
      </c>
      <c r="BS70" s="385" t="str">
        <f t="shared" si="47"/>
        <v/>
      </c>
      <c r="BT70" s="385" t="str">
        <f t="shared" si="48"/>
        <v/>
      </c>
      <c r="BU70" s="385" t="str">
        <f t="shared" si="49"/>
        <v/>
      </c>
      <c r="BV70" s="385" t="str">
        <f t="shared" si="50"/>
        <v/>
      </c>
      <c r="BW70" s="385" t="str">
        <f t="shared" si="51"/>
        <v/>
      </c>
      <c r="BX70" s="385" t="str">
        <f t="shared" si="52"/>
        <v/>
      </c>
      <c r="BY70" s="385" t="str">
        <f t="shared" si="53"/>
        <v/>
      </c>
      <c r="BZ70" s="385" t="str">
        <f t="shared" si="54"/>
        <v/>
      </c>
      <c r="CA70" s="385" t="str">
        <f t="shared" si="55"/>
        <v/>
      </c>
      <c r="CB70" s="385" t="str">
        <f t="shared" si="56"/>
        <v/>
      </c>
      <c r="CC70" s="385" t="str">
        <f t="shared" si="57"/>
        <v/>
      </c>
      <c r="CD70" s="385" t="str">
        <f t="shared" si="58"/>
        <v/>
      </c>
      <c r="CE70" s="385" t="str">
        <f t="shared" si="59"/>
        <v/>
      </c>
      <c r="CF70" s="385" t="str">
        <f t="shared" si="60"/>
        <v/>
      </c>
      <c r="CG70" s="385" t="str">
        <f t="shared" si="61"/>
        <v/>
      </c>
      <c r="CH70" s="385" t="str">
        <f t="shared" si="62"/>
        <v/>
      </c>
      <c r="CI70" s="385" t="str">
        <f t="shared" si="63"/>
        <v/>
      </c>
      <c r="CJ70" s="385" t="str">
        <f t="shared" si="64"/>
        <v/>
      </c>
      <c r="CK70" s="385" t="str">
        <f t="shared" si="65"/>
        <v/>
      </c>
      <c r="CL70" s="385" t="str">
        <f t="shared" si="66"/>
        <v/>
      </c>
      <c r="CM70" s="385" t="str">
        <f t="shared" si="67"/>
        <v/>
      </c>
      <c r="CN70" s="385" t="str">
        <f t="shared" si="68"/>
        <v/>
      </c>
      <c r="CO70" s="385" t="str">
        <f t="shared" si="69"/>
        <v/>
      </c>
      <c r="CP70" s="385" t="str">
        <f t="shared" si="70"/>
        <v/>
      </c>
      <c r="CQ70" s="385" t="str">
        <f t="shared" si="71"/>
        <v/>
      </c>
      <c r="CR70" s="385" t="str">
        <f t="shared" si="72"/>
        <v/>
      </c>
      <c r="CS70" s="385" t="str">
        <f t="shared" si="73"/>
        <v/>
      </c>
      <c r="CT70" s="385" t="str">
        <f t="shared" si="74"/>
        <v/>
      </c>
      <c r="CU70" s="385" t="str">
        <f t="shared" si="75"/>
        <v/>
      </c>
      <c r="CV70" s="385" t="str">
        <f t="shared" si="76"/>
        <v/>
      </c>
      <c r="CW70" s="385" t="str">
        <f t="shared" si="77"/>
        <v/>
      </c>
      <c r="CX70" s="385" t="str">
        <f t="shared" si="78"/>
        <v/>
      </c>
      <c r="CY70" s="385" t="str">
        <f t="shared" si="79"/>
        <v/>
      </c>
      <c r="CZ70" s="385" t="str">
        <f t="shared" si="80"/>
        <v/>
      </c>
      <c r="DA70" s="385" t="str">
        <f t="shared" si="81"/>
        <v/>
      </c>
      <c r="DB70" s="385" t="str">
        <f t="shared" si="82"/>
        <v/>
      </c>
      <c r="DC70" s="385" t="str">
        <f t="shared" si="83"/>
        <v/>
      </c>
      <c r="DD70" s="385" t="str">
        <f t="shared" si="84"/>
        <v/>
      </c>
      <c r="DE70" s="385" t="str">
        <f t="shared" si="85"/>
        <v/>
      </c>
      <c r="DF70" s="385" t="str">
        <f t="shared" si="86"/>
        <v/>
      </c>
      <c r="DG70" s="385" t="str">
        <f t="shared" si="87"/>
        <v/>
      </c>
      <c r="DH70" s="385" t="str">
        <f t="shared" si="88"/>
        <v/>
      </c>
      <c r="DI70" s="385" t="str">
        <f t="shared" si="89"/>
        <v/>
      </c>
    </row>
    <row r="71" spans="1:113" ht="66" x14ac:dyDescent="0.35">
      <c r="A71" s="21" t="s">
        <v>1063</v>
      </c>
      <c r="B71" s="396">
        <f>'Appoggio_BIA Servizio'!$B$5</f>
        <v>0</v>
      </c>
      <c r="C71" s="392" t="s">
        <v>1027</v>
      </c>
      <c r="D71" s="392" t="s">
        <v>1064</v>
      </c>
      <c r="E71" s="393" t="s">
        <v>1065</v>
      </c>
      <c r="F71" s="240" t="s">
        <v>671</v>
      </c>
      <c r="G71" s="240" t="s">
        <v>655</v>
      </c>
      <c r="H71" s="240"/>
      <c r="I71" s="240">
        <v>0.7</v>
      </c>
      <c r="J71" s="240">
        <v>0.7</v>
      </c>
      <c r="K71" s="240">
        <v>0.7</v>
      </c>
      <c r="L71" s="394"/>
      <c r="M71" s="240"/>
      <c r="N71" s="240">
        <v>0.7</v>
      </c>
      <c r="O71" s="394"/>
      <c r="P71" s="394">
        <v>0.7</v>
      </c>
      <c r="Q71" s="240"/>
      <c r="R71" s="394"/>
      <c r="S71" s="394">
        <v>0.7</v>
      </c>
      <c r="T71" s="240">
        <v>0.4</v>
      </c>
      <c r="U71" s="394">
        <v>0.7</v>
      </c>
      <c r="V71" s="394"/>
      <c r="W71" s="394"/>
      <c r="X71" s="394"/>
      <c r="Y71" s="394"/>
      <c r="Z71" s="394"/>
      <c r="AA71" s="394"/>
      <c r="AB71" s="240"/>
      <c r="AC71" s="394"/>
      <c r="AD71" s="394"/>
      <c r="AE71" s="395"/>
      <c r="AF71" s="395"/>
      <c r="AG71" s="395"/>
      <c r="AH71" s="395"/>
      <c r="AI71" s="395"/>
      <c r="AJ71" s="395"/>
      <c r="AK71" s="395"/>
      <c r="AL71" s="395">
        <v>1</v>
      </c>
      <c r="AM71" s="395">
        <v>1</v>
      </c>
      <c r="AN71" s="395"/>
      <c r="AO71" s="395"/>
      <c r="AP71" s="395">
        <v>0.2</v>
      </c>
      <c r="AQ71" s="395">
        <v>0.8</v>
      </c>
      <c r="AR71" s="395"/>
      <c r="AS71" s="395"/>
      <c r="AT71" s="395"/>
      <c r="AU71" s="395"/>
      <c r="AV71" s="395"/>
      <c r="AW71" s="395"/>
      <c r="AX71" s="395"/>
      <c r="AY71" s="395"/>
      <c r="AZ71" s="395"/>
      <c r="BA71" s="395"/>
      <c r="BB71" s="395"/>
      <c r="BC71" s="395"/>
      <c r="BD71" s="395"/>
      <c r="BE71" s="395"/>
      <c r="BF71" s="225">
        <f t="shared" si="92"/>
        <v>0</v>
      </c>
      <c r="BG71" s="226" t="str">
        <f t="shared" si="93"/>
        <v>Non Applicabile</v>
      </c>
      <c r="BH71" s="226" t="s">
        <v>693</v>
      </c>
      <c r="BI71" s="228"/>
      <c r="BJ71" s="229"/>
      <c r="BK71" s="227"/>
      <c r="BL71" s="324" t="s">
        <v>1066</v>
      </c>
      <c r="BM71" s="324" t="s">
        <v>1067</v>
      </c>
      <c r="BN71" s="324" t="s">
        <v>1068</v>
      </c>
      <c r="BO71" s="330"/>
      <c r="BP71" s="385" t="str">
        <f>IF(G71="X",
   IF(BG71="Applicabile",
      IF(BJ71&lt;&gt;"",
         _xlfn.XLOOKUP($BJ71,Parametri_RA!$B:$B,Parametri_RA!$D:$D,0),
         0),
      ""),
   "")</f>
        <v/>
      </c>
      <c r="BQ71" s="385" t="str">
        <f>IF(H71="X",
   IF(BG71="Applicabile",
      IF(BJ71&lt;&gt;"",
         _xlfn.XLOOKUP($BJ71,Parametri_RA!$B:$B,Parametri_RA!$D:$D,0),
         0),
      ""),
   "")</f>
        <v/>
      </c>
      <c r="BR71" s="385" t="str">
        <f t="shared" ref="BR71:BR134" si="94">IF($BP71&lt;&gt;"",IF(I71&lt;&gt;"",$BP71*I71,""),"")</f>
        <v/>
      </c>
      <c r="BS71" s="385" t="str">
        <f t="shared" ref="BS71:BS134" si="95">IF($BP71&lt;&gt;"",IF(J71&lt;&gt;"",$BP71*J71,""),"")</f>
        <v/>
      </c>
      <c r="BT71" s="385" t="str">
        <f t="shared" ref="BT71:BT134" si="96">IF($BP71&lt;&gt;"",IF(K71&lt;&gt;"",$BP71*K71,""),"")</f>
        <v/>
      </c>
      <c r="BU71" s="385" t="str">
        <f t="shared" ref="BU71:BU134" si="97">IF($BP71&lt;&gt;"",IF(L71&lt;&gt;"",$BP71*L71,""),"")</f>
        <v/>
      </c>
      <c r="BV71" s="385" t="str">
        <f t="shared" ref="BV71:BV134" si="98">IF($BP71&lt;&gt;"",IF(M71&lt;&gt;"",$BP71*M71,""),"")</f>
        <v/>
      </c>
      <c r="BW71" s="385" t="str">
        <f t="shared" ref="BW71:BW134" si="99">IF($BP71&lt;&gt;"",IF(N71&lt;&gt;"",$BP71*N71,""),"")</f>
        <v/>
      </c>
      <c r="BX71" s="385" t="str">
        <f t="shared" ref="BX71:BX134" si="100">IF($BP71&lt;&gt;"",IF(O71&lt;&gt;"",$BP71*O71,""),"")</f>
        <v/>
      </c>
      <c r="BY71" s="385" t="str">
        <f t="shared" ref="BY71:BY134" si="101">IF($BP71&lt;&gt;"",IF(P71&lt;&gt;"",$BP71*P71,""),"")</f>
        <v/>
      </c>
      <c r="BZ71" s="385" t="str">
        <f t="shared" ref="BZ71:BZ134" si="102">IF($BP71&lt;&gt;"",IF(Q71&lt;&gt;"",$BP71*Q71,""),"")</f>
        <v/>
      </c>
      <c r="CA71" s="385" t="str">
        <f t="shared" ref="CA71:CA134" si="103">IF($BP71&lt;&gt;"",IF(R71&lt;&gt;"",$BP71*R71,""),"")</f>
        <v/>
      </c>
      <c r="CB71" s="385" t="str">
        <f t="shared" ref="CB71:CB134" si="104">IF($BP71&lt;&gt;"",IF(S71&lt;&gt;"",$BP71*S71,""),"")</f>
        <v/>
      </c>
      <c r="CC71" s="385" t="str">
        <f t="shared" ref="CC71:CC134" si="105">IF($BP71&lt;&gt;"",IF(T71&lt;&gt;"",$BP71*T71,""),"")</f>
        <v/>
      </c>
      <c r="CD71" s="385" t="str">
        <f t="shared" ref="CD71:CD134" si="106">IF($BP71&lt;&gt;"",IF(U71&lt;&gt;"",$BP71*U71,""),"")</f>
        <v/>
      </c>
      <c r="CE71" s="385" t="str">
        <f t="shared" ref="CE71:CE134" si="107">IF($BP71&lt;&gt;"",IF(V71&lt;&gt;"",$BP71*V71,""),"")</f>
        <v/>
      </c>
      <c r="CF71" s="385" t="str">
        <f t="shared" ref="CF71:CF134" si="108">IF($BP71&lt;&gt;"",IF(W71&lt;&gt;"",$BP71*W71,""),"")</f>
        <v/>
      </c>
      <c r="CG71" s="385" t="str">
        <f t="shared" ref="CG71:CG134" si="109">IF($BP71&lt;&gt;"",IF(X71&lt;&gt;"",$BP71*X71,""),"")</f>
        <v/>
      </c>
      <c r="CH71" s="385" t="str">
        <f t="shared" ref="CH71:CH134" si="110">IF($BP71&lt;&gt;"",IF(Y71&lt;&gt;"",$BP71*Y71,""),"")</f>
        <v/>
      </c>
      <c r="CI71" s="385" t="str">
        <f t="shared" ref="CI71:CI134" si="111">IF($BP71&lt;&gt;"",IF(Z71&lt;&gt;"",$BP71*Z71,""),"")</f>
        <v/>
      </c>
      <c r="CJ71" s="385" t="str">
        <f t="shared" ref="CJ71:CJ134" si="112">IF($BP71&lt;&gt;"",IF(AA71&lt;&gt;"",$BP71*AA71,""),"")</f>
        <v/>
      </c>
      <c r="CK71" s="385" t="str">
        <f t="shared" ref="CK71:CK134" si="113">IF($BP71&lt;&gt;"",IF(AB71&lt;&gt;"",$BP71*AB71,""),"")</f>
        <v/>
      </c>
      <c r="CL71" s="385" t="str">
        <f t="shared" ref="CL71:CL134" si="114">IF($BP71&lt;&gt;"",IF(AC71&lt;&gt;"",$BP71*AC71,""),"")</f>
        <v/>
      </c>
      <c r="CM71" s="385" t="str">
        <f t="shared" ref="CM71:CM134" si="115">IF($BP71&lt;&gt;"",IF(AD71&lt;&gt;"",$BP71*AD71,""),"")</f>
        <v/>
      </c>
      <c r="CN71" s="385" t="str">
        <f t="shared" ref="CN71:CN134" si="116">IF($BQ71&lt;&gt;"",IF(I71&lt;&gt;"",$BQ71*I71,""),"")</f>
        <v/>
      </c>
      <c r="CO71" s="385" t="str">
        <f t="shared" ref="CO71:CO134" si="117">IF($BQ71&lt;&gt;"",IF(J71&lt;&gt;"",$BQ71*J71,""),"")</f>
        <v/>
      </c>
      <c r="CP71" s="385" t="str">
        <f t="shared" ref="CP71:CP134" si="118">IF($BQ71&lt;&gt;"",IF(K71&lt;&gt;"",$BQ71*K71,""),"")</f>
        <v/>
      </c>
      <c r="CQ71" s="385" t="str">
        <f t="shared" ref="CQ71:CQ134" si="119">IF($BQ71&lt;&gt;"",IF(L71&lt;&gt;"",$BQ71*L71,""),"")</f>
        <v/>
      </c>
      <c r="CR71" s="385" t="str">
        <f t="shared" ref="CR71:CR134" si="120">IF($BQ71&lt;&gt;"",IF(M71&lt;&gt;"",$BQ71*M71,""),"")</f>
        <v/>
      </c>
      <c r="CS71" s="385" t="str">
        <f t="shared" ref="CS71:CS134" si="121">IF($BQ71&lt;&gt;"",IF(N71&lt;&gt;"",$BQ71*N71,""),"")</f>
        <v/>
      </c>
      <c r="CT71" s="385" t="str">
        <f t="shared" ref="CT71:CT134" si="122">IF($BQ71&lt;&gt;"",IF(O71&lt;&gt;"",$BQ71*O71,""),"")</f>
        <v/>
      </c>
      <c r="CU71" s="385" t="str">
        <f t="shared" ref="CU71:CU134" si="123">IF($BQ71&lt;&gt;"",IF(P71&lt;&gt;"",$BQ71*P71,""),"")</f>
        <v/>
      </c>
      <c r="CV71" s="385" t="str">
        <f t="shared" ref="CV71:CV134" si="124">IF($BQ71&lt;&gt;"",IF(Q71&lt;&gt;"",$BQ71*Q71,""),"")</f>
        <v/>
      </c>
      <c r="CW71" s="385" t="str">
        <f t="shared" ref="CW71:CW134" si="125">IF($BQ71&lt;&gt;"",IF(R71&lt;&gt;"",$BQ71*R71,""),"")</f>
        <v/>
      </c>
      <c r="CX71" s="385" t="str">
        <f t="shared" ref="CX71:CX134" si="126">IF($BQ71&lt;&gt;"",IF(S71&lt;&gt;"",$BQ71*S71,""),"")</f>
        <v/>
      </c>
      <c r="CY71" s="385" t="str">
        <f t="shared" ref="CY71:CY134" si="127">IF($BQ71&lt;&gt;"",IF(T71&lt;&gt;"",$BQ71*T71,""),"")</f>
        <v/>
      </c>
      <c r="CZ71" s="385" t="str">
        <f t="shared" ref="CZ71:CZ134" si="128">IF($BQ71&lt;&gt;"",IF(U71&lt;&gt;"",$BQ71*U71,""),"")</f>
        <v/>
      </c>
      <c r="DA71" s="385" t="str">
        <f t="shared" ref="DA71:DA134" si="129">IF($BQ71&lt;&gt;"",IF(V71&lt;&gt;"",$BQ71*V71,""),"")</f>
        <v/>
      </c>
      <c r="DB71" s="385" t="str">
        <f t="shared" ref="DB71:DB134" si="130">IF($BQ71&lt;&gt;"",IF(W71&lt;&gt;"",$BQ71*W71,""),"")</f>
        <v/>
      </c>
      <c r="DC71" s="385" t="str">
        <f t="shared" ref="DC71:DC134" si="131">IF($BQ71&lt;&gt;"",IF(X71&lt;&gt;"",$BQ71*X71,""),"")</f>
        <v/>
      </c>
      <c r="DD71" s="385" t="str">
        <f t="shared" ref="DD71:DD134" si="132">IF($BQ71&lt;&gt;"",IF(Y71&lt;&gt;"",$BQ71*Y71,""),"")</f>
        <v/>
      </c>
      <c r="DE71" s="385" t="str">
        <f t="shared" ref="DE71:DE134" si="133">IF($BQ71&lt;&gt;"",IF(Z71&lt;&gt;"",$BQ71*Z71,""),"")</f>
        <v/>
      </c>
      <c r="DF71" s="385" t="str">
        <f t="shared" ref="DF71:DF134" si="134">IF($BQ71&lt;&gt;"",IF(AA71&lt;&gt;"",$BQ71*AA71,""),"")</f>
        <v/>
      </c>
      <c r="DG71" s="385" t="str">
        <f t="shared" ref="DG71:DG134" si="135">IF($BQ71&lt;&gt;"",IF(AB71&lt;&gt;"",$BQ71*AB71,""),"")</f>
        <v/>
      </c>
      <c r="DH71" s="385" t="str">
        <f t="shared" ref="DH71:DH134" si="136">IF($BQ71&lt;&gt;"",IF(AC71&lt;&gt;"",$BQ71*AC71,""),"")</f>
        <v/>
      </c>
      <c r="DI71" s="385" t="str">
        <f t="shared" ref="DI71:DI134" si="137">IF($BQ71&lt;&gt;"",IF(AD71&lt;&gt;"",$BQ71*AD71,""),"")</f>
        <v/>
      </c>
    </row>
    <row r="72" spans="1:113" ht="66" x14ac:dyDescent="0.35">
      <c r="A72" s="21" t="s">
        <v>1069</v>
      </c>
      <c r="B72" s="396">
        <f>'Appoggio_BIA Servizio'!$B$5</f>
        <v>0</v>
      </c>
      <c r="C72" s="392" t="s">
        <v>1027</v>
      </c>
      <c r="D72" s="392" t="s">
        <v>1070</v>
      </c>
      <c r="E72" s="393" t="s">
        <v>1071</v>
      </c>
      <c r="F72" s="240" t="s">
        <v>654</v>
      </c>
      <c r="G72" s="240" t="s">
        <v>655</v>
      </c>
      <c r="H72" s="240" t="s">
        <v>655</v>
      </c>
      <c r="I72" s="240">
        <v>1</v>
      </c>
      <c r="J72" s="240">
        <v>1</v>
      </c>
      <c r="K72" s="240">
        <v>0.7</v>
      </c>
      <c r="L72" s="394"/>
      <c r="M72" s="240">
        <v>0.4</v>
      </c>
      <c r="N72" s="240">
        <v>0.7</v>
      </c>
      <c r="O72" s="394"/>
      <c r="P72" s="394">
        <v>1</v>
      </c>
      <c r="Q72" s="240">
        <v>0.4</v>
      </c>
      <c r="R72" s="394"/>
      <c r="S72" s="394">
        <v>1</v>
      </c>
      <c r="T72" s="394"/>
      <c r="U72" s="394">
        <v>0.7</v>
      </c>
      <c r="V72" s="394"/>
      <c r="W72" s="394"/>
      <c r="X72" s="394"/>
      <c r="Y72" s="394"/>
      <c r="Z72" s="394"/>
      <c r="AA72" s="394"/>
      <c r="AB72" s="240"/>
      <c r="AC72" s="394"/>
      <c r="AD72" s="394"/>
      <c r="AE72" s="395"/>
      <c r="AF72" s="395"/>
      <c r="AG72" s="395"/>
      <c r="AH72" s="395"/>
      <c r="AI72" s="395"/>
      <c r="AJ72" s="395"/>
      <c r="AK72" s="395"/>
      <c r="AL72" s="395">
        <v>1</v>
      </c>
      <c r="AM72" s="395">
        <v>1</v>
      </c>
      <c r="AN72" s="395"/>
      <c r="AO72" s="395"/>
      <c r="AP72" s="395">
        <v>0.2</v>
      </c>
      <c r="AQ72" s="395">
        <v>0.8</v>
      </c>
      <c r="AR72" s="395"/>
      <c r="AS72" s="395"/>
      <c r="AT72" s="395"/>
      <c r="AU72" s="395"/>
      <c r="AV72" s="395"/>
      <c r="AW72" s="395"/>
      <c r="AX72" s="395"/>
      <c r="AY72" s="395"/>
      <c r="AZ72" s="395"/>
      <c r="BA72" s="395"/>
      <c r="BB72" s="395"/>
      <c r="BC72" s="395"/>
      <c r="BD72" s="395"/>
      <c r="BE72" s="395"/>
      <c r="BF72" s="225">
        <f t="shared" si="92"/>
        <v>0</v>
      </c>
      <c r="BG72" s="226" t="str">
        <f t="shared" si="93"/>
        <v>Non Applicabile</v>
      </c>
      <c r="BH72" s="226" t="s">
        <v>693</v>
      </c>
      <c r="BI72" s="228"/>
      <c r="BJ72" s="229"/>
      <c r="BK72" s="227"/>
      <c r="BL72" s="324" t="s">
        <v>1072</v>
      </c>
      <c r="BM72" s="324" t="s">
        <v>1073</v>
      </c>
      <c r="BN72" s="324" t="s">
        <v>1074</v>
      </c>
      <c r="BO72" s="330"/>
      <c r="BP72" s="385" t="str">
        <f>IF(G72="X",
   IF(BG72="Applicabile",
      IF(BJ72&lt;&gt;"",
         _xlfn.XLOOKUP($BJ72,Parametri_RA!$B:$B,Parametri_RA!$D:$D,0),
         0),
      ""),
   "")</f>
        <v/>
      </c>
      <c r="BQ72" s="385" t="str">
        <f>IF(H72="X",
   IF(BG72="Applicabile",
      IF(BJ72&lt;&gt;"",
         _xlfn.XLOOKUP($BJ72,Parametri_RA!$B:$B,Parametri_RA!$D:$D,0),
         0),
      ""),
   "")</f>
        <v/>
      </c>
      <c r="BR72" s="385" t="str">
        <f t="shared" si="94"/>
        <v/>
      </c>
      <c r="BS72" s="385" t="str">
        <f t="shared" si="95"/>
        <v/>
      </c>
      <c r="BT72" s="385" t="str">
        <f t="shared" si="96"/>
        <v/>
      </c>
      <c r="BU72" s="385" t="str">
        <f t="shared" si="97"/>
        <v/>
      </c>
      <c r="BV72" s="385" t="str">
        <f t="shared" si="98"/>
        <v/>
      </c>
      <c r="BW72" s="385" t="str">
        <f t="shared" si="99"/>
        <v/>
      </c>
      <c r="BX72" s="385" t="str">
        <f t="shared" si="100"/>
        <v/>
      </c>
      <c r="BY72" s="385" t="str">
        <f t="shared" si="101"/>
        <v/>
      </c>
      <c r="BZ72" s="385" t="str">
        <f t="shared" si="102"/>
        <v/>
      </c>
      <c r="CA72" s="385" t="str">
        <f t="shared" si="103"/>
        <v/>
      </c>
      <c r="CB72" s="385" t="str">
        <f t="shared" si="104"/>
        <v/>
      </c>
      <c r="CC72" s="385" t="str">
        <f t="shared" si="105"/>
        <v/>
      </c>
      <c r="CD72" s="385" t="str">
        <f t="shared" si="106"/>
        <v/>
      </c>
      <c r="CE72" s="385" t="str">
        <f t="shared" si="107"/>
        <v/>
      </c>
      <c r="CF72" s="385" t="str">
        <f t="shared" si="108"/>
        <v/>
      </c>
      <c r="CG72" s="385" t="str">
        <f t="shared" si="109"/>
        <v/>
      </c>
      <c r="CH72" s="385" t="str">
        <f t="shared" si="110"/>
        <v/>
      </c>
      <c r="CI72" s="385" t="str">
        <f t="shared" si="111"/>
        <v/>
      </c>
      <c r="CJ72" s="385" t="str">
        <f t="shared" si="112"/>
        <v/>
      </c>
      <c r="CK72" s="385" t="str">
        <f t="shared" si="113"/>
        <v/>
      </c>
      <c r="CL72" s="385" t="str">
        <f t="shared" si="114"/>
        <v/>
      </c>
      <c r="CM72" s="385" t="str">
        <f t="shared" si="115"/>
        <v/>
      </c>
      <c r="CN72" s="385" t="str">
        <f t="shared" si="116"/>
        <v/>
      </c>
      <c r="CO72" s="385" t="str">
        <f t="shared" si="117"/>
        <v/>
      </c>
      <c r="CP72" s="385" t="str">
        <f t="shared" si="118"/>
        <v/>
      </c>
      <c r="CQ72" s="385" t="str">
        <f t="shared" si="119"/>
        <v/>
      </c>
      <c r="CR72" s="385" t="str">
        <f t="shared" si="120"/>
        <v/>
      </c>
      <c r="CS72" s="385" t="str">
        <f t="shared" si="121"/>
        <v/>
      </c>
      <c r="CT72" s="385" t="str">
        <f t="shared" si="122"/>
        <v/>
      </c>
      <c r="CU72" s="385" t="str">
        <f t="shared" si="123"/>
        <v/>
      </c>
      <c r="CV72" s="385" t="str">
        <f t="shared" si="124"/>
        <v/>
      </c>
      <c r="CW72" s="385" t="str">
        <f t="shared" si="125"/>
        <v/>
      </c>
      <c r="CX72" s="385" t="str">
        <f t="shared" si="126"/>
        <v/>
      </c>
      <c r="CY72" s="385" t="str">
        <f t="shared" si="127"/>
        <v/>
      </c>
      <c r="CZ72" s="385" t="str">
        <f t="shared" si="128"/>
        <v/>
      </c>
      <c r="DA72" s="385" t="str">
        <f t="shared" si="129"/>
        <v/>
      </c>
      <c r="DB72" s="385" t="str">
        <f t="shared" si="130"/>
        <v/>
      </c>
      <c r="DC72" s="385" t="str">
        <f t="shared" si="131"/>
        <v/>
      </c>
      <c r="DD72" s="385" t="str">
        <f t="shared" si="132"/>
        <v/>
      </c>
      <c r="DE72" s="385" t="str">
        <f t="shared" si="133"/>
        <v/>
      </c>
      <c r="DF72" s="385" t="str">
        <f t="shared" si="134"/>
        <v/>
      </c>
      <c r="DG72" s="385" t="str">
        <f t="shared" si="135"/>
        <v/>
      </c>
      <c r="DH72" s="385" t="str">
        <f t="shared" si="136"/>
        <v/>
      </c>
      <c r="DI72" s="385" t="str">
        <f t="shared" si="137"/>
        <v/>
      </c>
    </row>
    <row r="73" spans="1:113" ht="102" x14ac:dyDescent="0.35">
      <c r="A73" s="21"/>
      <c r="B73" s="396">
        <f>'Appoggio_BIA Servizio'!$B$5</f>
        <v>0</v>
      </c>
      <c r="C73" s="392" t="s">
        <v>1027</v>
      </c>
      <c r="D73" s="392" t="s">
        <v>1075</v>
      </c>
      <c r="E73" s="393" t="s">
        <v>1076</v>
      </c>
      <c r="F73" s="240" t="s">
        <v>654</v>
      </c>
      <c r="G73" s="240" t="s">
        <v>655</v>
      </c>
      <c r="H73" s="240" t="s">
        <v>655</v>
      </c>
      <c r="I73" s="240">
        <v>0.7</v>
      </c>
      <c r="J73" s="240">
        <v>0.7</v>
      </c>
      <c r="K73" s="240">
        <v>1</v>
      </c>
      <c r="L73" s="394"/>
      <c r="M73" s="240">
        <v>0.4</v>
      </c>
      <c r="N73" s="240">
        <v>0.7</v>
      </c>
      <c r="O73" s="394"/>
      <c r="P73" s="394">
        <v>0.7</v>
      </c>
      <c r="Q73" s="240">
        <v>0.4</v>
      </c>
      <c r="R73" s="394"/>
      <c r="S73" s="394">
        <v>0.7</v>
      </c>
      <c r="T73" s="394"/>
      <c r="U73" s="394"/>
      <c r="V73" s="394"/>
      <c r="W73" s="394"/>
      <c r="X73" s="394"/>
      <c r="Y73" s="394"/>
      <c r="Z73" s="394"/>
      <c r="AA73" s="394"/>
      <c r="AB73" s="240"/>
      <c r="AC73" s="394"/>
      <c r="AD73" s="394"/>
      <c r="AE73" s="395"/>
      <c r="AF73" s="395"/>
      <c r="AG73" s="395"/>
      <c r="AH73" s="395"/>
      <c r="AI73" s="395"/>
      <c r="AJ73" s="395"/>
      <c r="AK73" s="395"/>
      <c r="AL73" s="395">
        <v>1</v>
      </c>
      <c r="AM73" s="395">
        <v>1</v>
      </c>
      <c r="AN73" s="395"/>
      <c r="AO73" s="395"/>
      <c r="AP73" s="395">
        <v>0.2</v>
      </c>
      <c r="AQ73" s="395">
        <v>0.8</v>
      </c>
      <c r="AR73" s="395"/>
      <c r="AS73" s="395"/>
      <c r="AT73" s="395"/>
      <c r="AU73" s="395"/>
      <c r="AV73" s="395"/>
      <c r="AW73" s="395"/>
      <c r="AX73" s="395"/>
      <c r="AY73" s="395"/>
      <c r="AZ73" s="395"/>
      <c r="BA73" s="395"/>
      <c r="BB73" s="395"/>
      <c r="BC73" s="395"/>
      <c r="BD73" s="395"/>
      <c r="BE73" s="395"/>
      <c r="BF73" s="225">
        <f t="shared" si="92"/>
        <v>0</v>
      </c>
      <c r="BG73" s="226" t="str">
        <f t="shared" si="93"/>
        <v>Non Applicabile</v>
      </c>
      <c r="BH73" s="226" t="s">
        <v>693</v>
      </c>
      <c r="BI73" s="325"/>
      <c r="BJ73" s="229"/>
      <c r="BK73" s="227"/>
      <c r="BL73" s="324" t="s">
        <v>1077</v>
      </c>
      <c r="BM73" s="324" t="s">
        <v>1078</v>
      </c>
      <c r="BN73" s="324" t="s">
        <v>1079</v>
      </c>
      <c r="BO73" s="330"/>
      <c r="BP73" s="385" t="str">
        <f>IF(G73="X",
   IF(BG73="Applicabile",
      IF(BJ73&lt;&gt;"",
         _xlfn.XLOOKUP($BJ73,Parametri_RA!$B:$B,Parametri_RA!$D:$D,0),
         0),
      ""),
   "")</f>
        <v/>
      </c>
      <c r="BQ73" s="385" t="str">
        <f>IF(H73="X",
   IF(BG73="Applicabile",
      IF(BJ73&lt;&gt;"",
         _xlfn.XLOOKUP($BJ73,Parametri_RA!$B:$B,Parametri_RA!$D:$D,0),
         0),
      ""),
   "")</f>
        <v/>
      </c>
      <c r="BR73" s="385" t="str">
        <f t="shared" si="94"/>
        <v/>
      </c>
      <c r="BS73" s="385" t="str">
        <f t="shared" si="95"/>
        <v/>
      </c>
      <c r="BT73" s="385" t="str">
        <f t="shared" si="96"/>
        <v/>
      </c>
      <c r="BU73" s="385" t="str">
        <f t="shared" si="97"/>
        <v/>
      </c>
      <c r="BV73" s="385" t="str">
        <f t="shared" si="98"/>
        <v/>
      </c>
      <c r="BW73" s="385" t="str">
        <f t="shared" si="99"/>
        <v/>
      </c>
      <c r="BX73" s="385" t="str">
        <f t="shared" si="100"/>
        <v/>
      </c>
      <c r="BY73" s="385" t="str">
        <f t="shared" si="101"/>
        <v/>
      </c>
      <c r="BZ73" s="385" t="str">
        <f t="shared" si="102"/>
        <v/>
      </c>
      <c r="CA73" s="385" t="str">
        <f t="shared" si="103"/>
        <v/>
      </c>
      <c r="CB73" s="385" t="str">
        <f t="shared" si="104"/>
        <v/>
      </c>
      <c r="CC73" s="385" t="str">
        <f t="shared" si="105"/>
        <v/>
      </c>
      <c r="CD73" s="385" t="str">
        <f t="shared" si="106"/>
        <v/>
      </c>
      <c r="CE73" s="385" t="str">
        <f t="shared" si="107"/>
        <v/>
      </c>
      <c r="CF73" s="385" t="str">
        <f t="shared" si="108"/>
        <v/>
      </c>
      <c r="CG73" s="385" t="str">
        <f t="shared" si="109"/>
        <v/>
      </c>
      <c r="CH73" s="385" t="str">
        <f t="shared" si="110"/>
        <v/>
      </c>
      <c r="CI73" s="385" t="str">
        <f t="shared" si="111"/>
        <v/>
      </c>
      <c r="CJ73" s="385" t="str">
        <f t="shared" si="112"/>
        <v/>
      </c>
      <c r="CK73" s="385" t="str">
        <f t="shared" si="113"/>
        <v/>
      </c>
      <c r="CL73" s="385" t="str">
        <f t="shared" si="114"/>
        <v/>
      </c>
      <c r="CM73" s="385" t="str">
        <f t="shared" si="115"/>
        <v/>
      </c>
      <c r="CN73" s="385" t="str">
        <f t="shared" si="116"/>
        <v/>
      </c>
      <c r="CO73" s="385" t="str">
        <f t="shared" si="117"/>
        <v/>
      </c>
      <c r="CP73" s="385" t="str">
        <f t="shared" si="118"/>
        <v/>
      </c>
      <c r="CQ73" s="385" t="str">
        <f t="shared" si="119"/>
        <v/>
      </c>
      <c r="CR73" s="385" t="str">
        <f t="shared" si="120"/>
        <v/>
      </c>
      <c r="CS73" s="385" t="str">
        <f t="shared" si="121"/>
        <v/>
      </c>
      <c r="CT73" s="385" t="str">
        <f t="shared" si="122"/>
        <v/>
      </c>
      <c r="CU73" s="385" t="str">
        <f t="shared" si="123"/>
        <v/>
      </c>
      <c r="CV73" s="385" t="str">
        <f t="shared" si="124"/>
        <v/>
      </c>
      <c r="CW73" s="385" t="str">
        <f t="shared" si="125"/>
        <v/>
      </c>
      <c r="CX73" s="385" t="str">
        <f t="shared" si="126"/>
        <v/>
      </c>
      <c r="CY73" s="385" t="str">
        <f t="shared" si="127"/>
        <v/>
      </c>
      <c r="CZ73" s="385" t="str">
        <f t="shared" si="128"/>
        <v/>
      </c>
      <c r="DA73" s="385" t="str">
        <f t="shared" si="129"/>
        <v/>
      </c>
      <c r="DB73" s="385" t="str">
        <f t="shared" si="130"/>
        <v/>
      </c>
      <c r="DC73" s="385" t="str">
        <f t="shared" si="131"/>
        <v/>
      </c>
      <c r="DD73" s="385" t="str">
        <f t="shared" si="132"/>
        <v/>
      </c>
      <c r="DE73" s="385" t="str">
        <f t="shared" si="133"/>
        <v/>
      </c>
      <c r="DF73" s="385" t="str">
        <f t="shared" si="134"/>
        <v/>
      </c>
      <c r="DG73" s="385" t="str">
        <f t="shared" si="135"/>
        <v/>
      </c>
      <c r="DH73" s="385" t="str">
        <f t="shared" si="136"/>
        <v/>
      </c>
      <c r="DI73" s="385" t="str">
        <f t="shared" si="137"/>
        <v/>
      </c>
    </row>
    <row r="74" spans="1:113" ht="85" x14ac:dyDescent="0.35">
      <c r="A74" s="21"/>
      <c r="B74" s="396">
        <f>'Appoggio_BIA Servizio'!$B$5</f>
        <v>0</v>
      </c>
      <c r="C74" s="392" t="s">
        <v>1027</v>
      </c>
      <c r="D74" s="392" t="s">
        <v>1080</v>
      </c>
      <c r="E74" s="393" t="s">
        <v>1081</v>
      </c>
      <c r="F74" s="240" t="s">
        <v>671</v>
      </c>
      <c r="G74" s="240" t="s">
        <v>655</v>
      </c>
      <c r="H74" s="240"/>
      <c r="I74" s="240">
        <v>0.7</v>
      </c>
      <c r="J74" s="240">
        <v>0.7</v>
      </c>
      <c r="K74" s="240">
        <v>0.7</v>
      </c>
      <c r="L74" s="394"/>
      <c r="M74" s="240"/>
      <c r="N74" s="240">
        <v>0.7</v>
      </c>
      <c r="O74" s="394"/>
      <c r="P74" s="394">
        <v>0.7</v>
      </c>
      <c r="Q74" s="240"/>
      <c r="R74" s="394"/>
      <c r="S74" s="240">
        <v>0.7</v>
      </c>
      <c r="T74" s="394">
        <v>0.7</v>
      </c>
      <c r="U74" s="394"/>
      <c r="V74" s="394"/>
      <c r="W74" s="394">
        <v>0.4</v>
      </c>
      <c r="X74" s="394"/>
      <c r="Y74" s="394"/>
      <c r="Z74" s="394"/>
      <c r="AA74" s="394"/>
      <c r="AB74" s="240"/>
      <c r="AC74" s="394"/>
      <c r="AD74" s="394"/>
      <c r="AE74" s="395"/>
      <c r="AF74" s="395"/>
      <c r="AG74" s="395"/>
      <c r="AH74" s="395"/>
      <c r="AI74" s="395"/>
      <c r="AJ74" s="395"/>
      <c r="AK74" s="395"/>
      <c r="AL74" s="395">
        <v>1</v>
      </c>
      <c r="AM74" s="395">
        <v>1</v>
      </c>
      <c r="AN74" s="395"/>
      <c r="AO74" s="395"/>
      <c r="AP74" s="395">
        <v>1</v>
      </c>
      <c r="AQ74" s="395"/>
      <c r="AR74" s="395">
        <v>1</v>
      </c>
      <c r="AS74" s="395"/>
      <c r="AT74" s="395"/>
      <c r="AU74" s="395"/>
      <c r="AV74" s="395"/>
      <c r="AW74" s="395"/>
      <c r="AX74" s="395"/>
      <c r="AY74" s="395"/>
      <c r="AZ74" s="395"/>
      <c r="BA74" s="395"/>
      <c r="BB74" s="395"/>
      <c r="BC74" s="395"/>
      <c r="BD74" s="395"/>
      <c r="BE74" s="395"/>
      <c r="BF74" s="225">
        <f t="shared" si="92"/>
        <v>0</v>
      </c>
      <c r="BG74" s="226" t="str">
        <f t="shared" si="93"/>
        <v>Non Applicabile</v>
      </c>
      <c r="BH74" s="226" t="s">
        <v>1082</v>
      </c>
      <c r="BI74" s="325"/>
      <c r="BJ74" s="229"/>
      <c r="BK74" s="227"/>
      <c r="BL74" s="324" t="s">
        <v>1083</v>
      </c>
      <c r="BM74" s="324" t="s">
        <v>946</v>
      </c>
      <c r="BN74" s="324" t="s">
        <v>1084</v>
      </c>
      <c r="BO74" s="330"/>
      <c r="BP74" s="385" t="str">
        <f>IF(G74="X",
   IF(BG74="Applicabile",
      IF(BJ74&lt;&gt;"",
         _xlfn.XLOOKUP($BJ74,Parametri_RA!$B:$B,Parametri_RA!$D:$D,0),
         0),
      ""),
   "")</f>
        <v/>
      </c>
      <c r="BQ74" s="385" t="str">
        <f>IF(H74="X",
   IF(BG74="Applicabile",
      IF(BJ74&lt;&gt;"",
         _xlfn.XLOOKUP($BJ74,Parametri_RA!$B:$B,Parametri_RA!$D:$D,0),
         0),
      ""),
   "")</f>
        <v/>
      </c>
      <c r="BR74" s="385" t="str">
        <f t="shared" si="94"/>
        <v/>
      </c>
      <c r="BS74" s="385" t="str">
        <f t="shared" si="95"/>
        <v/>
      </c>
      <c r="BT74" s="385" t="str">
        <f t="shared" si="96"/>
        <v/>
      </c>
      <c r="BU74" s="385" t="str">
        <f t="shared" si="97"/>
        <v/>
      </c>
      <c r="BV74" s="385" t="str">
        <f t="shared" si="98"/>
        <v/>
      </c>
      <c r="BW74" s="385" t="str">
        <f t="shared" si="99"/>
        <v/>
      </c>
      <c r="BX74" s="385" t="str">
        <f t="shared" si="100"/>
        <v/>
      </c>
      <c r="BY74" s="385" t="str">
        <f t="shared" si="101"/>
        <v/>
      </c>
      <c r="BZ74" s="385" t="str">
        <f t="shared" si="102"/>
        <v/>
      </c>
      <c r="CA74" s="385" t="str">
        <f t="shared" si="103"/>
        <v/>
      </c>
      <c r="CB74" s="385" t="str">
        <f t="shared" si="104"/>
        <v/>
      </c>
      <c r="CC74" s="385" t="str">
        <f t="shared" si="105"/>
        <v/>
      </c>
      <c r="CD74" s="385" t="str">
        <f t="shared" si="106"/>
        <v/>
      </c>
      <c r="CE74" s="385" t="str">
        <f t="shared" si="107"/>
        <v/>
      </c>
      <c r="CF74" s="385" t="str">
        <f t="shared" si="108"/>
        <v/>
      </c>
      <c r="CG74" s="385" t="str">
        <f t="shared" si="109"/>
        <v/>
      </c>
      <c r="CH74" s="385" t="str">
        <f t="shared" si="110"/>
        <v/>
      </c>
      <c r="CI74" s="385" t="str">
        <f t="shared" si="111"/>
        <v/>
      </c>
      <c r="CJ74" s="385" t="str">
        <f t="shared" si="112"/>
        <v/>
      </c>
      <c r="CK74" s="385" t="str">
        <f t="shared" si="113"/>
        <v/>
      </c>
      <c r="CL74" s="385" t="str">
        <f t="shared" si="114"/>
        <v/>
      </c>
      <c r="CM74" s="385" t="str">
        <f t="shared" si="115"/>
        <v/>
      </c>
      <c r="CN74" s="385" t="str">
        <f t="shared" si="116"/>
        <v/>
      </c>
      <c r="CO74" s="385" t="str">
        <f t="shared" si="117"/>
        <v/>
      </c>
      <c r="CP74" s="385" t="str">
        <f t="shared" si="118"/>
        <v/>
      </c>
      <c r="CQ74" s="385" t="str">
        <f t="shared" si="119"/>
        <v/>
      </c>
      <c r="CR74" s="385" t="str">
        <f t="shared" si="120"/>
        <v/>
      </c>
      <c r="CS74" s="385" t="str">
        <f t="shared" si="121"/>
        <v/>
      </c>
      <c r="CT74" s="385" t="str">
        <f t="shared" si="122"/>
        <v/>
      </c>
      <c r="CU74" s="385" t="str">
        <f t="shared" si="123"/>
        <v/>
      </c>
      <c r="CV74" s="385" t="str">
        <f t="shared" si="124"/>
        <v/>
      </c>
      <c r="CW74" s="385" t="str">
        <f t="shared" si="125"/>
        <v/>
      </c>
      <c r="CX74" s="385" t="str">
        <f t="shared" si="126"/>
        <v/>
      </c>
      <c r="CY74" s="385" t="str">
        <f t="shared" si="127"/>
        <v/>
      </c>
      <c r="CZ74" s="385" t="str">
        <f t="shared" si="128"/>
        <v/>
      </c>
      <c r="DA74" s="385" t="str">
        <f t="shared" si="129"/>
        <v/>
      </c>
      <c r="DB74" s="385" t="str">
        <f t="shared" si="130"/>
        <v/>
      </c>
      <c r="DC74" s="385" t="str">
        <f t="shared" si="131"/>
        <v/>
      </c>
      <c r="DD74" s="385" t="str">
        <f t="shared" si="132"/>
        <v/>
      </c>
      <c r="DE74" s="385" t="str">
        <f t="shared" si="133"/>
        <v/>
      </c>
      <c r="DF74" s="385" t="str">
        <f t="shared" si="134"/>
        <v/>
      </c>
      <c r="DG74" s="385" t="str">
        <f t="shared" si="135"/>
        <v/>
      </c>
      <c r="DH74" s="385" t="str">
        <f t="shared" si="136"/>
        <v/>
      </c>
      <c r="DI74" s="385" t="str">
        <f t="shared" si="137"/>
        <v/>
      </c>
    </row>
    <row r="75" spans="1:113" ht="66" x14ac:dyDescent="0.35">
      <c r="A75" s="21" t="s">
        <v>1085</v>
      </c>
      <c r="B75" s="396">
        <f>'Appoggio_BIA Servizio'!$B$5</f>
        <v>0</v>
      </c>
      <c r="C75" s="392" t="s">
        <v>1027</v>
      </c>
      <c r="D75" s="392" t="s">
        <v>1086</v>
      </c>
      <c r="E75" s="393" t="s">
        <v>1087</v>
      </c>
      <c r="F75" s="240" t="s">
        <v>671</v>
      </c>
      <c r="G75" s="240" t="s">
        <v>655</v>
      </c>
      <c r="H75" s="240" t="s">
        <v>655</v>
      </c>
      <c r="I75" s="240">
        <v>1</v>
      </c>
      <c r="J75" s="240">
        <v>1</v>
      </c>
      <c r="K75" s="240">
        <v>0.7</v>
      </c>
      <c r="L75" s="394"/>
      <c r="M75" s="240">
        <v>0.4</v>
      </c>
      <c r="N75" s="240">
        <v>1</v>
      </c>
      <c r="O75" s="394"/>
      <c r="P75" s="394">
        <v>0.7</v>
      </c>
      <c r="Q75" s="240"/>
      <c r="R75" s="394"/>
      <c r="S75" s="394">
        <v>0.7</v>
      </c>
      <c r="T75" s="394">
        <v>0.4</v>
      </c>
      <c r="U75" s="394"/>
      <c r="V75" s="394"/>
      <c r="W75" s="394"/>
      <c r="X75" s="394"/>
      <c r="Y75" s="394"/>
      <c r="Z75" s="394"/>
      <c r="AA75" s="394"/>
      <c r="AB75" s="240"/>
      <c r="AC75" s="394"/>
      <c r="AD75" s="394"/>
      <c r="AE75" s="395"/>
      <c r="AF75" s="395"/>
      <c r="AG75" s="395"/>
      <c r="AH75" s="395"/>
      <c r="AI75" s="395"/>
      <c r="AJ75" s="395"/>
      <c r="AK75" s="395"/>
      <c r="AL75" s="395">
        <v>1</v>
      </c>
      <c r="AM75" s="395">
        <v>1</v>
      </c>
      <c r="AN75" s="395"/>
      <c r="AO75" s="395"/>
      <c r="AP75" s="395">
        <v>1</v>
      </c>
      <c r="AQ75" s="395"/>
      <c r="AR75" s="395">
        <v>1</v>
      </c>
      <c r="AS75" s="395"/>
      <c r="AT75" s="395"/>
      <c r="AU75" s="395"/>
      <c r="AV75" s="395"/>
      <c r="AW75" s="395"/>
      <c r="AX75" s="395"/>
      <c r="AY75" s="395"/>
      <c r="AZ75" s="395"/>
      <c r="BA75" s="395"/>
      <c r="BB75" s="395"/>
      <c r="BC75" s="395"/>
      <c r="BD75" s="395"/>
      <c r="BE75" s="395"/>
      <c r="BF75" s="225">
        <f t="shared" si="92"/>
        <v>0</v>
      </c>
      <c r="BG75" s="226" t="str">
        <f t="shared" si="93"/>
        <v>Non Applicabile</v>
      </c>
      <c r="BH75" s="226" t="s">
        <v>693</v>
      </c>
      <c r="BI75" s="228"/>
      <c r="BJ75" s="229"/>
      <c r="BK75" s="227"/>
      <c r="BL75" s="324" t="s">
        <v>1088</v>
      </c>
      <c r="BM75" s="324" t="s">
        <v>1089</v>
      </c>
      <c r="BN75" s="324" t="s">
        <v>1090</v>
      </c>
      <c r="BO75" s="330"/>
      <c r="BP75" s="385" t="str">
        <f>IF(G75="X",
   IF(BG75="Applicabile",
      IF(BJ75&lt;&gt;"",
         _xlfn.XLOOKUP($BJ75,Parametri_RA!$B:$B,Parametri_RA!$D:$D,0),
         0),
      ""),
   "")</f>
        <v/>
      </c>
      <c r="BQ75" s="385" t="str">
        <f>IF(H75="X",
   IF(BG75="Applicabile",
      IF(BJ75&lt;&gt;"",
         _xlfn.XLOOKUP($BJ75,Parametri_RA!$B:$B,Parametri_RA!$D:$D,0),
         0),
      ""),
   "")</f>
        <v/>
      </c>
      <c r="BR75" s="385" t="str">
        <f t="shared" si="94"/>
        <v/>
      </c>
      <c r="BS75" s="385" t="str">
        <f t="shared" si="95"/>
        <v/>
      </c>
      <c r="BT75" s="385" t="str">
        <f t="shared" si="96"/>
        <v/>
      </c>
      <c r="BU75" s="385" t="str">
        <f t="shared" si="97"/>
        <v/>
      </c>
      <c r="BV75" s="385" t="str">
        <f t="shared" si="98"/>
        <v/>
      </c>
      <c r="BW75" s="385" t="str">
        <f t="shared" si="99"/>
        <v/>
      </c>
      <c r="BX75" s="385" t="str">
        <f t="shared" si="100"/>
        <v/>
      </c>
      <c r="BY75" s="385" t="str">
        <f t="shared" si="101"/>
        <v/>
      </c>
      <c r="BZ75" s="385" t="str">
        <f t="shared" si="102"/>
        <v/>
      </c>
      <c r="CA75" s="385" t="str">
        <f t="shared" si="103"/>
        <v/>
      </c>
      <c r="CB75" s="385" t="str">
        <f t="shared" si="104"/>
        <v/>
      </c>
      <c r="CC75" s="385" t="str">
        <f t="shared" si="105"/>
        <v/>
      </c>
      <c r="CD75" s="385" t="str">
        <f t="shared" si="106"/>
        <v/>
      </c>
      <c r="CE75" s="385" t="str">
        <f t="shared" si="107"/>
        <v/>
      </c>
      <c r="CF75" s="385" t="str">
        <f t="shared" si="108"/>
        <v/>
      </c>
      <c r="CG75" s="385" t="str">
        <f t="shared" si="109"/>
        <v/>
      </c>
      <c r="CH75" s="385" t="str">
        <f t="shared" si="110"/>
        <v/>
      </c>
      <c r="CI75" s="385" t="str">
        <f t="shared" si="111"/>
        <v/>
      </c>
      <c r="CJ75" s="385" t="str">
        <f t="shared" si="112"/>
        <v/>
      </c>
      <c r="CK75" s="385" t="str">
        <f t="shared" si="113"/>
        <v/>
      </c>
      <c r="CL75" s="385" t="str">
        <f t="shared" si="114"/>
        <v/>
      </c>
      <c r="CM75" s="385" t="str">
        <f t="shared" si="115"/>
        <v/>
      </c>
      <c r="CN75" s="385" t="str">
        <f t="shared" si="116"/>
        <v/>
      </c>
      <c r="CO75" s="385" t="str">
        <f t="shared" si="117"/>
        <v/>
      </c>
      <c r="CP75" s="385" t="str">
        <f t="shared" si="118"/>
        <v/>
      </c>
      <c r="CQ75" s="385" t="str">
        <f t="shared" si="119"/>
        <v/>
      </c>
      <c r="CR75" s="385" t="str">
        <f t="shared" si="120"/>
        <v/>
      </c>
      <c r="CS75" s="385" t="str">
        <f t="shared" si="121"/>
        <v/>
      </c>
      <c r="CT75" s="385" t="str">
        <f t="shared" si="122"/>
        <v/>
      </c>
      <c r="CU75" s="385" t="str">
        <f t="shared" si="123"/>
        <v/>
      </c>
      <c r="CV75" s="385" t="str">
        <f t="shared" si="124"/>
        <v/>
      </c>
      <c r="CW75" s="385" t="str">
        <f t="shared" si="125"/>
        <v/>
      </c>
      <c r="CX75" s="385" t="str">
        <f t="shared" si="126"/>
        <v/>
      </c>
      <c r="CY75" s="385" t="str">
        <f t="shared" si="127"/>
        <v/>
      </c>
      <c r="CZ75" s="385" t="str">
        <f t="shared" si="128"/>
        <v/>
      </c>
      <c r="DA75" s="385" t="str">
        <f t="shared" si="129"/>
        <v/>
      </c>
      <c r="DB75" s="385" t="str">
        <f t="shared" si="130"/>
        <v/>
      </c>
      <c r="DC75" s="385" t="str">
        <f t="shared" si="131"/>
        <v/>
      </c>
      <c r="DD75" s="385" t="str">
        <f t="shared" si="132"/>
        <v/>
      </c>
      <c r="DE75" s="385" t="str">
        <f t="shared" si="133"/>
        <v/>
      </c>
      <c r="DF75" s="385" t="str">
        <f t="shared" si="134"/>
        <v/>
      </c>
      <c r="DG75" s="385" t="str">
        <f t="shared" si="135"/>
        <v/>
      </c>
      <c r="DH75" s="385" t="str">
        <f t="shared" si="136"/>
        <v/>
      </c>
      <c r="DI75" s="385" t="str">
        <f t="shared" si="137"/>
        <v/>
      </c>
    </row>
    <row r="76" spans="1:113" ht="85" x14ac:dyDescent="0.35">
      <c r="A76" s="21"/>
      <c r="B76" s="396">
        <f>'Appoggio_BIA Servizio'!$B$5</f>
        <v>0</v>
      </c>
      <c r="C76" s="392" t="s">
        <v>1027</v>
      </c>
      <c r="D76" s="392" t="s">
        <v>1091</v>
      </c>
      <c r="E76" s="393" t="s">
        <v>1092</v>
      </c>
      <c r="F76" s="240" t="s">
        <v>671</v>
      </c>
      <c r="G76" s="240" t="s">
        <v>655</v>
      </c>
      <c r="H76" s="240"/>
      <c r="I76" s="240">
        <v>0.7</v>
      </c>
      <c r="J76" s="240">
        <v>0.7</v>
      </c>
      <c r="K76" s="240">
        <v>0.7</v>
      </c>
      <c r="L76" s="394"/>
      <c r="M76" s="240"/>
      <c r="N76" s="240">
        <v>0.7</v>
      </c>
      <c r="O76" s="394"/>
      <c r="P76" s="394"/>
      <c r="Q76" s="240"/>
      <c r="R76" s="394"/>
      <c r="S76" s="394"/>
      <c r="T76" s="394">
        <v>0.7</v>
      </c>
      <c r="U76" s="394"/>
      <c r="V76" s="394"/>
      <c r="W76" s="394"/>
      <c r="X76" s="394"/>
      <c r="Y76" s="394"/>
      <c r="Z76" s="394"/>
      <c r="AA76" s="394"/>
      <c r="AB76" s="240"/>
      <c r="AC76" s="394"/>
      <c r="AD76" s="394"/>
      <c r="AE76" s="395"/>
      <c r="AF76" s="395"/>
      <c r="AG76" s="395"/>
      <c r="AH76" s="395"/>
      <c r="AI76" s="395"/>
      <c r="AJ76" s="395"/>
      <c r="AK76" s="395"/>
      <c r="AL76" s="395"/>
      <c r="AM76" s="395">
        <v>1</v>
      </c>
      <c r="AN76" s="395"/>
      <c r="AO76" s="395"/>
      <c r="AP76" s="395"/>
      <c r="AQ76" s="395"/>
      <c r="AR76" s="395">
        <v>1</v>
      </c>
      <c r="AS76" s="395"/>
      <c r="AT76" s="395"/>
      <c r="AU76" s="395"/>
      <c r="AV76" s="395"/>
      <c r="AW76" s="395"/>
      <c r="AX76" s="395"/>
      <c r="AY76" s="395"/>
      <c r="AZ76" s="395"/>
      <c r="BA76" s="395"/>
      <c r="BB76" s="395"/>
      <c r="BC76" s="395"/>
      <c r="BD76" s="395"/>
      <c r="BE76" s="395"/>
      <c r="BF76" s="225">
        <f t="shared" si="92"/>
        <v>0</v>
      </c>
      <c r="BG76" s="226" t="str">
        <f t="shared" si="93"/>
        <v>Non Applicabile</v>
      </c>
      <c r="BH76" s="226" t="s">
        <v>1093</v>
      </c>
      <c r="BI76" s="325"/>
      <c r="BJ76" s="229"/>
      <c r="BK76" s="227"/>
      <c r="BL76" s="324" t="s">
        <v>1094</v>
      </c>
      <c r="BM76" s="324" t="s">
        <v>1095</v>
      </c>
      <c r="BN76" s="324" t="s">
        <v>1096</v>
      </c>
      <c r="BO76" s="330"/>
      <c r="BP76" s="385" t="str">
        <f>IF(G76="X",
   IF(BG76="Applicabile",
      IF(BJ76&lt;&gt;"",
         _xlfn.XLOOKUP($BJ76,Parametri_RA!$B:$B,Parametri_RA!$D:$D,0),
         0),
      ""),
   "")</f>
        <v/>
      </c>
      <c r="BQ76" s="385" t="str">
        <f>IF(H76="X",
   IF(BG76="Applicabile",
      IF(BJ76&lt;&gt;"",
         _xlfn.XLOOKUP($BJ76,Parametri_RA!$B:$B,Parametri_RA!$D:$D,0),
         0),
      ""),
   "")</f>
        <v/>
      </c>
      <c r="BR76" s="385" t="str">
        <f t="shared" si="94"/>
        <v/>
      </c>
      <c r="BS76" s="385" t="str">
        <f t="shared" si="95"/>
        <v/>
      </c>
      <c r="BT76" s="385" t="str">
        <f t="shared" si="96"/>
        <v/>
      </c>
      <c r="BU76" s="385" t="str">
        <f t="shared" si="97"/>
        <v/>
      </c>
      <c r="BV76" s="385" t="str">
        <f t="shared" si="98"/>
        <v/>
      </c>
      <c r="BW76" s="385" t="str">
        <f t="shared" si="99"/>
        <v/>
      </c>
      <c r="BX76" s="385" t="str">
        <f t="shared" si="100"/>
        <v/>
      </c>
      <c r="BY76" s="385" t="str">
        <f t="shared" si="101"/>
        <v/>
      </c>
      <c r="BZ76" s="385" t="str">
        <f t="shared" si="102"/>
        <v/>
      </c>
      <c r="CA76" s="385" t="str">
        <f t="shared" si="103"/>
        <v/>
      </c>
      <c r="CB76" s="385" t="str">
        <f t="shared" si="104"/>
        <v/>
      </c>
      <c r="CC76" s="385" t="str">
        <f t="shared" si="105"/>
        <v/>
      </c>
      <c r="CD76" s="385" t="str">
        <f t="shared" si="106"/>
        <v/>
      </c>
      <c r="CE76" s="385" t="str">
        <f t="shared" si="107"/>
        <v/>
      </c>
      <c r="CF76" s="385" t="str">
        <f t="shared" si="108"/>
        <v/>
      </c>
      <c r="CG76" s="385" t="str">
        <f t="shared" si="109"/>
        <v/>
      </c>
      <c r="CH76" s="385" t="str">
        <f t="shared" si="110"/>
        <v/>
      </c>
      <c r="CI76" s="385" t="str">
        <f t="shared" si="111"/>
        <v/>
      </c>
      <c r="CJ76" s="385" t="str">
        <f t="shared" si="112"/>
        <v/>
      </c>
      <c r="CK76" s="385" t="str">
        <f t="shared" si="113"/>
        <v/>
      </c>
      <c r="CL76" s="385" t="str">
        <f t="shared" si="114"/>
        <v/>
      </c>
      <c r="CM76" s="385" t="str">
        <f t="shared" si="115"/>
        <v/>
      </c>
      <c r="CN76" s="385" t="str">
        <f t="shared" si="116"/>
        <v/>
      </c>
      <c r="CO76" s="385" t="str">
        <f t="shared" si="117"/>
        <v/>
      </c>
      <c r="CP76" s="385" t="str">
        <f t="shared" si="118"/>
        <v/>
      </c>
      <c r="CQ76" s="385" t="str">
        <f t="shared" si="119"/>
        <v/>
      </c>
      <c r="CR76" s="385" t="str">
        <f t="shared" si="120"/>
        <v/>
      </c>
      <c r="CS76" s="385" t="str">
        <f t="shared" si="121"/>
        <v/>
      </c>
      <c r="CT76" s="385" t="str">
        <f t="shared" si="122"/>
        <v/>
      </c>
      <c r="CU76" s="385" t="str">
        <f t="shared" si="123"/>
        <v/>
      </c>
      <c r="CV76" s="385" t="str">
        <f t="shared" si="124"/>
        <v/>
      </c>
      <c r="CW76" s="385" t="str">
        <f t="shared" si="125"/>
        <v/>
      </c>
      <c r="CX76" s="385" t="str">
        <f t="shared" si="126"/>
        <v/>
      </c>
      <c r="CY76" s="385" t="str">
        <f t="shared" si="127"/>
        <v/>
      </c>
      <c r="CZ76" s="385" t="str">
        <f t="shared" si="128"/>
        <v/>
      </c>
      <c r="DA76" s="385" t="str">
        <f t="shared" si="129"/>
        <v/>
      </c>
      <c r="DB76" s="385" t="str">
        <f t="shared" si="130"/>
        <v/>
      </c>
      <c r="DC76" s="385" t="str">
        <f t="shared" si="131"/>
        <v/>
      </c>
      <c r="DD76" s="385" t="str">
        <f t="shared" si="132"/>
        <v/>
      </c>
      <c r="DE76" s="385" t="str">
        <f t="shared" si="133"/>
        <v/>
      </c>
      <c r="DF76" s="385" t="str">
        <f t="shared" si="134"/>
        <v/>
      </c>
      <c r="DG76" s="385" t="str">
        <f t="shared" si="135"/>
        <v/>
      </c>
      <c r="DH76" s="385" t="str">
        <f t="shared" si="136"/>
        <v/>
      </c>
      <c r="DI76" s="385" t="str">
        <f t="shared" si="137"/>
        <v/>
      </c>
    </row>
    <row r="77" spans="1:113" ht="136" x14ac:dyDescent="0.35">
      <c r="A77" s="21"/>
      <c r="B77" s="396">
        <f>'Appoggio_BIA Servizio'!$B$5</f>
        <v>0</v>
      </c>
      <c r="C77" s="392" t="s">
        <v>1027</v>
      </c>
      <c r="D77" s="392" t="s">
        <v>1097</v>
      </c>
      <c r="E77" s="393" t="s">
        <v>1098</v>
      </c>
      <c r="F77" s="240" t="s">
        <v>654</v>
      </c>
      <c r="G77" s="240"/>
      <c r="H77" s="240" t="s">
        <v>655</v>
      </c>
      <c r="I77" s="240">
        <v>1</v>
      </c>
      <c r="J77" s="240">
        <v>1</v>
      </c>
      <c r="K77" s="240">
        <v>1</v>
      </c>
      <c r="L77" s="394">
        <v>0.7</v>
      </c>
      <c r="M77" s="240">
        <v>0.7</v>
      </c>
      <c r="N77" s="240">
        <v>0.7</v>
      </c>
      <c r="O77" s="394"/>
      <c r="P77" s="394">
        <v>0.4</v>
      </c>
      <c r="Q77" s="240">
        <v>1</v>
      </c>
      <c r="R77" s="394"/>
      <c r="S77" s="394">
        <v>1</v>
      </c>
      <c r="T77" s="394"/>
      <c r="U77" s="394">
        <v>0.7</v>
      </c>
      <c r="V77" s="394"/>
      <c r="W77" s="394"/>
      <c r="X77" s="394"/>
      <c r="Y77" s="394"/>
      <c r="Z77" s="394"/>
      <c r="AA77" s="394"/>
      <c r="AB77" s="240"/>
      <c r="AC77" s="394"/>
      <c r="AD77" s="394"/>
      <c r="AE77" s="395"/>
      <c r="AF77" s="395"/>
      <c r="AG77" s="395"/>
      <c r="AH77" s="395"/>
      <c r="AI77" s="395"/>
      <c r="AJ77" s="395"/>
      <c r="AK77" s="395">
        <v>1</v>
      </c>
      <c r="AL77" s="395"/>
      <c r="AM77" s="395">
        <v>1</v>
      </c>
      <c r="AN77" s="395">
        <v>1</v>
      </c>
      <c r="AO77" s="395">
        <v>1</v>
      </c>
      <c r="AP77" s="395"/>
      <c r="AQ77" s="395"/>
      <c r="AR77" s="395"/>
      <c r="AS77" s="395"/>
      <c r="AT77" s="395"/>
      <c r="AU77" s="395"/>
      <c r="AV77" s="395"/>
      <c r="AW77" s="395"/>
      <c r="AX77" s="395"/>
      <c r="AY77" s="395"/>
      <c r="AZ77" s="395"/>
      <c r="BA77" s="395"/>
      <c r="BB77" s="395"/>
      <c r="BC77" s="395"/>
      <c r="BD77" s="395"/>
      <c r="BE77" s="395"/>
      <c r="BF77" s="225">
        <f t="shared" si="92"/>
        <v>0</v>
      </c>
      <c r="BG77" s="226" t="str">
        <f t="shared" si="93"/>
        <v>Non Applicabile</v>
      </c>
      <c r="BH77" s="226" t="s">
        <v>693</v>
      </c>
      <c r="BI77" s="325"/>
      <c r="BJ77" s="229"/>
      <c r="BK77" s="227"/>
      <c r="BL77" s="324" t="s">
        <v>1099</v>
      </c>
      <c r="BM77" s="324" t="s">
        <v>1100</v>
      </c>
      <c r="BN77" s="324" t="s">
        <v>1101</v>
      </c>
      <c r="BO77" s="330"/>
      <c r="BP77" s="385" t="str">
        <f>IF(G77="X",
   IF(BG77="Applicabile",
      IF(BJ77&lt;&gt;"",
         _xlfn.XLOOKUP($BJ77,Parametri_RA!$B:$B,Parametri_RA!$D:$D,0),
         0),
      ""),
   "")</f>
        <v/>
      </c>
      <c r="BQ77" s="385" t="str">
        <f>IF(H77="X",
   IF(BG77="Applicabile",
      IF(BJ77&lt;&gt;"",
         _xlfn.XLOOKUP($BJ77,Parametri_RA!$B:$B,Parametri_RA!$D:$D,0),
         0),
      ""),
   "")</f>
        <v/>
      </c>
      <c r="BR77" s="385" t="str">
        <f t="shared" si="94"/>
        <v/>
      </c>
      <c r="BS77" s="385" t="str">
        <f t="shared" si="95"/>
        <v/>
      </c>
      <c r="BT77" s="385" t="str">
        <f t="shared" si="96"/>
        <v/>
      </c>
      <c r="BU77" s="385" t="str">
        <f t="shared" si="97"/>
        <v/>
      </c>
      <c r="BV77" s="385" t="str">
        <f t="shared" si="98"/>
        <v/>
      </c>
      <c r="BW77" s="385" t="str">
        <f t="shared" si="99"/>
        <v/>
      </c>
      <c r="BX77" s="385" t="str">
        <f t="shared" si="100"/>
        <v/>
      </c>
      <c r="BY77" s="385" t="str">
        <f t="shared" si="101"/>
        <v/>
      </c>
      <c r="BZ77" s="385" t="str">
        <f t="shared" si="102"/>
        <v/>
      </c>
      <c r="CA77" s="385" t="str">
        <f t="shared" si="103"/>
        <v/>
      </c>
      <c r="CB77" s="385" t="str">
        <f t="shared" si="104"/>
        <v/>
      </c>
      <c r="CC77" s="385" t="str">
        <f t="shared" si="105"/>
        <v/>
      </c>
      <c r="CD77" s="385" t="str">
        <f t="shared" si="106"/>
        <v/>
      </c>
      <c r="CE77" s="385" t="str">
        <f t="shared" si="107"/>
        <v/>
      </c>
      <c r="CF77" s="385" t="str">
        <f t="shared" si="108"/>
        <v/>
      </c>
      <c r="CG77" s="385" t="str">
        <f t="shared" si="109"/>
        <v/>
      </c>
      <c r="CH77" s="385" t="str">
        <f t="shared" si="110"/>
        <v/>
      </c>
      <c r="CI77" s="385" t="str">
        <f t="shared" si="111"/>
        <v/>
      </c>
      <c r="CJ77" s="385" t="str">
        <f t="shared" si="112"/>
        <v/>
      </c>
      <c r="CK77" s="385" t="str">
        <f t="shared" si="113"/>
        <v/>
      </c>
      <c r="CL77" s="385" t="str">
        <f t="shared" si="114"/>
        <v/>
      </c>
      <c r="CM77" s="385" t="str">
        <f t="shared" si="115"/>
        <v/>
      </c>
      <c r="CN77" s="385" t="str">
        <f t="shared" si="116"/>
        <v/>
      </c>
      <c r="CO77" s="385" t="str">
        <f t="shared" si="117"/>
        <v/>
      </c>
      <c r="CP77" s="385" t="str">
        <f t="shared" si="118"/>
        <v/>
      </c>
      <c r="CQ77" s="385" t="str">
        <f t="shared" si="119"/>
        <v/>
      </c>
      <c r="CR77" s="385" t="str">
        <f t="shared" si="120"/>
        <v/>
      </c>
      <c r="CS77" s="385" t="str">
        <f t="shared" si="121"/>
        <v/>
      </c>
      <c r="CT77" s="385" t="str">
        <f t="shared" si="122"/>
        <v/>
      </c>
      <c r="CU77" s="385" t="str">
        <f t="shared" si="123"/>
        <v/>
      </c>
      <c r="CV77" s="385" t="str">
        <f t="shared" si="124"/>
        <v/>
      </c>
      <c r="CW77" s="385" t="str">
        <f t="shared" si="125"/>
        <v/>
      </c>
      <c r="CX77" s="385" t="str">
        <f t="shared" si="126"/>
        <v/>
      </c>
      <c r="CY77" s="385" t="str">
        <f t="shared" si="127"/>
        <v/>
      </c>
      <c r="CZ77" s="385" t="str">
        <f t="shared" si="128"/>
        <v/>
      </c>
      <c r="DA77" s="385" t="str">
        <f t="shared" si="129"/>
        <v/>
      </c>
      <c r="DB77" s="385" t="str">
        <f t="shared" si="130"/>
        <v/>
      </c>
      <c r="DC77" s="385" t="str">
        <f t="shared" si="131"/>
        <v/>
      </c>
      <c r="DD77" s="385" t="str">
        <f t="shared" si="132"/>
        <v/>
      </c>
      <c r="DE77" s="385" t="str">
        <f t="shared" si="133"/>
        <v/>
      </c>
      <c r="DF77" s="385" t="str">
        <f t="shared" si="134"/>
        <v/>
      </c>
      <c r="DG77" s="385" t="str">
        <f t="shared" si="135"/>
        <v/>
      </c>
      <c r="DH77" s="385" t="str">
        <f t="shared" si="136"/>
        <v/>
      </c>
      <c r="DI77" s="385" t="str">
        <f t="shared" si="137"/>
        <v/>
      </c>
    </row>
    <row r="78" spans="1:113" ht="136" x14ac:dyDescent="0.35">
      <c r="A78" s="21" t="s">
        <v>1102</v>
      </c>
      <c r="B78" s="396">
        <f>'Appoggio_BIA Servizio'!$B$5</f>
        <v>0</v>
      </c>
      <c r="C78" s="392" t="s">
        <v>1027</v>
      </c>
      <c r="D78" s="392" t="s">
        <v>1103</v>
      </c>
      <c r="E78" s="393" t="s">
        <v>1104</v>
      </c>
      <c r="F78" s="240" t="s">
        <v>671</v>
      </c>
      <c r="G78" s="240" t="s">
        <v>655</v>
      </c>
      <c r="H78" s="240" t="s">
        <v>655</v>
      </c>
      <c r="I78" s="240">
        <v>1</v>
      </c>
      <c r="J78" s="240">
        <v>1</v>
      </c>
      <c r="K78" s="240">
        <v>0.7</v>
      </c>
      <c r="L78" s="394"/>
      <c r="M78" s="240"/>
      <c r="N78" s="240">
        <v>0.7</v>
      </c>
      <c r="O78" s="394"/>
      <c r="P78" s="394">
        <v>1</v>
      </c>
      <c r="Q78" s="240"/>
      <c r="R78" s="394"/>
      <c r="S78" s="394">
        <v>1</v>
      </c>
      <c r="T78" s="394">
        <v>0.7</v>
      </c>
      <c r="U78" s="394"/>
      <c r="V78" s="394"/>
      <c r="W78" s="394">
        <v>0.4</v>
      </c>
      <c r="X78" s="394"/>
      <c r="Y78" s="394"/>
      <c r="Z78" s="394"/>
      <c r="AA78" s="394"/>
      <c r="AB78" s="240"/>
      <c r="AC78" s="394"/>
      <c r="AD78" s="394"/>
      <c r="AE78" s="395"/>
      <c r="AF78" s="395"/>
      <c r="AG78" s="395"/>
      <c r="AH78" s="395"/>
      <c r="AI78" s="395"/>
      <c r="AJ78" s="395"/>
      <c r="AK78" s="395"/>
      <c r="AL78" s="395">
        <v>1</v>
      </c>
      <c r="AM78" s="395">
        <v>1</v>
      </c>
      <c r="AN78" s="395"/>
      <c r="AO78" s="395"/>
      <c r="AP78" s="395">
        <v>1</v>
      </c>
      <c r="AQ78" s="395"/>
      <c r="AR78" s="395">
        <v>1</v>
      </c>
      <c r="AS78" s="395"/>
      <c r="AT78" s="395"/>
      <c r="AU78" s="395"/>
      <c r="AV78" s="395"/>
      <c r="AW78" s="395"/>
      <c r="AX78" s="395"/>
      <c r="AY78" s="395"/>
      <c r="AZ78" s="395"/>
      <c r="BA78" s="395"/>
      <c r="BB78" s="395"/>
      <c r="BC78" s="395"/>
      <c r="BD78" s="395"/>
      <c r="BE78" s="395"/>
      <c r="BF78" s="225">
        <f t="shared" si="92"/>
        <v>0</v>
      </c>
      <c r="BG78" s="226" t="str">
        <f t="shared" si="93"/>
        <v>Non Applicabile</v>
      </c>
      <c r="BH78" s="226" t="s">
        <v>1017</v>
      </c>
      <c r="BI78" s="228"/>
      <c r="BJ78" s="229"/>
      <c r="BK78" s="227"/>
      <c r="BL78" s="324" t="s">
        <v>1105</v>
      </c>
      <c r="BM78" s="324" t="s">
        <v>1106</v>
      </c>
      <c r="BN78" s="324" t="s">
        <v>1107</v>
      </c>
      <c r="BO78" s="330"/>
      <c r="BP78" s="385" t="str">
        <f>IF(G78="X",
   IF(BG78="Applicabile",
      IF(BJ78&lt;&gt;"",
         _xlfn.XLOOKUP($BJ78,Parametri_RA!$B:$B,Parametri_RA!$D:$D,0),
         0),
      ""),
   "")</f>
        <v/>
      </c>
      <c r="BQ78" s="385" t="str">
        <f>IF(H78="X",
   IF(BG78="Applicabile",
      IF(BJ78&lt;&gt;"",
         _xlfn.XLOOKUP($BJ78,Parametri_RA!$B:$B,Parametri_RA!$D:$D,0),
         0),
      ""),
   "")</f>
        <v/>
      </c>
      <c r="BR78" s="385" t="str">
        <f t="shared" si="94"/>
        <v/>
      </c>
      <c r="BS78" s="385" t="str">
        <f t="shared" si="95"/>
        <v/>
      </c>
      <c r="BT78" s="385" t="str">
        <f t="shared" si="96"/>
        <v/>
      </c>
      <c r="BU78" s="385" t="str">
        <f t="shared" si="97"/>
        <v/>
      </c>
      <c r="BV78" s="385" t="str">
        <f t="shared" si="98"/>
        <v/>
      </c>
      <c r="BW78" s="385" t="str">
        <f t="shared" si="99"/>
        <v/>
      </c>
      <c r="BX78" s="385" t="str">
        <f t="shared" si="100"/>
        <v/>
      </c>
      <c r="BY78" s="385" t="str">
        <f t="shared" si="101"/>
        <v/>
      </c>
      <c r="BZ78" s="385" t="str">
        <f t="shared" si="102"/>
        <v/>
      </c>
      <c r="CA78" s="385" t="str">
        <f t="shared" si="103"/>
        <v/>
      </c>
      <c r="CB78" s="385" t="str">
        <f t="shared" si="104"/>
        <v/>
      </c>
      <c r="CC78" s="385" t="str">
        <f t="shared" si="105"/>
        <v/>
      </c>
      <c r="CD78" s="385" t="str">
        <f t="shared" si="106"/>
        <v/>
      </c>
      <c r="CE78" s="385" t="str">
        <f t="shared" si="107"/>
        <v/>
      </c>
      <c r="CF78" s="385" t="str">
        <f t="shared" si="108"/>
        <v/>
      </c>
      <c r="CG78" s="385" t="str">
        <f t="shared" si="109"/>
        <v/>
      </c>
      <c r="CH78" s="385" t="str">
        <f t="shared" si="110"/>
        <v/>
      </c>
      <c r="CI78" s="385" t="str">
        <f t="shared" si="111"/>
        <v/>
      </c>
      <c r="CJ78" s="385" t="str">
        <f t="shared" si="112"/>
        <v/>
      </c>
      <c r="CK78" s="385" t="str">
        <f t="shared" si="113"/>
        <v/>
      </c>
      <c r="CL78" s="385" t="str">
        <f t="shared" si="114"/>
        <v/>
      </c>
      <c r="CM78" s="385" t="str">
        <f t="shared" si="115"/>
        <v/>
      </c>
      <c r="CN78" s="385" t="str">
        <f t="shared" si="116"/>
        <v/>
      </c>
      <c r="CO78" s="385" t="str">
        <f t="shared" si="117"/>
        <v/>
      </c>
      <c r="CP78" s="385" t="str">
        <f t="shared" si="118"/>
        <v/>
      </c>
      <c r="CQ78" s="385" t="str">
        <f t="shared" si="119"/>
        <v/>
      </c>
      <c r="CR78" s="385" t="str">
        <f t="shared" si="120"/>
        <v/>
      </c>
      <c r="CS78" s="385" t="str">
        <f t="shared" si="121"/>
        <v/>
      </c>
      <c r="CT78" s="385" t="str">
        <f t="shared" si="122"/>
        <v/>
      </c>
      <c r="CU78" s="385" t="str">
        <f t="shared" si="123"/>
        <v/>
      </c>
      <c r="CV78" s="385" t="str">
        <f t="shared" si="124"/>
        <v/>
      </c>
      <c r="CW78" s="385" t="str">
        <f t="shared" si="125"/>
        <v/>
      </c>
      <c r="CX78" s="385" t="str">
        <f t="shared" si="126"/>
        <v/>
      </c>
      <c r="CY78" s="385" t="str">
        <f t="shared" si="127"/>
        <v/>
      </c>
      <c r="CZ78" s="385" t="str">
        <f t="shared" si="128"/>
        <v/>
      </c>
      <c r="DA78" s="385" t="str">
        <f t="shared" si="129"/>
        <v/>
      </c>
      <c r="DB78" s="385" t="str">
        <f t="shared" si="130"/>
        <v/>
      </c>
      <c r="DC78" s="385" t="str">
        <f t="shared" si="131"/>
        <v/>
      </c>
      <c r="DD78" s="385" t="str">
        <f t="shared" si="132"/>
        <v/>
      </c>
      <c r="DE78" s="385" t="str">
        <f t="shared" si="133"/>
        <v/>
      </c>
      <c r="DF78" s="385" t="str">
        <f t="shared" si="134"/>
        <v/>
      </c>
      <c r="DG78" s="385" t="str">
        <f t="shared" si="135"/>
        <v/>
      </c>
      <c r="DH78" s="385" t="str">
        <f t="shared" si="136"/>
        <v/>
      </c>
      <c r="DI78" s="385" t="str">
        <f t="shared" si="137"/>
        <v/>
      </c>
    </row>
    <row r="79" spans="1:113" ht="51" x14ac:dyDescent="0.35">
      <c r="A79" s="21"/>
      <c r="B79" s="396">
        <f>'Appoggio_BIA Servizio'!$B$5</f>
        <v>0</v>
      </c>
      <c r="C79" s="392" t="s">
        <v>1027</v>
      </c>
      <c r="D79" s="392" t="s">
        <v>1108</v>
      </c>
      <c r="E79" s="393" t="s">
        <v>1109</v>
      </c>
      <c r="F79" s="240" t="s">
        <v>663</v>
      </c>
      <c r="G79" s="240" t="s">
        <v>655</v>
      </c>
      <c r="H79" s="240" t="s">
        <v>655</v>
      </c>
      <c r="I79" s="240">
        <v>0.7</v>
      </c>
      <c r="J79" s="240">
        <v>0.7</v>
      </c>
      <c r="K79" s="240">
        <v>0.7</v>
      </c>
      <c r="L79" s="394"/>
      <c r="M79" s="240">
        <v>0.4</v>
      </c>
      <c r="N79" s="240">
        <v>0.7</v>
      </c>
      <c r="O79" s="394"/>
      <c r="P79" s="240">
        <v>0.4</v>
      </c>
      <c r="Q79" s="240">
        <v>0.4</v>
      </c>
      <c r="R79" s="394"/>
      <c r="S79" s="394">
        <v>0.7</v>
      </c>
      <c r="T79" s="394"/>
      <c r="U79" s="394">
        <v>0.7</v>
      </c>
      <c r="V79" s="394"/>
      <c r="W79" s="394"/>
      <c r="X79" s="394"/>
      <c r="Y79" s="394"/>
      <c r="Z79" s="394"/>
      <c r="AA79" s="394"/>
      <c r="AB79" s="240"/>
      <c r="AC79" s="394"/>
      <c r="AD79" s="394"/>
      <c r="AE79" s="395"/>
      <c r="AF79" s="395"/>
      <c r="AG79" s="395"/>
      <c r="AH79" s="395"/>
      <c r="AI79" s="395"/>
      <c r="AJ79" s="395"/>
      <c r="AK79" s="395"/>
      <c r="AL79" s="395">
        <v>1</v>
      </c>
      <c r="AM79" s="395">
        <v>1</v>
      </c>
      <c r="AN79" s="395">
        <v>0.6</v>
      </c>
      <c r="AO79" s="395"/>
      <c r="AP79" s="395"/>
      <c r="AQ79" s="395">
        <v>0.4</v>
      </c>
      <c r="AR79" s="395">
        <v>0.4</v>
      </c>
      <c r="AS79" s="395"/>
      <c r="AT79" s="395"/>
      <c r="AU79" s="395"/>
      <c r="AV79" s="395"/>
      <c r="AW79" s="395"/>
      <c r="AX79" s="395"/>
      <c r="AY79" s="395"/>
      <c r="AZ79" s="395"/>
      <c r="BA79" s="395"/>
      <c r="BB79" s="395"/>
      <c r="BC79" s="395"/>
      <c r="BD79" s="395"/>
      <c r="BE79" s="395"/>
      <c r="BF79" s="225">
        <f t="shared" si="92"/>
        <v>0</v>
      </c>
      <c r="BG79" s="226" t="str">
        <f t="shared" si="93"/>
        <v>Non Applicabile</v>
      </c>
      <c r="BH79" s="226" t="s">
        <v>693</v>
      </c>
      <c r="BI79" s="325"/>
      <c r="BJ79" s="229"/>
      <c r="BK79" s="227"/>
      <c r="BL79" s="324" t="s">
        <v>1110</v>
      </c>
      <c r="BM79" s="324" t="s">
        <v>1111</v>
      </c>
      <c r="BN79" s="324" t="s">
        <v>1112</v>
      </c>
      <c r="BO79" s="330"/>
      <c r="BP79" s="385" t="str">
        <f>IF(G79="X",
   IF(BG79="Applicabile",
      IF(BJ79&lt;&gt;"",
         _xlfn.XLOOKUP($BJ79,Parametri_RA!$B:$B,Parametri_RA!$D:$D,0),
         0),
      ""),
   "")</f>
        <v/>
      </c>
      <c r="BQ79" s="385" t="str">
        <f>IF(H79="X",
   IF(BG79="Applicabile",
      IF(BJ79&lt;&gt;"",
         _xlfn.XLOOKUP($BJ79,Parametri_RA!$B:$B,Parametri_RA!$D:$D,0),
         0),
      ""),
   "")</f>
        <v/>
      </c>
      <c r="BR79" s="385" t="str">
        <f t="shared" si="94"/>
        <v/>
      </c>
      <c r="BS79" s="385" t="str">
        <f t="shared" si="95"/>
        <v/>
      </c>
      <c r="BT79" s="385" t="str">
        <f t="shared" si="96"/>
        <v/>
      </c>
      <c r="BU79" s="385" t="str">
        <f t="shared" si="97"/>
        <v/>
      </c>
      <c r="BV79" s="385" t="str">
        <f t="shared" si="98"/>
        <v/>
      </c>
      <c r="BW79" s="385" t="str">
        <f t="shared" si="99"/>
        <v/>
      </c>
      <c r="BX79" s="385" t="str">
        <f t="shared" si="100"/>
        <v/>
      </c>
      <c r="BY79" s="385" t="str">
        <f t="shared" si="101"/>
        <v/>
      </c>
      <c r="BZ79" s="385" t="str">
        <f t="shared" si="102"/>
        <v/>
      </c>
      <c r="CA79" s="385" t="str">
        <f t="shared" si="103"/>
        <v/>
      </c>
      <c r="CB79" s="385" t="str">
        <f t="shared" si="104"/>
        <v/>
      </c>
      <c r="CC79" s="385" t="str">
        <f t="shared" si="105"/>
        <v/>
      </c>
      <c r="CD79" s="385" t="str">
        <f t="shared" si="106"/>
        <v/>
      </c>
      <c r="CE79" s="385" t="str">
        <f t="shared" si="107"/>
        <v/>
      </c>
      <c r="CF79" s="385" t="str">
        <f t="shared" si="108"/>
        <v/>
      </c>
      <c r="CG79" s="385" t="str">
        <f t="shared" si="109"/>
        <v/>
      </c>
      <c r="CH79" s="385" t="str">
        <f t="shared" si="110"/>
        <v/>
      </c>
      <c r="CI79" s="385" t="str">
        <f t="shared" si="111"/>
        <v/>
      </c>
      <c r="CJ79" s="385" t="str">
        <f t="shared" si="112"/>
        <v/>
      </c>
      <c r="CK79" s="385" t="str">
        <f t="shared" si="113"/>
        <v/>
      </c>
      <c r="CL79" s="385" t="str">
        <f t="shared" si="114"/>
        <v/>
      </c>
      <c r="CM79" s="385" t="str">
        <f t="shared" si="115"/>
        <v/>
      </c>
      <c r="CN79" s="385" t="str">
        <f t="shared" si="116"/>
        <v/>
      </c>
      <c r="CO79" s="385" t="str">
        <f t="shared" si="117"/>
        <v/>
      </c>
      <c r="CP79" s="385" t="str">
        <f t="shared" si="118"/>
        <v/>
      </c>
      <c r="CQ79" s="385" t="str">
        <f t="shared" si="119"/>
        <v/>
      </c>
      <c r="CR79" s="385" t="str">
        <f t="shared" si="120"/>
        <v/>
      </c>
      <c r="CS79" s="385" t="str">
        <f t="shared" si="121"/>
        <v/>
      </c>
      <c r="CT79" s="385" t="str">
        <f t="shared" si="122"/>
        <v/>
      </c>
      <c r="CU79" s="385" t="str">
        <f t="shared" si="123"/>
        <v/>
      </c>
      <c r="CV79" s="385" t="str">
        <f t="shared" si="124"/>
        <v/>
      </c>
      <c r="CW79" s="385" t="str">
        <f t="shared" si="125"/>
        <v/>
      </c>
      <c r="CX79" s="385" t="str">
        <f t="shared" si="126"/>
        <v/>
      </c>
      <c r="CY79" s="385" t="str">
        <f t="shared" si="127"/>
        <v/>
      </c>
      <c r="CZ79" s="385" t="str">
        <f t="shared" si="128"/>
        <v/>
      </c>
      <c r="DA79" s="385" t="str">
        <f t="shared" si="129"/>
        <v/>
      </c>
      <c r="DB79" s="385" t="str">
        <f t="shared" si="130"/>
        <v/>
      </c>
      <c r="DC79" s="385" t="str">
        <f t="shared" si="131"/>
        <v/>
      </c>
      <c r="DD79" s="385" t="str">
        <f t="shared" si="132"/>
        <v/>
      </c>
      <c r="DE79" s="385" t="str">
        <f t="shared" si="133"/>
        <v/>
      </c>
      <c r="DF79" s="385" t="str">
        <f t="shared" si="134"/>
        <v/>
      </c>
      <c r="DG79" s="385" t="str">
        <f t="shared" si="135"/>
        <v/>
      </c>
      <c r="DH79" s="385" t="str">
        <f t="shared" si="136"/>
        <v/>
      </c>
      <c r="DI79" s="385" t="str">
        <f t="shared" si="137"/>
        <v/>
      </c>
    </row>
    <row r="80" spans="1:113" ht="66" x14ac:dyDescent="0.35">
      <c r="A80" s="21" t="s">
        <v>1113</v>
      </c>
      <c r="B80" s="396">
        <f>'Appoggio_BIA Servizio'!$B$5</f>
        <v>0</v>
      </c>
      <c r="C80" s="392" t="s">
        <v>1114</v>
      </c>
      <c r="D80" s="392" t="s">
        <v>1115</v>
      </c>
      <c r="E80" s="393" t="s">
        <v>1116</v>
      </c>
      <c r="F80" s="240" t="s">
        <v>654</v>
      </c>
      <c r="G80" s="240" t="s">
        <v>655</v>
      </c>
      <c r="H80" s="240" t="s">
        <v>655</v>
      </c>
      <c r="I80" s="240"/>
      <c r="J80" s="240"/>
      <c r="K80" s="240"/>
      <c r="L80" s="394"/>
      <c r="M80" s="240"/>
      <c r="N80" s="240"/>
      <c r="O80" s="394"/>
      <c r="P80" s="394"/>
      <c r="Q80" s="240">
        <v>1</v>
      </c>
      <c r="R80" s="394"/>
      <c r="S80" s="394"/>
      <c r="T80" s="394"/>
      <c r="U80" s="394"/>
      <c r="V80" s="394"/>
      <c r="W80" s="394"/>
      <c r="X80" s="394"/>
      <c r="Y80" s="394"/>
      <c r="Z80" s="394"/>
      <c r="AA80" s="394"/>
      <c r="AB80" s="240"/>
      <c r="AC80" s="394"/>
      <c r="AD80" s="394"/>
      <c r="AE80" s="395"/>
      <c r="AF80" s="395"/>
      <c r="AG80" s="395"/>
      <c r="AH80" s="395"/>
      <c r="AI80" s="395"/>
      <c r="AJ80" s="395"/>
      <c r="AK80" s="395"/>
      <c r="AL80" s="395"/>
      <c r="AM80" s="395">
        <v>1</v>
      </c>
      <c r="AN80" s="395"/>
      <c r="AO80" s="395"/>
      <c r="AP80" s="395"/>
      <c r="AQ80" s="395"/>
      <c r="AR80" s="395"/>
      <c r="AS80" s="395"/>
      <c r="AT80" s="395"/>
      <c r="AU80" s="395"/>
      <c r="AV80" s="395"/>
      <c r="AW80" s="395"/>
      <c r="AX80" s="395">
        <v>1</v>
      </c>
      <c r="AY80" s="395"/>
      <c r="AZ80" s="395"/>
      <c r="BA80" s="395"/>
      <c r="BB80" s="395"/>
      <c r="BC80" s="395"/>
      <c r="BD80" s="395"/>
      <c r="BE80" s="395"/>
      <c r="BF80" s="225">
        <f t="shared" si="92"/>
        <v>0</v>
      </c>
      <c r="BG80" s="226" t="str">
        <f t="shared" si="93"/>
        <v>Non Applicabile</v>
      </c>
      <c r="BH80" s="226" t="s">
        <v>693</v>
      </c>
      <c r="BI80" s="228"/>
      <c r="BJ80" s="229"/>
      <c r="BK80" s="227"/>
      <c r="BL80" s="324" t="s">
        <v>1117</v>
      </c>
      <c r="BM80" s="324" t="s">
        <v>1118</v>
      </c>
      <c r="BN80" s="324" t="s">
        <v>1119</v>
      </c>
      <c r="BO80" s="330"/>
      <c r="BP80" s="385" t="str">
        <f>IF(G80="X",
   IF(BG80="Applicabile",
      IF(BJ80&lt;&gt;"",
         _xlfn.XLOOKUP($BJ80,Parametri_RA!$B:$B,Parametri_RA!$D:$D,0),
         0),
      ""),
   "")</f>
        <v/>
      </c>
      <c r="BQ80" s="385" t="str">
        <f>IF(H80="X",
   IF(BG80="Applicabile",
      IF(BJ80&lt;&gt;"",
         _xlfn.XLOOKUP($BJ80,Parametri_RA!$B:$B,Parametri_RA!$D:$D,0),
         0),
      ""),
   "")</f>
        <v/>
      </c>
      <c r="BR80" s="385" t="str">
        <f t="shared" si="94"/>
        <v/>
      </c>
      <c r="BS80" s="385" t="str">
        <f t="shared" si="95"/>
        <v/>
      </c>
      <c r="BT80" s="385" t="str">
        <f t="shared" si="96"/>
        <v/>
      </c>
      <c r="BU80" s="385" t="str">
        <f t="shared" si="97"/>
        <v/>
      </c>
      <c r="BV80" s="385" t="str">
        <f t="shared" si="98"/>
        <v/>
      </c>
      <c r="BW80" s="385" t="str">
        <f t="shared" si="99"/>
        <v/>
      </c>
      <c r="BX80" s="385" t="str">
        <f t="shared" si="100"/>
        <v/>
      </c>
      <c r="BY80" s="385" t="str">
        <f t="shared" si="101"/>
        <v/>
      </c>
      <c r="BZ80" s="385" t="str">
        <f t="shared" si="102"/>
        <v/>
      </c>
      <c r="CA80" s="385" t="str">
        <f t="shared" si="103"/>
        <v/>
      </c>
      <c r="CB80" s="385" t="str">
        <f t="shared" si="104"/>
        <v/>
      </c>
      <c r="CC80" s="385" t="str">
        <f t="shared" si="105"/>
        <v/>
      </c>
      <c r="CD80" s="385" t="str">
        <f t="shared" si="106"/>
        <v/>
      </c>
      <c r="CE80" s="385" t="str">
        <f t="shared" si="107"/>
        <v/>
      </c>
      <c r="CF80" s="385" t="str">
        <f t="shared" si="108"/>
        <v/>
      </c>
      <c r="CG80" s="385" t="str">
        <f t="shared" si="109"/>
        <v/>
      </c>
      <c r="CH80" s="385" t="str">
        <f t="shared" si="110"/>
        <v/>
      </c>
      <c r="CI80" s="385" t="str">
        <f t="shared" si="111"/>
        <v/>
      </c>
      <c r="CJ80" s="385" t="str">
        <f t="shared" si="112"/>
        <v/>
      </c>
      <c r="CK80" s="385" t="str">
        <f t="shared" si="113"/>
        <v/>
      </c>
      <c r="CL80" s="385" t="str">
        <f t="shared" si="114"/>
        <v/>
      </c>
      <c r="CM80" s="385" t="str">
        <f t="shared" si="115"/>
        <v/>
      </c>
      <c r="CN80" s="385" t="str">
        <f t="shared" si="116"/>
        <v/>
      </c>
      <c r="CO80" s="385" t="str">
        <f t="shared" si="117"/>
        <v/>
      </c>
      <c r="CP80" s="385" t="str">
        <f t="shared" si="118"/>
        <v/>
      </c>
      <c r="CQ80" s="385" t="str">
        <f t="shared" si="119"/>
        <v/>
      </c>
      <c r="CR80" s="385" t="str">
        <f t="shared" si="120"/>
        <v/>
      </c>
      <c r="CS80" s="385" t="str">
        <f t="shared" si="121"/>
        <v/>
      </c>
      <c r="CT80" s="385" t="str">
        <f t="shared" si="122"/>
        <v/>
      </c>
      <c r="CU80" s="385" t="str">
        <f t="shared" si="123"/>
        <v/>
      </c>
      <c r="CV80" s="385" t="str">
        <f t="shared" si="124"/>
        <v/>
      </c>
      <c r="CW80" s="385" t="str">
        <f t="shared" si="125"/>
        <v/>
      </c>
      <c r="CX80" s="385" t="str">
        <f t="shared" si="126"/>
        <v/>
      </c>
      <c r="CY80" s="385" t="str">
        <f t="shared" si="127"/>
        <v/>
      </c>
      <c r="CZ80" s="385" t="str">
        <f t="shared" si="128"/>
        <v/>
      </c>
      <c r="DA80" s="385" t="str">
        <f t="shared" si="129"/>
        <v/>
      </c>
      <c r="DB80" s="385" t="str">
        <f t="shared" si="130"/>
        <v/>
      </c>
      <c r="DC80" s="385" t="str">
        <f t="shared" si="131"/>
        <v/>
      </c>
      <c r="DD80" s="385" t="str">
        <f t="shared" si="132"/>
        <v/>
      </c>
      <c r="DE80" s="385" t="str">
        <f t="shared" si="133"/>
        <v/>
      </c>
      <c r="DF80" s="385" t="str">
        <f t="shared" si="134"/>
        <v/>
      </c>
      <c r="DG80" s="385" t="str">
        <f t="shared" si="135"/>
        <v/>
      </c>
      <c r="DH80" s="385" t="str">
        <f t="shared" si="136"/>
        <v/>
      </c>
      <c r="DI80" s="385" t="str">
        <f t="shared" si="137"/>
        <v/>
      </c>
    </row>
    <row r="81" spans="1:113" ht="102" x14ac:dyDescent="0.35">
      <c r="A81" s="21" t="s">
        <v>1120</v>
      </c>
      <c r="B81" s="396">
        <f>'Appoggio_BIA Servizio'!$B$5</f>
        <v>0</v>
      </c>
      <c r="C81" s="392" t="s">
        <v>1114</v>
      </c>
      <c r="D81" s="392" t="s">
        <v>1121</v>
      </c>
      <c r="E81" s="393" t="s">
        <v>1122</v>
      </c>
      <c r="F81" s="240" t="s">
        <v>654</v>
      </c>
      <c r="G81" s="240" t="s">
        <v>655</v>
      </c>
      <c r="H81" s="240" t="s">
        <v>655</v>
      </c>
      <c r="I81" s="240">
        <v>1</v>
      </c>
      <c r="J81" s="240">
        <v>1</v>
      </c>
      <c r="K81" s="240"/>
      <c r="L81" s="394">
        <v>1</v>
      </c>
      <c r="M81" s="240"/>
      <c r="N81" s="240">
        <v>1</v>
      </c>
      <c r="O81" s="394"/>
      <c r="P81" s="240">
        <v>1</v>
      </c>
      <c r="Q81" s="240">
        <v>1</v>
      </c>
      <c r="R81" s="394"/>
      <c r="S81" s="394"/>
      <c r="T81" s="394">
        <v>1</v>
      </c>
      <c r="U81" s="394"/>
      <c r="V81" s="394"/>
      <c r="W81" s="394"/>
      <c r="X81" s="394"/>
      <c r="Y81" s="394"/>
      <c r="Z81" s="394"/>
      <c r="AA81" s="394"/>
      <c r="AB81" s="240"/>
      <c r="AC81" s="394"/>
      <c r="AD81" s="394"/>
      <c r="AE81" s="395"/>
      <c r="AF81" s="395"/>
      <c r="AG81" s="395"/>
      <c r="AH81" s="395"/>
      <c r="AI81" s="395"/>
      <c r="AJ81" s="395"/>
      <c r="AK81" s="395"/>
      <c r="AL81" s="395"/>
      <c r="AM81" s="395">
        <v>1</v>
      </c>
      <c r="AN81" s="395"/>
      <c r="AO81" s="395"/>
      <c r="AP81" s="395"/>
      <c r="AQ81" s="395"/>
      <c r="AR81" s="395"/>
      <c r="AS81" s="395"/>
      <c r="AT81" s="395"/>
      <c r="AU81" s="395"/>
      <c r="AV81" s="395"/>
      <c r="AW81" s="395"/>
      <c r="AX81" s="395">
        <v>1</v>
      </c>
      <c r="AY81" s="395"/>
      <c r="AZ81" s="395"/>
      <c r="BA81" s="395"/>
      <c r="BB81" s="395"/>
      <c r="BC81" s="395"/>
      <c r="BD81" s="395"/>
      <c r="BE81" s="395"/>
      <c r="BF81" s="225">
        <f t="shared" si="92"/>
        <v>0</v>
      </c>
      <c r="BG81" s="226" t="str">
        <f t="shared" si="93"/>
        <v>Non Applicabile</v>
      </c>
      <c r="BH81" s="226" t="s">
        <v>693</v>
      </c>
      <c r="BI81" s="228"/>
      <c r="BJ81" s="229"/>
      <c r="BK81" s="227"/>
      <c r="BL81" s="324" t="s">
        <v>1123</v>
      </c>
      <c r="BM81" s="324" t="s">
        <v>1124</v>
      </c>
      <c r="BN81" s="324" t="s">
        <v>1125</v>
      </c>
      <c r="BO81" s="330"/>
      <c r="BP81" s="385" t="str">
        <f>IF(G81="X",
   IF(BG81="Applicabile",
      IF(BJ81&lt;&gt;"",
         _xlfn.XLOOKUP($BJ81,Parametri_RA!$B:$B,Parametri_RA!$D:$D,0),
         0),
      ""),
   "")</f>
        <v/>
      </c>
      <c r="BQ81" s="385" t="str">
        <f>IF(H81="X",
   IF(BG81="Applicabile",
      IF(BJ81&lt;&gt;"",
         _xlfn.XLOOKUP($BJ81,Parametri_RA!$B:$B,Parametri_RA!$D:$D,0),
         0),
      ""),
   "")</f>
        <v/>
      </c>
      <c r="BR81" s="385" t="str">
        <f t="shared" si="94"/>
        <v/>
      </c>
      <c r="BS81" s="385" t="str">
        <f t="shared" si="95"/>
        <v/>
      </c>
      <c r="BT81" s="385" t="str">
        <f t="shared" si="96"/>
        <v/>
      </c>
      <c r="BU81" s="385" t="str">
        <f t="shared" si="97"/>
        <v/>
      </c>
      <c r="BV81" s="385" t="str">
        <f t="shared" si="98"/>
        <v/>
      </c>
      <c r="BW81" s="385" t="str">
        <f t="shared" si="99"/>
        <v/>
      </c>
      <c r="BX81" s="385" t="str">
        <f t="shared" si="100"/>
        <v/>
      </c>
      <c r="BY81" s="385" t="str">
        <f t="shared" si="101"/>
        <v/>
      </c>
      <c r="BZ81" s="385" t="str">
        <f t="shared" si="102"/>
        <v/>
      </c>
      <c r="CA81" s="385" t="str">
        <f t="shared" si="103"/>
        <v/>
      </c>
      <c r="CB81" s="385" t="str">
        <f t="shared" si="104"/>
        <v/>
      </c>
      <c r="CC81" s="385" t="str">
        <f t="shared" si="105"/>
        <v/>
      </c>
      <c r="CD81" s="385" t="str">
        <f t="shared" si="106"/>
        <v/>
      </c>
      <c r="CE81" s="385" t="str">
        <f t="shared" si="107"/>
        <v/>
      </c>
      <c r="CF81" s="385" t="str">
        <f t="shared" si="108"/>
        <v/>
      </c>
      <c r="CG81" s="385" t="str">
        <f t="shared" si="109"/>
        <v/>
      </c>
      <c r="CH81" s="385" t="str">
        <f t="shared" si="110"/>
        <v/>
      </c>
      <c r="CI81" s="385" t="str">
        <f t="shared" si="111"/>
        <v/>
      </c>
      <c r="CJ81" s="385" t="str">
        <f t="shared" si="112"/>
        <v/>
      </c>
      <c r="CK81" s="385" t="str">
        <f t="shared" si="113"/>
        <v/>
      </c>
      <c r="CL81" s="385" t="str">
        <f t="shared" si="114"/>
        <v/>
      </c>
      <c r="CM81" s="385" t="str">
        <f t="shared" si="115"/>
        <v/>
      </c>
      <c r="CN81" s="385" t="str">
        <f t="shared" si="116"/>
        <v/>
      </c>
      <c r="CO81" s="385" t="str">
        <f t="shared" si="117"/>
        <v/>
      </c>
      <c r="CP81" s="385" t="str">
        <f t="shared" si="118"/>
        <v/>
      </c>
      <c r="CQ81" s="385" t="str">
        <f t="shared" si="119"/>
        <v/>
      </c>
      <c r="CR81" s="385" t="str">
        <f t="shared" si="120"/>
        <v/>
      </c>
      <c r="CS81" s="385" t="str">
        <f t="shared" si="121"/>
        <v/>
      </c>
      <c r="CT81" s="385" t="str">
        <f t="shared" si="122"/>
        <v/>
      </c>
      <c r="CU81" s="385" t="str">
        <f t="shared" si="123"/>
        <v/>
      </c>
      <c r="CV81" s="385" t="str">
        <f t="shared" si="124"/>
        <v/>
      </c>
      <c r="CW81" s="385" t="str">
        <f t="shared" si="125"/>
        <v/>
      </c>
      <c r="CX81" s="385" t="str">
        <f t="shared" si="126"/>
        <v/>
      </c>
      <c r="CY81" s="385" t="str">
        <f t="shared" si="127"/>
        <v/>
      </c>
      <c r="CZ81" s="385" t="str">
        <f t="shared" si="128"/>
        <v/>
      </c>
      <c r="DA81" s="385" t="str">
        <f t="shared" si="129"/>
        <v/>
      </c>
      <c r="DB81" s="385" t="str">
        <f t="shared" si="130"/>
        <v/>
      </c>
      <c r="DC81" s="385" t="str">
        <f t="shared" si="131"/>
        <v/>
      </c>
      <c r="DD81" s="385" t="str">
        <f t="shared" si="132"/>
        <v/>
      </c>
      <c r="DE81" s="385" t="str">
        <f t="shared" si="133"/>
        <v/>
      </c>
      <c r="DF81" s="385" t="str">
        <f t="shared" si="134"/>
        <v/>
      </c>
      <c r="DG81" s="385" t="str">
        <f t="shared" si="135"/>
        <v/>
      </c>
      <c r="DH81" s="385" t="str">
        <f t="shared" si="136"/>
        <v/>
      </c>
      <c r="DI81" s="385" t="str">
        <f t="shared" si="137"/>
        <v/>
      </c>
    </row>
    <row r="82" spans="1:113" ht="66" x14ac:dyDescent="0.35">
      <c r="A82" s="21" t="s">
        <v>1126</v>
      </c>
      <c r="B82" s="396">
        <f>'Appoggio_BIA Servizio'!$B$5</f>
        <v>0</v>
      </c>
      <c r="C82" s="392" t="s">
        <v>1114</v>
      </c>
      <c r="D82" s="392" t="s">
        <v>1127</v>
      </c>
      <c r="E82" s="393" t="s">
        <v>1128</v>
      </c>
      <c r="F82" s="240" t="s">
        <v>654</v>
      </c>
      <c r="G82" s="240" t="s">
        <v>655</v>
      </c>
      <c r="H82" s="240"/>
      <c r="I82" s="240">
        <v>1</v>
      </c>
      <c r="J82" s="240">
        <v>1</v>
      </c>
      <c r="K82" s="240">
        <v>1</v>
      </c>
      <c r="L82" s="394"/>
      <c r="M82" s="240">
        <v>1</v>
      </c>
      <c r="N82" s="240">
        <v>1</v>
      </c>
      <c r="O82" s="394"/>
      <c r="P82" s="240">
        <v>1</v>
      </c>
      <c r="Q82" s="240"/>
      <c r="R82" s="394"/>
      <c r="S82" s="394"/>
      <c r="T82" s="394">
        <v>0.7</v>
      </c>
      <c r="U82" s="394"/>
      <c r="V82" s="394"/>
      <c r="W82" s="394"/>
      <c r="X82" s="394"/>
      <c r="Y82" s="394"/>
      <c r="Z82" s="394"/>
      <c r="AA82" s="394"/>
      <c r="AB82" s="240"/>
      <c r="AC82" s="394"/>
      <c r="AD82" s="394"/>
      <c r="AE82" s="395"/>
      <c r="AF82" s="395"/>
      <c r="AG82" s="395"/>
      <c r="AH82" s="395"/>
      <c r="AI82" s="395"/>
      <c r="AJ82" s="395"/>
      <c r="AK82" s="395"/>
      <c r="AL82" s="395"/>
      <c r="AM82" s="395">
        <v>1</v>
      </c>
      <c r="AN82" s="395">
        <v>0.2</v>
      </c>
      <c r="AO82" s="395"/>
      <c r="AP82" s="395">
        <v>0.2</v>
      </c>
      <c r="AQ82" s="395"/>
      <c r="AR82" s="395"/>
      <c r="AS82" s="395"/>
      <c r="AT82" s="395"/>
      <c r="AU82" s="395"/>
      <c r="AV82" s="395"/>
      <c r="AW82" s="395"/>
      <c r="AX82" s="395">
        <v>0.6</v>
      </c>
      <c r="AY82" s="395"/>
      <c r="AZ82" s="395"/>
      <c r="BA82" s="395"/>
      <c r="BB82" s="395"/>
      <c r="BC82" s="395"/>
      <c r="BD82" s="395"/>
      <c r="BE82" s="395"/>
      <c r="BF82" s="225">
        <f t="shared" si="92"/>
        <v>0</v>
      </c>
      <c r="BG82" s="226" t="str">
        <f t="shared" si="93"/>
        <v>Non Applicabile</v>
      </c>
      <c r="BH82" s="226" t="s">
        <v>693</v>
      </c>
      <c r="BI82" s="228"/>
      <c r="BJ82" s="229"/>
      <c r="BK82" s="227"/>
      <c r="BL82" s="324" t="s">
        <v>1129</v>
      </c>
      <c r="BM82" s="324" t="s">
        <v>1130</v>
      </c>
      <c r="BN82" s="324" t="s">
        <v>1131</v>
      </c>
      <c r="BO82" s="330"/>
      <c r="BP82" s="385" t="str">
        <f>IF(G82="X",
   IF(BG82="Applicabile",
      IF(BJ82&lt;&gt;"",
         _xlfn.XLOOKUP($BJ82,Parametri_RA!$B:$B,Parametri_RA!$D:$D,0),
         0),
      ""),
   "")</f>
        <v/>
      </c>
      <c r="BQ82" s="385" t="str">
        <f>IF(H82="X",
   IF(BG82="Applicabile",
      IF(BJ82&lt;&gt;"",
         _xlfn.XLOOKUP($BJ82,Parametri_RA!$B:$B,Parametri_RA!$D:$D,0),
         0),
      ""),
   "")</f>
        <v/>
      </c>
      <c r="BR82" s="385" t="str">
        <f t="shared" si="94"/>
        <v/>
      </c>
      <c r="BS82" s="385" t="str">
        <f t="shared" si="95"/>
        <v/>
      </c>
      <c r="BT82" s="385" t="str">
        <f t="shared" si="96"/>
        <v/>
      </c>
      <c r="BU82" s="385" t="str">
        <f t="shared" si="97"/>
        <v/>
      </c>
      <c r="BV82" s="385" t="str">
        <f t="shared" si="98"/>
        <v/>
      </c>
      <c r="BW82" s="385" t="str">
        <f t="shared" si="99"/>
        <v/>
      </c>
      <c r="BX82" s="385" t="str">
        <f t="shared" si="100"/>
        <v/>
      </c>
      <c r="BY82" s="385" t="str">
        <f t="shared" si="101"/>
        <v/>
      </c>
      <c r="BZ82" s="385" t="str">
        <f t="shared" si="102"/>
        <v/>
      </c>
      <c r="CA82" s="385" t="str">
        <f t="shared" si="103"/>
        <v/>
      </c>
      <c r="CB82" s="385" t="str">
        <f t="shared" si="104"/>
        <v/>
      </c>
      <c r="CC82" s="385" t="str">
        <f t="shared" si="105"/>
        <v/>
      </c>
      <c r="CD82" s="385" t="str">
        <f t="shared" si="106"/>
        <v/>
      </c>
      <c r="CE82" s="385" t="str">
        <f t="shared" si="107"/>
        <v/>
      </c>
      <c r="CF82" s="385" t="str">
        <f t="shared" si="108"/>
        <v/>
      </c>
      <c r="CG82" s="385" t="str">
        <f t="shared" si="109"/>
        <v/>
      </c>
      <c r="CH82" s="385" t="str">
        <f t="shared" si="110"/>
        <v/>
      </c>
      <c r="CI82" s="385" t="str">
        <f t="shared" si="111"/>
        <v/>
      </c>
      <c r="CJ82" s="385" t="str">
        <f t="shared" si="112"/>
        <v/>
      </c>
      <c r="CK82" s="385" t="str">
        <f t="shared" si="113"/>
        <v/>
      </c>
      <c r="CL82" s="385" t="str">
        <f t="shared" si="114"/>
        <v/>
      </c>
      <c r="CM82" s="385" t="str">
        <f t="shared" si="115"/>
        <v/>
      </c>
      <c r="CN82" s="385" t="str">
        <f t="shared" si="116"/>
        <v/>
      </c>
      <c r="CO82" s="385" t="str">
        <f t="shared" si="117"/>
        <v/>
      </c>
      <c r="CP82" s="385" t="str">
        <f t="shared" si="118"/>
        <v/>
      </c>
      <c r="CQ82" s="385" t="str">
        <f t="shared" si="119"/>
        <v/>
      </c>
      <c r="CR82" s="385" t="str">
        <f t="shared" si="120"/>
        <v/>
      </c>
      <c r="CS82" s="385" t="str">
        <f t="shared" si="121"/>
        <v/>
      </c>
      <c r="CT82" s="385" t="str">
        <f t="shared" si="122"/>
        <v/>
      </c>
      <c r="CU82" s="385" t="str">
        <f t="shared" si="123"/>
        <v/>
      </c>
      <c r="CV82" s="385" t="str">
        <f t="shared" si="124"/>
        <v/>
      </c>
      <c r="CW82" s="385" t="str">
        <f t="shared" si="125"/>
        <v/>
      </c>
      <c r="CX82" s="385" t="str">
        <f t="shared" si="126"/>
        <v/>
      </c>
      <c r="CY82" s="385" t="str">
        <f t="shared" si="127"/>
        <v/>
      </c>
      <c r="CZ82" s="385" t="str">
        <f t="shared" si="128"/>
        <v/>
      </c>
      <c r="DA82" s="385" t="str">
        <f t="shared" si="129"/>
        <v/>
      </c>
      <c r="DB82" s="385" t="str">
        <f t="shared" si="130"/>
        <v/>
      </c>
      <c r="DC82" s="385" t="str">
        <f t="shared" si="131"/>
        <v/>
      </c>
      <c r="DD82" s="385" t="str">
        <f t="shared" si="132"/>
        <v/>
      </c>
      <c r="DE82" s="385" t="str">
        <f t="shared" si="133"/>
        <v/>
      </c>
      <c r="DF82" s="385" t="str">
        <f t="shared" si="134"/>
        <v/>
      </c>
      <c r="DG82" s="385" t="str">
        <f t="shared" si="135"/>
        <v/>
      </c>
      <c r="DH82" s="385" t="str">
        <f t="shared" si="136"/>
        <v/>
      </c>
      <c r="DI82" s="385" t="str">
        <f t="shared" si="137"/>
        <v/>
      </c>
    </row>
    <row r="83" spans="1:113" ht="82.5" x14ac:dyDescent="0.35">
      <c r="A83" s="21" t="s">
        <v>1132</v>
      </c>
      <c r="B83" s="396">
        <f>'Appoggio_BIA Servizio'!$B$5</f>
        <v>0</v>
      </c>
      <c r="C83" s="392" t="s">
        <v>1114</v>
      </c>
      <c r="D83" s="392" t="s">
        <v>1133</v>
      </c>
      <c r="E83" s="393" t="s">
        <v>1134</v>
      </c>
      <c r="F83" s="240" t="s">
        <v>654</v>
      </c>
      <c r="G83" s="240" t="s">
        <v>655</v>
      </c>
      <c r="H83" s="240"/>
      <c r="I83" s="240">
        <v>1</v>
      </c>
      <c r="J83" s="240">
        <v>1</v>
      </c>
      <c r="K83" s="240"/>
      <c r="L83" s="394"/>
      <c r="M83" s="240"/>
      <c r="N83" s="240">
        <v>1</v>
      </c>
      <c r="O83" s="394"/>
      <c r="P83" s="240">
        <v>0.4</v>
      </c>
      <c r="Q83" s="240"/>
      <c r="R83" s="394"/>
      <c r="S83" s="394"/>
      <c r="T83" s="394"/>
      <c r="U83" s="394"/>
      <c r="V83" s="394"/>
      <c r="W83" s="394"/>
      <c r="X83" s="394"/>
      <c r="Y83" s="394"/>
      <c r="Z83" s="394"/>
      <c r="AA83" s="394"/>
      <c r="AB83" s="240"/>
      <c r="AC83" s="394"/>
      <c r="AD83" s="394"/>
      <c r="AE83" s="395"/>
      <c r="AF83" s="395"/>
      <c r="AG83" s="395"/>
      <c r="AH83" s="395"/>
      <c r="AI83" s="395"/>
      <c r="AJ83" s="395"/>
      <c r="AK83" s="395"/>
      <c r="AL83" s="395"/>
      <c r="AM83" s="395">
        <v>1</v>
      </c>
      <c r="AN83" s="395"/>
      <c r="AO83" s="395"/>
      <c r="AP83" s="395"/>
      <c r="AQ83" s="395"/>
      <c r="AR83" s="395"/>
      <c r="AS83" s="395"/>
      <c r="AT83" s="395"/>
      <c r="AU83" s="395"/>
      <c r="AV83" s="395"/>
      <c r="AW83" s="395"/>
      <c r="AX83" s="395">
        <v>1</v>
      </c>
      <c r="AY83" s="395"/>
      <c r="AZ83" s="395"/>
      <c r="BA83" s="395"/>
      <c r="BB83" s="395"/>
      <c r="BC83" s="395"/>
      <c r="BD83" s="395"/>
      <c r="BE83" s="395"/>
      <c r="BF83" s="225">
        <f t="shared" si="92"/>
        <v>0</v>
      </c>
      <c r="BG83" s="226" t="str">
        <f t="shared" si="93"/>
        <v>Non Applicabile</v>
      </c>
      <c r="BH83" s="226" t="s">
        <v>693</v>
      </c>
      <c r="BI83" s="228"/>
      <c r="BJ83" s="229"/>
      <c r="BK83" s="227"/>
      <c r="BL83" s="324" t="s">
        <v>1135</v>
      </c>
      <c r="BM83" s="324" t="s">
        <v>1136</v>
      </c>
      <c r="BN83" s="324" t="s">
        <v>1137</v>
      </c>
      <c r="BO83" s="330"/>
      <c r="BP83" s="385" t="str">
        <f>IF(G83="X",
   IF(BG83="Applicabile",
      IF(BJ83&lt;&gt;"",
         _xlfn.XLOOKUP($BJ83,Parametri_RA!$B:$B,Parametri_RA!$D:$D,0),
         0),
      ""),
   "")</f>
        <v/>
      </c>
      <c r="BQ83" s="385" t="str">
        <f>IF(H83="X",
   IF(BG83="Applicabile",
      IF(BJ83&lt;&gt;"",
         _xlfn.XLOOKUP($BJ83,Parametri_RA!$B:$B,Parametri_RA!$D:$D,0),
         0),
      ""),
   "")</f>
        <v/>
      </c>
      <c r="BR83" s="385" t="str">
        <f t="shared" si="94"/>
        <v/>
      </c>
      <c r="BS83" s="385" t="str">
        <f t="shared" si="95"/>
        <v/>
      </c>
      <c r="BT83" s="385" t="str">
        <f t="shared" si="96"/>
        <v/>
      </c>
      <c r="BU83" s="385" t="str">
        <f t="shared" si="97"/>
        <v/>
      </c>
      <c r="BV83" s="385" t="str">
        <f t="shared" si="98"/>
        <v/>
      </c>
      <c r="BW83" s="385" t="str">
        <f t="shared" si="99"/>
        <v/>
      </c>
      <c r="BX83" s="385" t="str">
        <f t="shared" si="100"/>
        <v/>
      </c>
      <c r="BY83" s="385" t="str">
        <f t="shared" si="101"/>
        <v/>
      </c>
      <c r="BZ83" s="385" t="str">
        <f t="shared" si="102"/>
        <v/>
      </c>
      <c r="CA83" s="385" t="str">
        <f t="shared" si="103"/>
        <v/>
      </c>
      <c r="CB83" s="385" t="str">
        <f t="shared" si="104"/>
        <v/>
      </c>
      <c r="CC83" s="385" t="str">
        <f t="shared" si="105"/>
        <v/>
      </c>
      <c r="CD83" s="385" t="str">
        <f t="shared" si="106"/>
        <v/>
      </c>
      <c r="CE83" s="385" t="str">
        <f t="shared" si="107"/>
        <v/>
      </c>
      <c r="CF83" s="385" t="str">
        <f t="shared" si="108"/>
        <v/>
      </c>
      <c r="CG83" s="385" t="str">
        <f t="shared" si="109"/>
        <v/>
      </c>
      <c r="CH83" s="385" t="str">
        <f t="shared" si="110"/>
        <v/>
      </c>
      <c r="CI83" s="385" t="str">
        <f t="shared" si="111"/>
        <v/>
      </c>
      <c r="CJ83" s="385" t="str">
        <f t="shared" si="112"/>
        <v/>
      </c>
      <c r="CK83" s="385" t="str">
        <f t="shared" si="113"/>
        <v/>
      </c>
      <c r="CL83" s="385" t="str">
        <f t="shared" si="114"/>
        <v/>
      </c>
      <c r="CM83" s="385" t="str">
        <f t="shared" si="115"/>
        <v/>
      </c>
      <c r="CN83" s="385" t="str">
        <f t="shared" si="116"/>
        <v/>
      </c>
      <c r="CO83" s="385" t="str">
        <f t="shared" si="117"/>
        <v/>
      </c>
      <c r="CP83" s="385" t="str">
        <f t="shared" si="118"/>
        <v/>
      </c>
      <c r="CQ83" s="385" t="str">
        <f t="shared" si="119"/>
        <v/>
      </c>
      <c r="CR83" s="385" t="str">
        <f t="shared" si="120"/>
        <v/>
      </c>
      <c r="CS83" s="385" t="str">
        <f t="shared" si="121"/>
        <v/>
      </c>
      <c r="CT83" s="385" t="str">
        <f t="shared" si="122"/>
        <v/>
      </c>
      <c r="CU83" s="385" t="str">
        <f t="shared" si="123"/>
        <v/>
      </c>
      <c r="CV83" s="385" t="str">
        <f t="shared" si="124"/>
        <v/>
      </c>
      <c r="CW83" s="385" t="str">
        <f t="shared" si="125"/>
        <v/>
      </c>
      <c r="CX83" s="385" t="str">
        <f t="shared" si="126"/>
        <v/>
      </c>
      <c r="CY83" s="385" t="str">
        <f t="shared" si="127"/>
        <v/>
      </c>
      <c r="CZ83" s="385" t="str">
        <f t="shared" si="128"/>
        <v/>
      </c>
      <c r="DA83" s="385" t="str">
        <f t="shared" si="129"/>
        <v/>
      </c>
      <c r="DB83" s="385" t="str">
        <f t="shared" si="130"/>
        <v/>
      </c>
      <c r="DC83" s="385" t="str">
        <f t="shared" si="131"/>
        <v/>
      </c>
      <c r="DD83" s="385" t="str">
        <f t="shared" si="132"/>
        <v/>
      </c>
      <c r="DE83" s="385" t="str">
        <f t="shared" si="133"/>
        <v/>
      </c>
      <c r="DF83" s="385" t="str">
        <f t="shared" si="134"/>
        <v/>
      </c>
      <c r="DG83" s="385" t="str">
        <f t="shared" si="135"/>
        <v/>
      </c>
      <c r="DH83" s="385" t="str">
        <f t="shared" si="136"/>
        <v/>
      </c>
      <c r="DI83" s="385" t="str">
        <f t="shared" si="137"/>
        <v/>
      </c>
    </row>
    <row r="84" spans="1:113" ht="49.5" x14ac:dyDescent="0.35">
      <c r="A84" s="21"/>
      <c r="B84" s="396">
        <f>'Appoggio_BIA Servizio'!$B$5</f>
        <v>0</v>
      </c>
      <c r="C84" s="392" t="s">
        <v>1114</v>
      </c>
      <c r="D84" s="392" t="s">
        <v>1138</v>
      </c>
      <c r="E84" s="393" t="s">
        <v>1139</v>
      </c>
      <c r="F84" s="240" t="s">
        <v>671</v>
      </c>
      <c r="G84" s="240" t="s">
        <v>655</v>
      </c>
      <c r="H84" s="240"/>
      <c r="I84" s="240">
        <v>0.7</v>
      </c>
      <c r="J84" s="240">
        <v>0.7</v>
      </c>
      <c r="K84" s="240"/>
      <c r="L84" s="394"/>
      <c r="M84" s="240"/>
      <c r="N84" s="240">
        <v>0.7</v>
      </c>
      <c r="O84" s="394"/>
      <c r="P84" s="240">
        <v>0.7</v>
      </c>
      <c r="Q84" s="240"/>
      <c r="R84" s="394"/>
      <c r="S84" s="240">
        <v>0.7</v>
      </c>
      <c r="T84" s="240">
        <v>0.7</v>
      </c>
      <c r="U84" s="394"/>
      <c r="V84" s="394"/>
      <c r="W84" s="394"/>
      <c r="X84" s="394"/>
      <c r="Y84" s="394"/>
      <c r="Z84" s="394"/>
      <c r="AA84" s="394"/>
      <c r="AB84" s="240"/>
      <c r="AC84" s="394"/>
      <c r="AD84" s="394"/>
      <c r="AE84" s="395"/>
      <c r="AF84" s="395"/>
      <c r="AG84" s="395"/>
      <c r="AH84" s="395"/>
      <c r="AI84" s="395"/>
      <c r="AJ84" s="395"/>
      <c r="AK84" s="395"/>
      <c r="AL84" s="395">
        <v>1</v>
      </c>
      <c r="AM84" s="395">
        <v>1</v>
      </c>
      <c r="AN84" s="395"/>
      <c r="AO84" s="395"/>
      <c r="AP84" s="395"/>
      <c r="AQ84" s="395"/>
      <c r="AR84" s="395"/>
      <c r="AS84" s="395"/>
      <c r="AT84" s="395"/>
      <c r="AU84" s="395"/>
      <c r="AV84" s="395"/>
      <c r="AW84" s="395"/>
      <c r="AX84" s="395">
        <v>1</v>
      </c>
      <c r="AY84" s="395"/>
      <c r="AZ84" s="395"/>
      <c r="BA84" s="395"/>
      <c r="BB84" s="395"/>
      <c r="BC84" s="395"/>
      <c r="BD84" s="395"/>
      <c r="BE84" s="395"/>
      <c r="BF84" s="225">
        <f t="shared" si="92"/>
        <v>0</v>
      </c>
      <c r="BG84" s="226" t="str">
        <f t="shared" si="93"/>
        <v>Non Applicabile</v>
      </c>
      <c r="BH84" s="226" t="s">
        <v>693</v>
      </c>
      <c r="BI84" s="325"/>
      <c r="BJ84" s="229"/>
      <c r="BK84" s="227"/>
      <c r="BL84" s="324" t="s">
        <v>1140</v>
      </c>
      <c r="BM84" s="324" t="s">
        <v>1141</v>
      </c>
      <c r="BN84" s="324" t="s">
        <v>1142</v>
      </c>
      <c r="BO84" s="330"/>
      <c r="BP84" s="385" t="str">
        <f>IF(G84="X",
   IF(BG84="Applicabile",
      IF(BJ84&lt;&gt;"",
         _xlfn.XLOOKUP($BJ84,Parametri_RA!$B:$B,Parametri_RA!$D:$D,0),
         0),
      ""),
   "")</f>
        <v/>
      </c>
      <c r="BQ84" s="385" t="str">
        <f>IF(H84="X",
   IF(BG84="Applicabile",
      IF(BJ84&lt;&gt;"",
         _xlfn.XLOOKUP($BJ84,Parametri_RA!$B:$B,Parametri_RA!$D:$D,0),
         0),
      ""),
   "")</f>
        <v/>
      </c>
      <c r="BR84" s="385" t="str">
        <f t="shared" si="94"/>
        <v/>
      </c>
      <c r="BS84" s="385" t="str">
        <f t="shared" si="95"/>
        <v/>
      </c>
      <c r="BT84" s="385" t="str">
        <f t="shared" si="96"/>
        <v/>
      </c>
      <c r="BU84" s="385" t="str">
        <f t="shared" si="97"/>
        <v/>
      </c>
      <c r="BV84" s="385" t="str">
        <f t="shared" si="98"/>
        <v/>
      </c>
      <c r="BW84" s="385" t="str">
        <f t="shared" si="99"/>
        <v/>
      </c>
      <c r="BX84" s="385" t="str">
        <f t="shared" si="100"/>
        <v/>
      </c>
      <c r="BY84" s="385" t="str">
        <f t="shared" si="101"/>
        <v/>
      </c>
      <c r="BZ84" s="385" t="str">
        <f t="shared" si="102"/>
        <v/>
      </c>
      <c r="CA84" s="385" t="str">
        <f t="shared" si="103"/>
        <v/>
      </c>
      <c r="CB84" s="385" t="str">
        <f t="shared" si="104"/>
        <v/>
      </c>
      <c r="CC84" s="385" t="str">
        <f t="shared" si="105"/>
        <v/>
      </c>
      <c r="CD84" s="385" t="str">
        <f t="shared" si="106"/>
        <v/>
      </c>
      <c r="CE84" s="385" t="str">
        <f t="shared" si="107"/>
        <v/>
      </c>
      <c r="CF84" s="385" t="str">
        <f t="shared" si="108"/>
        <v/>
      </c>
      <c r="CG84" s="385" t="str">
        <f t="shared" si="109"/>
        <v/>
      </c>
      <c r="CH84" s="385" t="str">
        <f t="shared" si="110"/>
        <v/>
      </c>
      <c r="CI84" s="385" t="str">
        <f t="shared" si="111"/>
        <v/>
      </c>
      <c r="CJ84" s="385" t="str">
        <f t="shared" si="112"/>
        <v/>
      </c>
      <c r="CK84" s="385" t="str">
        <f t="shared" si="113"/>
        <v/>
      </c>
      <c r="CL84" s="385" t="str">
        <f t="shared" si="114"/>
        <v/>
      </c>
      <c r="CM84" s="385" t="str">
        <f t="shared" si="115"/>
        <v/>
      </c>
      <c r="CN84" s="385" t="str">
        <f t="shared" si="116"/>
        <v/>
      </c>
      <c r="CO84" s="385" t="str">
        <f t="shared" si="117"/>
        <v/>
      </c>
      <c r="CP84" s="385" t="str">
        <f t="shared" si="118"/>
        <v/>
      </c>
      <c r="CQ84" s="385" t="str">
        <f t="shared" si="119"/>
        <v/>
      </c>
      <c r="CR84" s="385" t="str">
        <f t="shared" si="120"/>
        <v/>
      </c>
      <c r="CS84" s="385" t="str">
        <f t="shared" si="121"/>
        <v/>
      </c>
      <c r="CT84" s="385" t="str">
        <f t="shared" si="122"/>
        <v/>
      </c>
      <c r="CU84" s="385" t="str">
        <f t="shared" si="123"/>
        <v/>
      </c>
      <c r="CV84" s="385" t="str">
        <f t="shared" si="124"/>
        <v/>
      </c>
      <c r="CW84" s="385" t="str">
        <f t="shared" si="125"/>
        <v/>
      </c>
      <c r="CX84" s="385" t="str">
        <f t="shared" si="126"/>
        <v/>
      </c>
      <c r="CY84" s="385" t="str">
        <f t="shared" si="127"/>
        <v/>
      </c>
      <c r="CZ84" s="385" t="str">
        <f t="shared" si="128"/>
        <v/>
      </c>
      <c r="DA84" s="385" t="str">
        <f t="shared" si="129"/>
        <v/>
      </c>
      <c r="DB84" s="385" t="str">
        <f t="shared" si="130"/>
        <v/>
      </c>
      <c r="DC84" s="385" t="str">
        <f t="shared" si="131"/>
        <v/>
      </c>
      <c r="DD84" s="385" t="str">
        <f t="shared" si="132"/>
        <v/>
      </c>
      <c r="DE84" s="385" t="str">
        <f t="shared" si="133"/>
        <v/>
      </c>
      <c r="DF84" s="385" t="str">
        <f t="shared" si="134"/>
        <v/>
      </c>
      <c r="DG84" s="385" t="str">
        <f t="shared" si="135"/>
        <v/>
      </c>
      <c r="DH84" s="385" t="str">
        <f t="shared" si="136"/>
        <v/>
      </c>
      <c r="DI84" s="385" t="str">
        <f t="shared" si="137"/>
        <v/>
      </c>
    </row>
    <row r="85" spans="1:113" ht="85" x14ac:dyDescent="0.35">
      <c r="A85" s="21" t="s">
        <v>1143</v>
      </c>
      <c r="B85" s="396">
        <f>'Appoggio_BIA Servizio'!$B$5</f>
        <v>0</v>
      </c>
      <c r="C85" s="392" t="s">
        <v>1114</v>
      </c>
      <c r="D85" s="392" t="s">
        <v>1144</v>
      </c>
      <c r="E85" s="393" t="s">
        <v>1145</v>
      </c>
      <c r="F85" s="240" t="s">
        <v>654</v>
      </c>
      <c r="G85" s="240" t="s">
        <v>655</v>
      </c>
      <c r="H85" s="240" t="s">
        <v>655</v>
      </c>
      <c r="I85" s="240">
        <v>1</v>
      </c>
      <c r="J85" s="240">
        <v>1</v>
      </c>
      <c r="K85" s="240"/>
      <c r="L85" s="394"/>
      <c r="M85" s="240"/>
      <c r="N85" s="240">
        <v>1</v>
      </c>
      <c r="O85" s="394"/>
      <c r="P85" s="240">
        <v>1</v>
      </c>
      <c r="Q85" s="240">
        <v>1</v>
      </c>
      <c r="R85" s="394"/>
      <c r="S85" s="394"/>
      <c r="T85" s="394">
        <v>1</v>
      </c>
      <c r="U85" s="394"/>
      <c r="V85" s="394"/>
      <c r="W85" s="394"/>
      <c r="X85" s="394"/>
      <c r="Y85" s="394"/>
      <c r="Z85" s="394"/>
      <c r="AA85" s="394"/>
      <c r="AB85" s="240"/>
      <c r="AC85" s="394"/>
      <c r="AD85" s="394"/>
      <c r="AE85" s="395">
        <v>1</v>
      </c>
      <c r="AF85" s="395"/>
      <c r="AG85" s="395"/>
      <c r="AH85" s="395"/>
      <c r="AI85" s="395">
        <v>1</v>
      </c>
      <c r="AJ85" s="395"/>
      <c r="AK85" s="395"/>
      <c r="AL85" s="395"/>
      <c r="AM85" s="395">
        <v>1</v>
      </c>
      <c r="AN85" s="395"/>
      <c r="AO85" s="395"/>
      <c r="AP85" s="395"/>
      <c r="AQ85" s="395"/>
      <c r="AR85" s="395"/>
      <c r="AS85" s="395"/>
      <c r="AT85" s="395"/>
      <c r="AU85" s="395"/>
      <c r="AV85" s="395"/>
      <c r="AW85" s="395"/>
      <c r="AX85" s="395">
        <v>1</v>
      </c>
      <c r="AY85" s="395"/>
      <c r="AZ85" s="395"/>
      <c r="BA85" s="395"/>
      <c r="BB85" s="395"/>
      <c r="BC85" s="395"/>
      <c r="BD85" s="395"/>
      <c r="BE85" s="395"/>
      <c r="BF85" s="225">
        <f t="shared" si="92"/>
        <v>0</v>
      </c>
      <c r="BG85" s="226" t="str">
        <f t="shared" si="93"/>
        <v>Non Applicabile</v>
      </c>
      <c r="BH85" s="226" t="s">
        <v>693</v>
      </c>
      <c r="BI85" s="228"/>
      <c r="BJ85" s="229"/>
      <c r="BK85" s="227"/>
      <c r="BL85" s="324" t="s">
        <v>1146</v>
      </c>
      <c r="BM85" s="324" t="s">
        <v>1147</v>
      </c>
      <c r="BN85" s="324" t="s">
        <v>1148</v>
      </c>
      <c r="BO85" s="330"/>
      <c r="BP85" s="385" t="str">
        <f>IF(G85="X",
   IF(BG85="Applicabile",
      IF(BJ85&lt;&gt;"",
         _xlfn.XLOOKUP($BJ85,Parametri_RA!$B:$B,Parametri_RA!$D:$D,0),
         0),
      ""),
   "")</f>
        <v/>
      </c>
      <c r="BQ85" s="385" t="str">
        <f>IF(H85="X",
   IF(BG85="Applicabile",
      IF(BJ85&lt;&gt;"",
         _xlfn.XLOOKUP($BJ85,Parametri_RA!$B:$B,Parametri_RA!$D:$D,0),
         0),
      ""),
   "")</f>
        <v/>
      </c>
      <c r="BR85" s="385" t="str">
        <f t="shared" si="94"/>
        <v/>
      </c>
      <c r="BS85" s="385" t="str">
        <f t="shared" si="95"/>
        <v/>
      </c>
      <c r="BT85" s="385" t="str">
        <f t="shared" si="96"/>
        <v/>
      </c>
      <c r="BU85" s="385" t="str">
        <f t="shared" si="97"/>
        <v/>
      </c>
      <c r="BV85" s="385" t="str">
        <f t="shared" si="98"/>
        <v/>
      </c>
      <c r="BW85" s="385" t="str">
        <f t="shared" si="99"/>
        <v/>
      </c>
      <c r="BX85" s="385" t="str">
        <f t="shared" si="100"/>
        <v/>
      </c>
      <c r="BY85" s="385" t="str">
        <f t="shared" si="101"/>
        <v/>
      </c>
      <c r="BZ85" s="385" t="str">
        <f t="shared" si="102"/>
        <v/>
      </c>
      <c r="CA85" s="385" t="str">
        <f t="shared" si="103"/>
        <v/>
      </c>
      <c r="CB85" s="385" t="str">
        <f t="shared" si="104"/>
        <v/>
      </c>
      <c r="CC85" s="385" t="str">
        <f t="shared" si="105"/>
        <v/>
      </c>
      <c r="CD85" s="385" t="str">
        <f t="shared" si="106"/>
        <v/>
      </c>
      <c r="CE85" s="385" t="str">
        <f t="shared" si="107"/>
        <v/>
      </c>
      <c r="CF85" s="385" t="str">
        <f t="shared" si="108"/>
        <v/>
      </c>
      <c r="CG85" s="385" t="str">
        <f t="shared" si="109"/>
        <v/>
      </c>
      <c r="CH85" s="385" t="str">
        <f t="shared" si="110"/>
        <v/>
      </c>
      <c r="CI85" s="385" t="str">
        <f t="shared" si="111"/>
        <v/>
      </c>
      <c r="CJ85" s="385" t="str">
        <f t="shared" si="112"/>
        <v/>
      </c>
      <c r="CK85" s="385" t="str">
        <f t="shared" si="113"/>
        <v/>
      </c>
      <c r="CL85" s="385" t="str">
        <f t="shared" si="114"/>
        <v/>
      </c>
      <c r="CM85" s="385" t="str">
        <f t="shared" si="115"/>
        <v/>
      </c>
      <c r="CN85" s="385" t="str">
        <f t="shared" si="116"/>
        <v/>
      </c>
      <c r="CO85" s="385" t="str">
        <f t="shared" si="117"/>
        <v/>
      </c>
      <c r="CP85" s="385" t="str">
        <f t="shared" si="118"/>
        <v/>
      </c>
      <c r="CQ85" s="385" t="str">
        <f t="shared" si="119"/>
        <v/>
      </c>
      <c r="CR85" s="385" t="str">
        <f t="shared" si="120"/>
        <v/>
      </c>
      <c r="CS85" s="385" t="str">
        <f t="shared" si="121"/>
        <v/>
      </c>
      <c r="CT85" s="385" t="str">
        <f t="shared" si="122"/>
        <v/>
      </c>
      <c r="CU85" s="385" t="str">
        <f t="shared" si="123"/>
        <v/>
      </c>
      <c r="CV85" s="385" t="str">
        <f t="shared" si="124"/>
        <v/>
      </c>
      <c r="CW85" s="385" t="str">
        <f t="shared" si="125"/>
        <v/>
      </c>
      <c r="CX85" s="385" t="str">
        <f t="shared" si="126"/>
        <v/>
      </c>
      <c r="CY85" s="385" t="str">
        <f t="shared" si="127"/>
        <v/>
      </c>
      <c r="CZ85" s="385" t="str">
        <f t="shared" si="128"/>
        <v/>
      </c>
      <c r="DA85" s="385" t="str">
        <f t="shared" si="129"/>
        <v/>
      </c>
      <c r="DB85" s="385" t="str">
        <f t="shared" si="130"/>
        <v/>
      </c>
      <c r="DC85" s="385" t="str">
        <f t="shared" si="131"/>
        <v/>
      </c>
      <c r="DD85" s="385" t="str">
        <f t="shared" si="132"/>
        <v/>
      </c>
      <c r="DE85" s="385" t="str">
        <f t="shared" si="133"/>
        <v/>
      </c>
      <c r="DF85" s="385" t="str">
        <f t="shared" si="134"/>
        <v/>
      </c>
      <c r="DG85" s="385" t="str">
        <f t="shared" si="135"/>
        <v/>
      </c>
      <c r="DH85" s="385" t="str">
        <f t="shared" si="136"/>
        <v/>
      </c>
      <c r="DI85" s="385" t="str">
        <f t="shared" si="137"/>
        <v/>
      </c>
    </row>
    <row r="86" spans="1:113" ht="48.65" customHeight="1" x14ac:dyDescent="0.35">
      <c r="A86" s="21" t="s">
        <v>1149</v>
      </c>
      <c r="B86" s="396">
        <f>'Appoggio_BIA Servizio'!$B$5</f>
        <v>0</v>
      </c>
      <c r="C86" s="392" t="s">
        <v>1114</v>
      </c>
      <c r="D86" s="392" t="s">
        <v>1150</v>
      </c>
      <c r="E86" s="393" t="s">
        <v>1151</v>
      </c>
      <c r="F86" s="240" t="s">
        <v>671</v>
      </c>
      <c r="G86" s="240" t="s">
        <v>655</v>
      </c>
      <c r="H86" s="240" t="s">
        <v>655</v>
      </c>
      <c r="I86" s="240">
        <v>0.7</v>
      </c>
      <c r="J86" s="240">
        <v>0.7</v>
      </c>
      <c r="K86" s="240">
        <v>0.7</v>
      </c>
      <c r="L86" s="394"/>
      <c r="M86" s="240">
        <v>0.7</v>
      </c>
      <c r="N86" s="240">
        <v>0.7</v>
      </c>
      <c r="O86" s="394"/>
      <c r="P86" s="240">
        <v>0.7</v>
      </c>
      <c r="Q86" s="240">
        <v>0.7</v>
      </c>
      <c r="R86" s="394"/>
      <c r="S86" s="394"/>
      <c r="T86" s="240">
        <v>0.7</v>
      </c>
      <c r="U86" s="394"/>
      <c r="V86" s="394"/>
      <c r="W86" s="394"/>
      <c r="X86" s="394"/>
      <c r="Y86" s="394"/>
      <c r="Z86" s="394"/>
      <c r="AA86" s="394"/>
      <c r="AB86" s="240"/>
      <c r="AC86" s="394"/>
      <c r="AD86" s="394"/>
      <c r="AE86" s="395"/>
      <c r="AF86" s="395"/>
      <c r="AG86" s="395"/>
      <c r="AH86" s="395"/>
      <c r="AI86" s="395"/>
      <c r="AJ86" s="395"/>
      <c r="AK86" s="395"/>
      <c r="AL86" s="395"/>
      <c r="AM86" s="395">
        <v>1</v>
      </c>
      <c r="AN86" s="395"/>
      <c r="AO86" s="395"/>
      <c r="AP86" s="395"/>
      <c r="AQ86" s="395"/>
      <c r="AR86" s="395"/>
      <c r="AS86" s="395"/>
      <c r="AT86" s="395"/>
      <c r="AU86" s="395"/>
      <c r="AV86" s="395"/>
      <c r="AW86" s="395"/>
      <c r="AX86" s="395">
        <v>1</v>
      </c>
      <c r="AY86" s="395"/>
      <c r="AZ86" s="395"/>
      <c r="BA86" s="395"/>
      <c r="BB86" s="395"/>
      <c r="BC86" s="395"/>
      <c r="BD86" s="395"/>
      <c r="BE86" s="395"/>
      <c r="BF86" s="225">
        <f t="shared" si="92"/>
        <v>0</v>
      </c>
      <c r="BG86" s="226" t="str">
        <f t="shared" si="93"/>
        <v>Non Applicabile</v>
      </c>
      <c r="BH86" s="226" t="s">
        <v>1152</v>
      </c>
      <c r="BI86" s="228"/>
      <c r="BJ86" s="229"/>
      <c r="BK86" s="227"/>
      <c r="BL86" s="324" t="s">
        <v>1153</v>
      </c>
      <c r="BM86" s="324" t="s">
        <v>1154</v>
      </c>
      <c r="BN86" s="324" t="s">
        <v>1155</v>
      </c>
      <c r="BO86" s="330"/>
      <c r="BP86" s="385" t="str">
        <f>IF(G86="X",
   IF(BG86="Applicabile",
      IF(BJ86&lt;&gt;"",
         _xlfn.XLOOKUP($BJ86,Parametri_RA!$B:$B,Parametri_RA!$D:$D,0),
         0),
      ""),
   "")</f>
        <v/>
      </c>
      <c r="BQ86" s="385" t="str">
        <f>IF(H86="X",
   IF(BG86="Applicabile",
      IF(BJ86&lt;&gt;"",
         _xlfn.XLOOKUP($BJ86,Parametri_RA!$B:$B,Parametri_RA!$D:$D,0),
         0),
      ""),
   "")</f>
        <v/>
      </c>
      <c r="BR86" s="385" t="str">
        <f t="shared" si="94"/>
        <v/>
      </c>
      <c r="BS86" s="385" t="str">
        <f t="shared" si="95"/>
        <v/>
      </c>
      <c r="BT86" s="385" t="str">
        <f t="shared" si="96"/>
        <v/>
      </c>
      <c r="BU86" s="385" t="str">
        <f t="shared" si="97"/>
        <v/>
      </c>
      <c r="BV86" s="385" t="str">
        <f t="shared" si="98"/>
        <v/>
      </c>
      <c r="BW86" s="385" t="str">
        <f t="shared" si="99"/>
        <v/>
      </c>
      <c r="BX86" s="385" t="str">
        <f t="shared" si="100"/>
        <v/>
      </c>
      <c r="BY86" s="385" t="str">
        <f t="shared" si="101"/>
        <v/>
      </c>
      <c r="BZ86" s="385" t="str">
        <f t="shared" si="102"/>
        <v/>
      </c>
      <c r="CA86" s="385" t="str">
        <f t="shared" si="103"/>
        <v/>
      </c>
      <c r="CB86" s="385" t="str">
        <f t="shared" si="104"/>
        <v/>
      </c>
      <c r="CC86" s="385" t="str">
        <f t="shared" si="105"/>
        <v/>
      </c>
      <c r="CD86" s="385" t="str">
        <f t="shared" si="106"/>
        <v/>
      </c>
      <c r="CE86" s="385" t="str">
        <f t="shared" si="107"/>
        <v/>
      </c>
      <c r="CF86" s="385" t="str">
        <f t="shared" si="108"/>
        <v/>
      </c>
      <c r="CG86" s="385" t="str">
        <f t="shared" si="109"/>
        <v/>
      </c>
      <c r="CH86" s="385" t="str">
        <f t="shared" si="110"/>
        <v/>
      </c>
      <c r="CI86" s="385" t="str">
        <f t="shared" si="111"/>
        <v/>
      </c>
      <c r="CJ86" s="385" t="str">
        <f t="shared" si="112"/>
        <v/>
      </c>
      <c r="CK86" s="385" t="str">
        <f t="shared" si="113"/>
        <v/>
      </c>
      <c r="CL86" s="385" t="str">
        <f t="shared" si="114"/>
        <v/>
      </c>
      <c r="CM86" s="385" t="str">
        <f t="shared" si="115"/>
        <v/>
      </c>
      <c r="CN86" s="385" t="str">
        <f t="shared" si="116"/>
        <v/>
      </c>
      <c r="CO86" s="385" t="str">
        <f t="shared" si="117"/>
        <v/>
      </c>
      <c r="CP86" s="385" t="str">
        <f t="shared" si="118"/>
        <v/>
      </c>
      <c r="CQ86" s="385" t="str">
        <f t="shared" si="119"/>
        <v/>
      </c>
      <c r="CR86" s="385" t="str">
        <f t="shared" si="120"/>
        <v/>
      </c>
      <c r="CS86" s="385" t="str">
        <f t="shared" si="121"/>
        <v/>
      </c>
      <c r="CT86" s="385" t="str">
        <f t="shared" si="122"/>
        <v/>
      </c>
      <c r="CU86" s="385" t="str">
        <f t="shared" si="123"/>
        <v/>
      </c>
      <c r="CV86" s="385" t="str">
        <f t="shared" si="124"/>
        <v/>
      </c>
      <c r="CW86" s="385" t="str">
        <f t="shared" si="125"/>
        <v/>
      </c>
      <c r="CX86" s="385" t="str">
        <f t="shared" si="126"/>
        <v/>
      </c>
      <c r="CY86" s="385" t="str">
        <f t="shared" si="127"/>
        <v/>
      </c>
      <c r="CZ86" s="385" t="str">
        <f t="shared" si="128"/>
        <v/>
      </c>
      <c r="DA86" s="385" t="str">
        <f t="shared" si="129"/>
        <v/>
      </c>
      <c r="DB86" s="385" t="str">
        <f t="shared" si="130"/>
        <v/>
      </c>
      <c r="DC86" s="385" t="str">
        <f t="shared" si="131"/>
        <v/>
      </c>
      <c r="DD86" s="385" t="str">
        <f t="shared" si="132"/>
        <v/>
      </c>
      <c r="DE86" s="385" t="str">
        <f t="shared" si="133"/>
        <v/>
      </c>
      <c r="DF86" s="385" t="str">
        <f t="shared" si="134"/>
        <v/>
      </c>
      <c r="DG86" s="385" t="str">
        <f t="shared" si="135"/>
        <v/>
      </c>
      <c r="DH86" s="385" t="str">
        <f t="shared" si="136"/>
        <v/>
      </c>
      <c r="DI86" s="385" t="str">
        <f t="shared" si="137"/>
        <v/>
      </c>
    </row>
    <row r="87" spans="1:113" ht="66" x14ac:dyDescent="0.35">
      <c r="A87" s="21" t="s">
        <v>1156</v>
      </c>
      <c r="B87" s="396">
        <f>'Appoggio_BIA Servizio'!$B$5</f>
        <v>0</v>
      </c>
      <c r="C87" s="392" t="s">
        <v>1157</v>
      </c>
      <c r="D87" s="392" t="s">
        <v>1158</v>
      </c>
      <c r="E87" s="393" t="s">
        <v>1159</v>
      </c>
      <c r="F87" s="240" t="s">
        <v>671</v>
      </c>
      <c r="G87" s="240" t="s">
        <v>655</v>
      </c>
      <c r="H87" s="240"/>
      <c r="I87" s="240">
        <v>0.7</v>
      </c>
      <c r="J87" s="240">
        <v>0.7</v>
      </c>
      <c r="K87" s="240">
        <v>0.7</v>
      </c>
      <c r="L87" s="394"/>
      <c r="M87" s="240"/>
      <c r="N87" s="240">
        <v>1</v>
      </c>
      <c r="O87" s="394">
        <v>0.7</v>
      </c>
      <c r="P87" s="394"/>
      <c r="Q87" s="240"/>
      <c r="R87" s="394"/>
      <c r="S87" s="394"/>
      <c r="T87" s="394"/>
      <c r="U87" s="394">
        <v>1</v>
      </c>
      <c r="V87" s="394"/>
      <c r="W87" s="394"/>
      <c r="X87" s="394"/>
      <c r="Y87" s="394"/>
      <c r="Z87" s="394"/>
      <c r="AA87" s="394"/>
      <c r="AB87" s="240"/>
      <c r="AC87" s="394"/>
      <c r="AD87" s="394"/>
      <c r="AE87" s="395"/>
      <c r="AF87" s="395"/>
      <c r="AG87" s="395"/>
      <c r="AH87" s="395"/>
      <c r="AI87" s="395"/>
      <c r="AJ87" s="395"/>
      <c r="AK87" s="395"/>
      <c r="AL87" s="395"/>
      <c r="AM87" s="395"/>
      <c r="AN87" s="395"/>
      <c r="AO87" s="395"/>
      <c r="AP87" s="395"/>
      <c r="AQ87" s="395"/>
      <c r="AR87" s="395"/>
      <c r="AS87" s="395"/>
      <c r="AT87" s="395"/>
      <c r="AU87" s="395"/>
      <c r="AV87" s="395"/>
      <c r="AW87" s="395"/>
      <c r="AX87" s="395"/>
      <c r="AY87" s="395">
        <v>1</v>
      </c>
      <c r="AZ87" s="395"/>
      <c r="BA87" s="395"/>
      <c r="BB87" s="395"/>
      <c r="BC87" s="395"/>
      <c r="BD87" s="395"/>
      <c r="BE87" s="395"/>
      <c r="BF87" s="225">
        <f t="shared" si="92"/>
        <v>0</v>
      </c>
      <c r="BG87" s="226" t="str">
        <f t="shared" si="93"/>
        <v>Non Applicabile</v>
      </c>
      <c r="BH87" s="226" t="s">
        <v>693</v>
      </c>
      <c r="BI87" s="228"/>
      <c r="BJ87" s="229"/>
      <c r="BK87" s="227"/>
      <c r="BL87" s="324" t="s">
        <v>1160</v>
      </c>
      <c r="BM87" s="324" t="s">
        <v>1161</v>
      </c>
      <c r="BN87" s="324" t="s">
        <v>1162</v>
      </c>
      <c r="BO87" s="330"/>
      <c r="BP87" s="385" t="str">
        <f>IF(G87="X",
   IF(BG87="Applicabile",
      IF(BJ87&lt;&gt;"",
         _xlfn.XLOOKUP($BJ87,Parametri_RA!$B:$B,Parametri_RA!$D:$D,0),
         0),
      ""),
   "")</f>
        <v/>
      </c>
      <c r="BQ87" s="385" t="str">
        <f>IF(H87="X",
   IF(BG87="Applicabile",
      IF(BJ87&lt;&gt;"",
         _xlfn.XLOOKUP($BJ87,Parametri_RA!$B:$B,Parametri_RA!$D:$D,0),
         0),
      ""),
   "")</f>
        <v/>
      </c>
      <c r="BR87" s="385" t="str">
        <f t="shared" si="94"/>
        <v/>
      </c>
      <c r="BS87" s="385" t="str">
        <f t="shared" si="95"/>
        <v/>
      </c>
      <c r="BT87" s="385" t="str">
        <f t="shared" si="96"/>
        <v/>
      </c>
      <c r="BU87" s="385" t="str">
        <f t="shared" si="97"/>
        <v/>
      </c>
      <c r="BV87" s="385" t="str">
        <f t="shared" si="98"/>
        <v/>
      </c>
      <c r="BW87" s="385" t="str">
        <f t="shared" si="99"/>
        <v/>
      </c>
      <c r="BX87" s="385" t="str">
        <f t="shared" si="100"/>
        <v/>
      </c>
      <c r="BY87" s="385" t="str">
        <f t="shared" si="101"/>
        <v/>
      </c>
      <c r="BZ87" s="385" t="str">
        <f t="shared" si="102"/>
        <v/>
      </c>
      <c r="CA87" s="385" t="str">
        <f t="shared" si="103"/>
        <v/>
      </c>
      <c r="CB87" s="385" t="str">
        <f t="shared" si="104"/>
        <v/>
      </c>
      <c r="CC87" s="385" t="str">
        <f t="shared" si="105"/>
        <v/>
      </c>
      <c r="CD87" s="385" t="str">
        <f t="shared" si="106"/>
        <v/>
      </c>
      <c r="CE87" s="385" t="str">
        <f t="shared" si="107"/>
        <v/>
      </c>
      <c r="CF87" s="385" t="str">
        <f t="shared" si="108"/>
        <v/>
      </c>
      <c r="CG87" s="385" t="str">
        <f t="shared" si="109"/>
        <v/>
      </c>
      <c r="CH87" s="385" t="str">
        <f t="shared" si="110"/>
        <v/>
      </c>
      <c r="CI87" s="385" t="str">
        <f t="shared" si="111"/>
        <v/>
      </c>
      <c r="CJ87" s="385" t="str">
        <f t="shared" si="112"/>
        <v/>
      </c>
      <c r="CK87" s="385" t="str">
        <f t="shared" si="113"/>
        <v/>
      </c>
      <c r="CL87" s="385" t="str">
        <f t="shared" si="114"/>
        <v/>
      </c>
      <c r="CM87" s="385" t="str">
        <f t="shared" si="115"/>
        <v/>
      </c>
      <c r="CN87" s="385" t="str">
        <f t="shared" si="116"/>
        <v/>
      </c>
      <c r="CO87" s="385" t="str">
        <f t="shared" si="117"/>
        <v/>
      </c>
      <c r="CP87" s="385" t="str">
        <f t="shared" si="118"/>
        <v/>
      </c>
      <c r="CQ87" s="385" t="str">
        <f t="shared" si="119"/>
        <v/>
      </c>
      <c r="CR87" s="385" t="str">
        <f t="shared" si="120"/>
        <v/>
      </c>
      <c r="CS87" s="385" t="str">
        <f t="shared" si="121"/>
        <v/>
      </c>
      <c r="CT87" s="385" t="str">
        <f t="shared" si="122"/>
        <v/>
      </c>
      <c r="CU87" s="385" t="str">
        <f t="shared" si="123"/>
        <v/>
      </c>
      <c r="CV87" s="385" t="str">
        <f t="shared" si="124"/>
        <v/>
      </c>
      <c r="CW87" s="385" t="str">
        <f t="shared" si="125"/>
        <v/>
      </c>
      <c r="CX87" s="385" t="str">
        <f t="shared" si="126"/>
        <v/>
      </c>
      <c r="CY87" s="385" t="str">
        <f t="shared" si="127"/>
        <v/>
      </c>
      <c r="CZ87" s="385" t="str">
        <f t="shared" si="128"/>
        <v/>
      </c>
      <c r="DA87" s="385" t="str">
        <f t="shared" si="129"/>
        <v/>
      </c>
      <c r="DB87" s="385" t="str">
        <f t="shared" si="130"/>
        <v/>
      </c>
      <c r="DC87" s="385" t="str">
        <f t="shared" si="131"/>
        <v/>
      </c>
      <c r="DD87" s="385" t="str">
        <f t="shared" si="132"/>
        <v/>
      </c>
      <c r="DE87" s="385" t="str">
        <f t="shared" si="133"/>
        <v/>
      </c>
      <c r="DF87" s="385" t="str">
        <f t="shared" si="134"/>
        <v/>
      </c>
      <c r="DG87" s="385" t="str">
        <f t="shared" si="135"/>
        <v/>
      </c>
      <c r="DH87" s="385" t="str">
        <f t="shared" si="136"/>
        <v/>
      </c>
      <c r="DI87" s="385" t="str">
        <f t="shared" si="137"/>
        <v/>
      </c>
    </row>
    <row r="88" spans="1:113" ht="49.5" x14ac:dyDescent="0.35">
      <c r="A88" s="21" t="s">
        <v>1163</v>
      </c>
      <c r="B88" s="396">
        <f>'Appoggio_BIA Servizio'!$B$5</f>
        <v>0</v>
      </c>
      <c r="C88" s="392" t="s">
        <v>1157</v>
      </c>
      <c r="D88" s="392" t="s">
        <v>1164</v>
      </c>
      <c r="E88" s="393" t="s">
        <v>1165</v>
      </c>
      <c r="F88" s="240" t="s">
        <v>671</v>
      </c>
      <c r="G88" s="240" t="s">
        <v>655</v>
      </c>
      <c r="H88" s="240"/>
      <c r="I88" s="240">
        <v>0.7</v>
      </c>
      <c r="J88" s="240">
        <v>0.7</v>
      </c>
      <c r="K88" s="240"/>
      <c r="L88" s="394"/>
      <c r="M88" s="240"/>
      <c r="N88" s="240"/>
      <c r="O88" s="394"/>
      <c r="P88" s="240">
        <v>0.7</v>
      </c>
      <c r="Q88" s="240">
        <v>0.7</v>
      </c>
      <c r="R88" s="394"/>
      <c r="S88" s="394"/>
      <c r="T88" s="394"/>
      <c r="U88" s="394"/>
      <c r="V88" s="394"/>
      <c r="W88" s="394"/>
      <c r="X88" s="394"/>
      <c r="Y88" s="394"/>
      <c r="Z88" s="394"/>
      <c r="AA88" s="394"/>
      <c r="AB88" s="240"/>
      <c r="AC88" s="394"/>
      <c r="AD88" s="394"/>
      <c r="AE88" s="395"/>
      <c r="AF88" s="395"/>
      <c r="AG88" s="395"/>
      <c r="AH88" s="395"/>
      <c r="AI88" s="395"/>
      <c r="AJ88" s="395"/>
      <c r="AK88" s="395"/>
      <c r="AL88" s="395"/>
      <c r="AM88" s="395"/>
      <c r="AN88" s="395"/>
      <c r="AO88" s="395"/>
      <c r="AP88" s="395"/>
      <c r="AQ88" s="395"/>
      <c r="AR88" s="395"/>
      <c r="AS88" s="395"/>
      <c r="AT88" s="395"/>
      <c r="AU88" s="395"/>
      <c r="AV88" s="395"/>
      <c r="AW88" s="395"/>
      <c r="AX88" s="395"/>
      <c r="AY88" s="395">
        <v>1</v>
      </c>
      <c r="AZ88" s="395"/>
      <c r="BA88" s="395"/>
      <c r="BB88" s="395"/>
      <c r="BC88" s="395"/>
      <c r="BD88" s="395"/>
      <c r="BE88" s="395"/>
      <c r="BF88" s="225">
        <f t="shared" si="92"/>
        <v>0</v>
      </c>
      <c r="BG88" s="226" t="str">
        <f t="shared" si="93"/>
        <v>Non Applicabile</v>
      </c>
      <c r="BH88" s="226" t="s">
        <v>693</v>
      </c>
      <c r="BI88" s="226"/>
      <c r="BJ88" s="229"/>
      <c r="BK88" s="227"/>
      <c r="BL88" s="324" t="s">
        <v>1166</v>
      </c>
      <c r="BM88" s="324" t="s">
        <v>1167</v>
      </c>
      <c r="BN88" s="324" t="s">
        <v>1168</v>
      </c>
      <c r="BO88" s="330"/>
      <c r="BP88" s="385" t="str">
        <f>IF(G88="X",
   IF(BG88="Applicabile",
      IF(BJ88&lt;&gt;"",
         _xlfn.XLOOKUP($BJ88,Parametri_RA!$B:$B,Parametri_RA!$D:$D,0),
         0),
      ""),
   "")</f>
        <v/>
      </c>
      <c r="BQ88" s="385" t="str">
        <f>IF(H88="X",
   IF(BG88="Applicabile",
      IF(BJ88&lt;&gt;"",
         _xlfn.XLOOKUP($BJ88,Parametri_RA!$B:$B,Parametri_RA!$D:$D,0),
         0),
      ""),
   "")</f>
        <v/>
      </c>
      <c r="BR88" s="385" t="str">
        <f t="shared" si="94"/>
        <v/>
      </c>
      <c r="BS88" s="385" t="str">
        <f t="shared" si="95"/>
        <v/>
      </c>
      <c r="BT88" s="385" t="str">
        <f t="shared" si="96"/>
        <v/>
      </c>
      <c r="BU88" s="385" t="str">
        <f t="shared" si="97"/>
        <v/>
      </c>
      <c r="BV88" s="385" t="str">
        <f t="shared" si="98"/>
        <v/>
      </c>
      <c r="BW88" s="385" t="str">
        <f t="shared" si="99"/>
        <v/>
      </c>
      <c r="BX88" s="385" t="str">
        <f t="shared" si="100"/>
        <v/>
      </c>
      <c r="BY88" s="385" t="str">
        <f t="shared" si="101"/>
        <v/>
      </c>
      <c r="BZ88" s="385" t="str">
        <f t="shared" si="102"/>
        <v/>
      </c>
      <c r="CA88" s="385" t="str">
        <f t="shared" si="103"/>
        <v/>
      </c>
      <c r="CB88" s="385" t="str">
        <f t="shared" si="104"/>
        <v/>
      </c>
      <c r="CC88" s="385" t="str">
        <f t="shared" si="105"/>
        <v/>
      </c>
      <c r="CD88" s="385" t="str">
        <f t="shared" si="106"/>
        <v/>
      </c>
      <c r="CE88" s="385" t="str">
        <f t="shared" si="107"/>
        <v/>
      </c>
      <c r="CF88" s="385" t="str">
        <f t="shared" si="108"/>
        <v/>
      </c>
      <c r="CG88" s="385" t="str">
        <f t="shared" si="109"/>
        <v/>
      </c>
      <c r="CH88" s="385" t="str">
        <f t="shared" si="110"/>
        <v/>
      </c>
      <c r="CI88" s="385" t="str">
        <f t="shared" si="111"/>
        <v/>
      </c>
      <c r="CJ88" s="385" t="str">
        <f t="shared" si="112"/>
        <v/>
      </c>
      <c r="CK88" s="385" t="str">
        <f t="shared" si="113"/>
        <v/>
      </c>
      <c r="CL88" s="385" t="str">
        <f t="shared" si="114"/>
        <v/>
      </c>
      <c r="CM88" s="385" t="str">
        <f t="shared" si="115"/>
        <v/>
      </c>
      <c r="CN88" s="385" t="str">
        <f t="shared" si="116"/>
        <v/>
      </c>
      <c r="CO88" s="385" t="str">
        <f t="shared" si="117"/>
        <v/>
      </c>
      <c r="CP88" s="385" t="str">
        <f t="shared" si="118"/>
        <v/>
      </c>
      <c r="CQ88" s="385" t="str">
        <f t="shared" si="119"/>
        <v/>
      </c>
      <c r="CR88" s="385" t="str">
        <f t="shared" si="120"/>
        <v/>
      </c>
      <c r="CS88" s="385" t="str">
        <f t="shared" si="121"/>
        <v/>
      </c>
      <c r="CT88" s="385" t="str">
        <f t="shared" si="122"/>
        <v/>
      </c>
      <c r="CU88" s="385" t="str">
        <f t="shared" si="123"/>
        <v/>
      </c>
      <c r="CV88" s="385" t="str">
        <f t="shared" si="124"/>
        <v/>
      </c>
      <c r="CW88" s="385" t="str">
        <f t="shared" si="125"/>
        <v/>
      </c>
      <c r="CX88" s="385" t="str">
        <f t="shared" si="126"/>
        <v/>
      </c>
      <c r="CY88" s="385" t="str">
        <f t="shared" si="127"/>
        <v/>
      </c>
      <c r="CZ88" s="385" t="str">
        <f t="shared" si="128"/>
        <v/>
      </c>
      <c r="DA88" s="385" t="str">
        <f t="shared" si="129"/>
        <v/>
      </c>
      <c r="DB88" s="385" t="str">
        <f t="shared" si="130"/>
        <v/>
      </c>
      <c r="DC88" s="385" t="str">
        <f t="shared" si="131"/>
        <v/>
      </c>
      <c r="DD88" s="385" t="str">
        <f t="shared" si="132"/>
        <v/>
      </c>
      <c r="DE88" s="385" t="str">
        <f t="shared" si="133"/>
        <v/>
      </c>
      <c r="DF88" s="385" t="str">
        <f t="shared" si="134"/>
        <v/>
      </c>
      <c r="DG88" s="385" t="str">
        <f t="shared" si="135"/>
        <v/>
      </c>
      <c r="DH88" s="385" t="str">
        <f t="shared" si="136"/>
        <v/>
      </c>
      <c r="DI88" s="385" t="str">
        <f t="shared" si="137"/>
        <v/>
      </c>
    </row>
    <row r="89" spans="1:113" ht="68" x14ac:dyDescent="0.35">
      <c r="A89" s="21" t="s">
        <v>1169</v>
      </c>
      <c r="B89" s="396">
        <f>'Appoggio_BIA Servizio'!$B$5</f>
        <v>0</v>
      </c>
      <c r="C89" s="392" t="s">
        <v>1157</v>
      </c>
      <c r="D89" s="392" t="s">
        <v>1170</v>
      </c>
      <c r="E89" s="393" t="s">
        <v>1171</v>
      </c>
      <c r="F89" s="240" t="s">
        <v>671</v>
      </c>
      <c r="G89" s="240" t="s">
        <v>655</v>
      </c>
      <c r="H89" s="240" t="s">
        <v>655</v>
      </c>
      <c r="I89" s="240">
        <v>1</v>
      </c>
      <c r="J89" s="240">
        <v>1</v>
      </c>
      <c r="K89" s="240">
        <v>0.7</v>
      </c>
      <c r="L89" s="394"/>
      <c r="M89" s="240"/>
      <c r="N89" s="240"/>
      <c r="O89" s="394"/>
      <c r="P89" s="394">
        <v>1</v>
      </c>
      <c r="Q89" s="240"/>
      <c r="R89" s="240">
        <v>0.7</v>
      </c>
      <c r="S89" s="394">
        <v>0.4</v>
      </c>
      <c r="T89" s="394">
        <v>0.7</v>
      </c>
      <c r="U89" s="394"/>
      <c r="V89" s="394"/>
      <c r="W89" s="394"/>
      <c r="X89" s="394"/>
      <c r="Y89" s="394"/>
      <c r="Z89" s="394"/>
      <c r="AA89" s="394"/>
      <c r="AB89" s="240"/>
      <c r="AC89" s="394"/>
      <c r="AD89" s="394"/>
      <c r="AE89" s="395"/>
      <c r="AF89" s="395"/>
      <c r="AG89" s="395"/>
      <c r="AH89" s="395"/>
      <c r="AI89" s="395"/>
      <c r="AJ89" s="395"/>
      <c r="AK89" s="395"/>
      <c r="AL89" s="395"/>
      <c r="AM89" s="395"/>
      <c r="AN89" s="395"/>
      <c r="AO89" s="395"/>
      <c r="AP89" s="395"/>
      <c r="AQ89" s="395"/>
      <c r="AR89" s="395"/>
      <c r="AS89" s="395"/>
      <c r="AT89" s="395"/>
      <c r="AU89" s="395"/>
      <c r="AV89" s="395"/>
      <c r="AW89" s="395"/>
      <c r="AX89" s="395"/>
      <c r="AY89" s="395">
        <v>1</v>
      </c>
      <c r="AZ89" s="395"/>
      <c r="BA89" s="395"/>
      <c r="BB89" s="395"/>
      <c r="BC89" s="395"/>
      <c r="BD89" s="395"/>
      <c r="BE89" s="395"/>
      <c r="BF89" s="225">
        <f t="shared" si="92"/>
        <v>0</v>
      </c>
      <c r="BG89" s="226" t="str">
        <f t="shared" si="93"/>
        <v>Non Applicabile</v>
      </c>
      <c r="BH89" s="226" t="s">
        <v>693</v>
      </c>
      <c r="BI89" s="228"/>
      <c r="BJ89" s="229"/>
      <c r="BK89" s="227"/>
      <c r="BL89" s="324" t="s">
        <v>970</v>
      </c>
      <c r="BM89" s="324" t="s">
        <v>1172</v>
      </c>
      <c r="BN89" s="324" t="s">
        <v>1173</v>
      </c>
      <c r="BO89" s="330"/>
      <c r="BP89" s="385" t="str">
        <f>IF(G89="X",
   IF(BG89="Applicabile",
      IF(BJ89&lt;&gt;"",
         _xlfn.XLOOKUP($BJ89,Parametri_RA!$B:$B,Parametri_RA!$D:$D,0),
         0),
      ""),
   "")</f>
        <v/>
      </c>
      <c r="BQ89" s="385" t="str">
        <f>IF(H89="X",
   IF(BG89="Applicabile",
      IF(BJ89&lt;&gt;"",
         _xlfn.XLOOKUP($BJ89,Parametri_RA!$B:$B,Parametri_RA!$D:$D,0),
         0),
      ""),
   "")</f>
        <v/>
      </c>
      <c r="BR89" s="385" t="str">
        <f t="shared" si="94"/>
        <v/>
      </c>
      <c r="BS89" s="385" t="str">
        <f t="shared" si="95"/>
        <v/>
      </c>
      <c r="BT89" s="385" t="str">
        <f t="shared" si="96"/>
        <v/>
      </c>
      <c r="BU89" s="385" t="str">
        <f t="shared" si="97"/>
        <v/>
      </c>
      <c r="BV89" s="385" t="str">
        <f t="shared" si="98"/>
        <v/>
      </c>
      <c r="BW89" s="385" t="str">
        <f t="shared" si="99"/>
        <v/>
      </c>
      <c r="BX89" s="385" t="str">
        <f t="shared" si="100"/>
        <v/>
      </c>
      <c r="BY89" s="385" t="str">
        <f t="shared" si="101"/>
        <v/>
      </c>
      <c r="BZ89" s="385" t="str">
        <f t="shared" si="102"/>
        <v/>
      </c>
      <c r="CA89" s="385" t="str">
        <f t="shared" si="103"/>
        <v/>
      </c>
      <c r="CB89" s="385" t="str">
        <f t="shared" si="104"/>
        <v/>
      </c>
      <c r="CC89" s="385" t="str">
        <f t="shared" si="105"/>
        <v/>
      </c>
      <c r="CD89" s="385" t="str">
        <f t="shared" si="106"/>
        <v/>
      </c>
      <c r="CE89" s="385" t="str">
        <f t="shared" si="107"/>
        <v/>
      </c>
      <c r="CF89" s="385" t="str">
        <f t="shared" si="108"/>
        <v/>
      </c>
      <c r="CG89" s="385" t="str">
        <f t="shared" si="109"/>
        <v/>
      </c>
      <c r="CH89" s="385" t="str">
        <f t="shared" si="110"/>
        <v/>
      </c>
      <c r="CI89" s="385" t="str">
        <f t="shared" si="111"/>
        <v/>
      </c>
      <c r="CJ89" s="385" t="str">
        <f t="shared" si="112"/>
        <v/>
      </c>
      <c r="CK89" s="385" t="str">
        <f t="shared" si="113"/>
        <v/>
      </c>
      <c r="CL89" s="385" t="str">
        <f t="shared" si="114"/>
        <v/>
      </c>
      <c r="CM89" s="385" t="str">
        <f t="shared" si="115"/>
        <v/>
      </c>
      <c r="CN89" s="385" t="str">
        <f t="shared" si="116"/>
        <v/>
      </c>
      <c r="CO89" s="385" t="str">
        <f t="shared" si="117"/>
        <v/>
      </c>
      <c r="CP89" s="385" t="str">
        <f t="shared" si="118"/>
        <v/>
      </c>
      <c r="CQ89" s="385" t="str">
        <f t="shared" si="119"/>
        <v/>
      </c>
      <c r="CR89" s="385" t="str">
        <f t="shared" si="120"/>
        <v/>
      </c>
      <c r="CS89" s="385" t="str">
        <f t="shared" si="121"/>
        <v/>
      </c>
      <c r="CT89" s="385" t="str">
        <f t="shared" si="122"/>
        <v/>
      </c>
      <c r="CU89" s="385" t="str">
        <f t="shared" si="123"/>
        <v/>
      </c>
      <c r="CV89" s="385" t="str">
        <f t="shared" si="124"/>
        <v/>
      </c>
      <c r="CW89" s="385" t="str">
        <f t="shared" si="125"/>
        <v/>
      </c>
      <c r="CX89" s="385" t="str">
        <f t="shared" si="126"/>
        <v/>
      </c>
      <c r="CY89" s="385" t="str">
        <f t="shared" si="127"/>
        <v/>
      </c>
      <c r="CZ89" s="385" t="str">
        <f t="shared" si="128"/>
        <v/>
      </c>
      <c r="DA89" s="385" t="str">
        <f t="shared" si="129"/>
        <v/>
      </c>
      <c r="DB89" s="385" t="str">
        <f t="shared" si="130"/>
        <v/>
      </c>
      <c r="DC89" s="385" t="str">
        <f t="shared" si="131"/>
        <v/>
      </c>
      <c r="DD89" s="385" t="str">
        <f t="shared" si="132"/>
        <v/>
      </c>
      <c r="DE89" s="385" t="str">
        <f t="shared" si="133"/>
        <v/>
      </c>
      <c r="DF89" s="385" t="str">
        <f t="shared" si="134"/>
        <v/>
      </c>
      <c r="DG89" s="385" t="str">
        <f t="shared" si="135"/>
        <v/>
      </c>
      <c r="DH89" s="385" t="str">
        <f t="shared" si="136"/>
        <v/>
      </c>
      <c r="DI89" s="385" t="str">
        <f t="shared" si="137"/>
        <v/>
      </c>
    </row>
    <row r="90" spans="1:113" ht="68" x14ac:dyDescent="0.35">
      <c r="A90" s="21" t="s">
        <v>1174</v>
      </c>
      <c r="B90" s="396">
        <f>'Appoggio_BIA Servizio'!$B$5</f>
        <v>0</v>
      </c>
      <c r="C90" s="392" t="s">
        <v>1157</v>
      </c>
      <c r="D90" s="392" t="s">
        <v>1175</v>
      </c>
      <c r="E90" s="393" t="s">
        <v>1176</v>
      </c>
      <c r="F90" s="240" t="s">
        <v>671</v>
      </c>
      <c r="G90" s="240" t="s">
        <v>655</v>
      </c>
      <c r="H90" s="240"/>
      <c r="I90" s="240">
        <v>0.7</v>
      </c>
      <c r="J90" s="240">
        <v>0.7</v>
      </c>
      <c r="K90" s="240">
        <v>0.7</v>
      </c>
      <c r="L90" s="394"/>
      <c r="M90" s="240"/>
      <c r="N90" s="240">
        <v>1</v>
      </c>
      <c r="O90" s="394">
        <v>1</v>
      </c>
      <c r="P90" s="394"/>
      <c r="Q90" s="240"/>
      <c r="R90" s="394"/>
      <c r="S90" s="394"/>
      <c r="T90" s="394"/>
      <c r="U90" s="394"/>
      <c r="V90" s="394">
        <v>0.7</v>
      </c>
      <c r="W90" s="394"/>
      <c r="X90" s="394"/>
      <c r="Y90" s="394"/>
      <c r="Z90" s="394"/>
      <c r="AA90" s="394"/>
      <c r="AB90" s="240"/>
      <c r="AC90" s="394"/>
      <c r="AD90" s="394"/>
      <c r="AE90" s="395"/>
      <c r="AF90" s="395"/>
      <c r="AG90" s="395"/>
      <c r="AH90" s="395"/>
      <c r="AI90" s="395"/>
      <c r="AJ90" s="395"/>
      <c r="AK90" s="395"/>
      <c r="AL90" s="395"/>
      <c r="AM90" s="395"/>
      <c r="AN90" s="395"/>
      <c r="AO90" s="395"/>
      <c r="AP90" s="395"/>
      <c r="AQ90" s="395"/>
      <c r="AR90" s="395"/>
      <c r="AS90" s="395"/>
      <c r="AT90" s="395"/>
      <c r="AU90" s="395"/>
      <c r="AV90" s="395"/>
      <c r="AW90" s="395"/>
      <c r="AX90" s="395"/>
      <c r="AY90" s="395">
        <v>1</v>
      </c>
      <c r="AZ90" s="395"/>
      <c r="BA90" s="395"/>
      <c r="BB90" s="395"/>
      <c r="BC90" s="395"/>
      <c r="BD90" s="395"/>
      <c r="BE90" s="395"/>
      <c r="BF90" s="225">
        <f t="shared" si="92"/>
        <v>0</v>
      </c>
      <c r="BG90" s="226" t="str">
        <f t="shared" si="93"/>
        <v>Non Applicabile</v>
      </c>
      <c r="BH90" s="226" t="s">
        <v>1177</v>
      </c>
      <c r="BI90" s="228"/>
      <c r="BJ90" s="229"/>
      <c r="BK90" s="227"/>
      <c r="BL90" s="324" t="s">
        <v>1178</v>
      </c>
      <c r="BM90" s="324" t="s">
        <v>1179</v>
      </c>
      <c r="BN90" s="324" t="s">
        <v>1180</v>
      </c>
      <c r="BO90" s="330"/>
      <c r="BP90" s="385" t="str">
        <f>IF(G90="X",
   IF(BG90="Applicabile",
      IF(BJ90&lt;&gt;"",
         _xlfn.XLOOKUP($BJ90,Parametri_RA!$B:$B,Parametri_RA!$D:$D,0),
         0),
      ""),
   "")</f>
        <v/>
      </c>
      <c r="BQ90" s="385" t="str">
        <f>IF(H90="X",
   IF(BG90="Applicabile",
      IF(BJ90&lt;&gt;"",
         _xlfn.XLOOKUP($BJ90,Parametri_RA!$B:$B,Parametri_RA!$D:$D,0),
         0),
      ""),
   "")</f>
        <v/>
      </c>
      <c r="BR90" s="385" t="str">
        <f t="shared" si="94"/>
        <v/>
      </c>
      <c r="BS90" s="385" t="str">
        <f t="shared" si="95"/>
        <v/>
      </c>
      <c r="BT90" s="385" t="str">
        <f t="shared" si="96"/>
        <v/>
      </c>
      <c r="BU90" s="385" t="str">
        <f t="shared" si="97"/>
        <v/>
      </c>
      <c r="BV90" s="385" t="str">
        <f t="shared" si="98"/>
        <v/>
      </c>
      <c r="BW90" s="385" t="str">
        <f t="shared" si="99"/>
        <v/>
      </c>
      <c r="BX90" s="385" t="str">
        <f t="shared" si="100"/>
        <v/>
      </c>
      <c r="BY90" s="385" t="str">
        <f t="shared" si="101"/>
        <v/>
      </c>
      <c r="BZ90" s="385" t="str">
        <f t="shared" si="102"/>
        <v/>
      </c>
      <c r="CA90" s="385" t="str">
        <f t="shared" si="103"/>
        <v/>
      </c>
      <c r="CB90" s="385" t="str">
        <f t="shared" si="104"/>
        <v/>
      </c>
      <c r="CC90" s="385" t="str">
        <f t="shared" si="105"/>
        <v/>
      </c>
      <c r="CD90" s="385" t="str">
        <f t="shared" si="106"/>
        <v/>
      </c>
      <c r="CE90" s="385" t="str">
        <f t="shared" si="107"/>
        <v/>
      </c>
      <c r="CF90" s="385" t="str">
        <f t="shared" si="108"/>
        <v/>
      </c>
      <c r="CG90" s="385" t="str">
        <f t="shared" si="109"/>
        <v/>
      </c>
      <c r="CH90" s="385" t="str">
        <f t="shared" si="110"/>
        <v/>
      </c>
      <c r="CI90" s="385" t="str">
        <f t="shared" si="111"/>
        <v/>
      </c>
      <c r="CJ90" s="385" t="str">
        <f t="shared" si="112"/>
        <v/>
      </c>
      <c r="CK90" s="385" t="str">
        <f t="shared" si="113"/>
        <v/>
      </c>
      <c r="CL90" s="385" t="str">
        <f t="shared" si="114"/>
        <v/>
      </c>
      <c r="CM90" s="385" t="str">
        <f t="shared" si="115"/>
        <v/>
      </c>
      <c r="CN90" s="385" t="str">
        <f t="shared" si="116"/>
        <v/>
      </c>
      <c r="CO90" s="385" t="str">
        <f t="shared" si="117"/>
        <v/>
      </c>
      <c r="CP90" s="385" t="str">
        <f t="shared" si="118"/>
        <v/>
      </c>
      <c r="CQ90" s="385" t="str">
        <f t="shared" si="119"/>
        <v/>
      </c>
      <c r="CR90" s="385" t="str">
        <f t="shared" si="120"/>
        <v/>
      </c>
      <c r="CS90" s="385" t="str">
        <f t="shared" si="121"/>
        <v/>
      </c>
      <c r="CT90" s="385" t="str">
        <f t="shared" si="122"/>
        <v/>
      </c>
      <c r="CU90" s="385" t="str">
        <f t="shared" si="123"/>
        <v/>
      </c>
      <c r="CV90" s="385" t="str">
        <f t="shared" si="124"/>
        <v/>
      </c>
      <c r="CW90" s="385" t="str">
        <f t="shared" si="125"/>
        <v/>
      </c>
      <c r="CX90" s="385" t="str">
        <f t="shared" si="126"/>
        <v/>
      </c>
      <c r="CY90" s="385" t="str">
        <f t="shared" si="127"/>
        <v/>
      </c>
      <c r="CZ90" s="385" t="str">
        <f t="shared" si="128"/>
        <v/>
      </c>
      <c r="DA90" s="385" t="str">
        <f t="shared" si="129"/>
        <v/>
      </c>
      <c r="DB90" s="385" t="str">
        <f t="shared" si="130"/>
        <v/>
      </c>
      <c r="DC90" s="385" t="str">
        <f t="shared" si="131"/>
        <v/>
      </c>
      <c r="DD90" s="385" t="str">
        <f t="shared" si="132"/>
        <v/>
      </c>
      <c r="DE90" s="385" t="str">
        <f t="shared" si="133"/>
        <v/>
      </c>
      <c r="DF90" s="385" t="str">
        <f t="shared" si="134"/>
        <v/>
      </c>
      <c r="DG90" s="385" t="str">
        <f t="shared" si="135"/>
        <v/>
      </c>
      <c r="DH90" s="385" t="str">
        <f t="shared" si="136"/>
        <v/>
      </c>
      <c r="DI90" s="385" t="str">
        <f t="shared" si="137"/>
        <v/>
      </c>
    </row>
    <row r="91" spans="1:113" ht="99" x14ac:dyDescent="0.35">
      <c r="A91" s="21" t="s">
        <v>1181</v>
      </c>
      <c r="B91" s="396">
        <f>'Appoggio_BIA Servizio'!$B$5</f>
        <v>0</v>
      </c>
      <c r="C91" s="392" t="s">
        <v>1157</v>
      </c>
      <c r="D91" s="392" t="s">
        <v>1182</v>
      </c>
      <c r="E91" s="393" t="s">
        <v>1183</v>
      </c>
      <c r="F91" s="240" t="s">
        <v>654</v>
      </c>
      <c r="G91" s="240" t="s">
        <v>655</v>
      </c>
      <c r="H91" s="240" t="s">
        <v>655</v>
      </c>
      <c r="I91" s="240">
        <v>1</v>
      </c>
      <c r="J91" s="240">
        <v>1</v>
      </c>
      <c r="K91" s="240">
        <v>1</v>
      </c>
      <c r="L91" s="394"/>
      <c r="M91" s="240">
        <v>1</v>
      </c>
      <c r="N91" s="240">
        <v>1</v>
      </c>
      <c r="O91" s="394">
        <v>0.4</v>
      </c>
      <c r="P91" s="240">
        <v>1</v>
      </c>
      <c r="Q91" s="240"/>
      <c r="R91" s="394"/>
      <c r="S91" s="394"/>
      <c r="T91" s="394"/>
      <c r="U91" s="394"/>
      <c r="V91" s="394">
        <v>0.7</v>
      </c>
      <c r="W91" s="394"/>
      <c r="X91" s="394"/>
      <c r="Y91" s="394"/>
      <c r="Z91" s="394"/>
      <c r="AA91" s="394"/>
      <c r="AB91" s="240"/>
      <c r="AC91" s="394"/>
      <c r="AD91" s="394"/>
      <c r="AE91" s="395"/>
      <c r="AF91" s="395"/>
      <c r="AG91" s="395"/>
      <c r="AH91" s="395"/>
      <c r="AI91" s="395"/>
      <c r="AJ91" s="395"/>
      <c r="AK91" s="395"/>
      <c r="AL91" s="395"/>
      <c r="AM91" s="395"/>
      <c r="AN91" s="395"/>
      <c r="AO91" s="395">
        <v>1</v>
      </c>
      <c r="AP91" s="395"/>
      <c r="AQ91" s="395"/>
      <c r="AR91" s="395">
        <v>1</v>
      </c>
      <c r="AS91" s="395"/>
      <c r="AT91" s="395"/>
      <c r="AU91" s="395"/>
      <c r="AV91" s="395"/>
      <c r="AW91" s="395"/>
      <c r="AX91" s="395"/>
      <c r="AY91" s="395"/>
      <c r="AZ91" s="395"/>
      <c r="BA91" s="395"/>
      <c r="BB91" s="395"/>
      <c r="BC91" s="395"/>
      <c r="BD91" s="395"/>
      <c r="BE91" s="395"/>
      <c r="BF91" s="225">
        <f t="shared" si="92"/>
        <v>0</v>
      </c>
      <c r="BG91" s="226" t="str">
        <f t="shared" si="93"/>
        <v>Non Applicabile</v>
      </c>
      <c r="BH91" s="226" t="s">
        <v>1184</v>
      </c>
      <c r="BI91" s="226"/>
      <c r="BJ91" s="229"/>
      <c r="BK91" s="227"/>
      <c r="BL91" s="324" t="s">
        <v>1185</v>
      </c>
      <c r="BM91" s="324" t="s">
        <v>1186</v>
      </c>
      <c r="BN91" s="324" t="s">
        <v>1187</v>
      </c>
      <c r="BO91" s="330"/>
      <c r="BP91" s="385" t="str">
        <f>IF(G91="X",
   IF(BG91="Applicabile",
      IF(BJ91&lt;&gt;"",
         _xlfn.XLOOKUP($BJ91,Parametri_RA!$B:$B,Parametri_RA!$D:$D,0),
         0),
      ""),
   "")</f>
        <v/>
      </c>
      <c r="BQ91" s="385" t="str">
        <f>IF(H91="X",
   IF(BG91="Applicabile",
      IF(BJ91&lt;&gt;"",
         _xlfn.XLOOKUP($BJ91,Parametri_RA!$B:$B,Parametri_RA!$D:$D,0),
         0),
      ""),
   "")</f>
        <v/>
      </c>
      <c r="BR91" s="385" t="str">
        <f t="shared" si="94"/>
        <v/>
      </c>
      <c r="BS91" s="385" t="str">
        <f t="shared" si="95"/>
        <v/>
      </c>
      <c r="BT91" s="385" t="str">
        <f t="shared" si="96"/>
        <v/>
      </c>
      <c r="BU91" s="385" t="str">
        <f t="shared" si="97"/>
        <v/>
      </c>
      <c r="BV91" s="385" t="str">
        <f t="shared" si="98"/>
        <v/>
      </c>
      <c r="BW91" s="385" t="str">
        <f t="shared" si="99"/>
        <v/>
      </c>
      <c r="BX91" s="385" t="str">
        <f t="shared" si="100"/>
        <v/>
      </c>
      <c r="BY91" s="385" t="str">
        <f t="shared" si="101"/>
        <v/>
      </c>
      <c r="BZ91" s="385" t="str">
        <f t="shared" si="102"/>
        <v/>
      </c>
      <c r="CA91" s="385" t="str">
        <f t="shared" si="103"/>
        <v/>
      </c>
      <c r="CB91" s="385" t="str">
        <f t="shared" si="104"/>
        <v/>
      </c>
      <c r="CC91" s="385" t="str">
        <f t="shared" si="105"/>
        <v/>
      </c>
      <c r="CD91" s="385" t="str">
        <f t="shared" si="106"/>
        <v/>
      </c>
      <c r="CE91" s="385" t="str">
        <f t="shared" si="107"/>
        <v/>
      </c>
      <c r="CF91" s="385" t="str">
        <f t="shared" si="108"/>
        <v/>
      </c>
      <c r="CG91" s="385" t="str">
        <f t="shared" si="109"/>
        <v/>
      </c>
      <c r="CH91" s="385" t="str">
        <f t="shared" si="110"/>
        <v/>
      </c>
      <c r="CI91" s="385" t="str">
        <f t="shared" si="111"/>
        <v/>
      </c>
      <c r="CJ91" s="385" t="str">
        <f t="shared" si="112"/>
        <v/>
      </c>
      <c r="CK91" s="385" t="str">
        <f t="shared" si="113"/>
        <v/>
      </c>
      <c r="CL91" s="385" t="str">
        <f t="shared" si="114"/>
        <v/>
      </c>
      <c r="CM91" s="385" t="str">
        <f t="shared" si="115"/>
        <v/>
      </c>
      <c r="CN91" s="385" t="str">
        <f t="shared" si="116"/>
        <v/>
      </c>
      <c r="CO91" s="385" t="str">
        <f t="shared" si="117"/>
        <v/>
      </c>
      <c r="CP91" s="385" t="str">
        <f t="shared" si="118"/>
        <v/>
      </c>
      <c r="CQ91" s="385" t="str">
        <f t="shared" si="119"/>
        <v/>
      </c>
      <c r="CR91" s="385" t="str">
        <f t="shared" si="120"/>
        <v/>
      </c>
      <c r="CS91" s="385" t="str">
        <f t="shared" si="121"/>
        <v/>
      </c>
      <c r="CT91" s="385" t="str">
        <f t="shared" si="122"/>
        <v/>
      </c>
      <c r="CU91" s="385" t="str">
        <f t="shared" si="123"/>
        <v/>
      </c>
      <c r="CV91" s="385" t="str">
        <f t="shared" si="124"/>
        <v/>
      </c>
      <c r="CW91" s="385" t="str">
        <f t="shared" si="125"/>
        <v/>
      </c>
      <c r="CX91" s="385" t="str">
        <f t="shared" si="126"/>
        <v/>
      </c>
      <c r="CY91" s="385" t="str">
        <f t="shared" si="127"/>
        <v/>
      </c>
      <c r="CZ91" s="385" t="str">
        <f t="shared" si="128"/>
        <v/>
      </c>
      <c r="DA91" s="385" t="str">
        <f t="shared" si="129"/>
        <v/>
      </c>
      <c r="DB91" s="385" t="str">
        <f t="shared" si="130"/>
        <v/>
      </c>
      <c r="DC91" s="385" t="str">
        <f t="shared" si="131"/>
        <v/>
      </c>
      <c r="DD91" s="385" t="str">
        <f t="shared" si="132"/>
        <v/>
      </c>
      <c r="DE91" s="385" t="str">
        <f t="shared" si="133"/>
        <v/>
      </c>
      <c r="DF91" s="385" t="str">
        <f t="shared" si="134"/>
        <v/>
      </c>
      <c r="DG91" s="385" t="str">
        <f t="shared" si="135"/>
        <v/>
      </c>
      <c r="DH91" s="385" t="str">
        <f t="shared" si="136"/>
        <v/>
      </c>
      <c r="DI91" s="385" t="str">
        <f t="shared" si="137"/>
        <v/>
      </c>
    </row>
    <row r="92" spans="1:113" ht="51" x14ac:dyDescent="0.35">
      <c r="A92" s="21" t="s">
        <v>1188</v>
      </c>
      <c r="B92" s="396">
        <f>'Appoggio_BIA Servizio'!$B$5</f>
        <v>0</v>
      </c>
      <c r="C92" s="392" t="s">
        <v>1157</v>
      </c>
      <c r="D92" s="392" t="s">
        <v>1189</v>
      </c>
      <c r="E92" s="393" t="s">
        <v>1190</v>
      </c>
      <c r="F92" s="240" t="s">
        <v>671</v>
      </c>
      <c r="G92" s="240" t="s">
        <v>655</v>
      </c>
      <c r="H92" s="240" t="s">
        <v>655</v>
      </c>
      <c r="I92" s="240">
        <v>1</v>
      </c>
      <c r="J92" s="240">
        <v>1</v>
      </c>
      <c r="K92" s="240">
        <v>0.7</v>
      </c>
      <c r="L92" s="394"/>
      <c r="M92" s="240"/>
      <c r="N92" s="240">
        <v>0.7</v>
      </c>
      <c r="O92" s="394">
        <v>0.4</v>
      </c>
      <c r="P92" s="394"/>
      <c r="Q92" s="240"/>
      <c r="R92" s="394"/>
      <c r="S92" s="394"/>
      <c r="T92" s="240">
        <v>0.7</v>
      </c>
      <c r="U92" s="394">
        <v>1</v>
      </c>
      <c r="V92" s="394"/>
      <c r="W92" s="394"/>
      <c r="X92" s="394"/>
      <c r="Y92" s="394"/>
      <c r="Z92" s="394"/>
      <c r="AA92" s="394"/>
      <c r="AB92" s="240"/>
      <c r="AC92" s="394"/>
      <c r="AD92" s="394"/>
      <c r="AE92" s="395"/>
      <c r="AF92" s="395"/>
      <c r="AG92" s="395"/>
      <c r="AH92" s="395"/>
      <c r="AI92" s="395"/>
      <c r="AJ92" s="395"/>
      <c r="AK92" s="395"/>
      <c r="AL92" s="395"/>
      <c r="AM92" s="395"/>
      <c r="AN92" s="395"/>
      <c r="AO92" s="395"/>
      <c r="AP92" s="395"/>
      <c r="AQ92" s="395"/>
      <c r="AR92" s="395"/>
      <c r="AS92" s="395"/>
      <c r="AT92" s="395"/>
      <c r="AU92" s="395"/>
      <c r="AV92" s="395"/>
      <c r="AW92" s="395"/>
      <c r="AX92" s="395"/>
      <c r="AY92" s="395">
        <v>1</v>
      </c>
      <c r="AZ92" s="395"/>
      <c r="BA92" s="395"/>
      <c r="BB92" s="395"/>
      <c r="BC92" s="395"/>
      <c r="BD92" s="395"/>
      <c r="BE92" s="395"/>
      <c r="BF92" s="225">
        <f t="shared" si="92"/>
        <v>0</v>
      </c>
      <c r="BG92" s="226" t="str">
        <f t="shared" si="93"/>
        <v>Non Applicabile</v>
      </c>
      <c r="BH92" s="226" t="s">
        <v>1191</v>
      </c>
      <c r="BI92" s="226"/>
      <c r="BJ92" s="229"/>
      <c r="BK92" s="227"/>
      <c r="BL92" s="324" t="s">
        <v>1192</v>
      </c>
      <c r="BM92" s="324" t="s">
        <v>1193</v>
      </c>
      <c r="BN92" s="324" t="s">
        <v>1194</v>
      </c>
      <c r="BO92" s="330"/>
      <c r="BP92" s="385" t="str">
        <f>IF(G92="X",
   IF(BG92="Applicabile",
      IF(BJ92&lt;&gt;"",
         _xlfn.XLOOKUP($BJ92,Parametri_RA!$B:$B,Parametri_RA!$D:$D,0),
         0),
      ""),
   "")</f>
        <v/>
      </c>
      <c r="BQ92" s="385" t="str">
        <f>IF(H92="X",
   IF(BG92="Applicabile",
      IF(BJ92&lt;&gt;"",
         _xlfn.XLOOKUP($BJ92,Parametri_RA!$B:$B,Parametri_RA!$D:$D,0),
         0),
      ""),
   "")</f>
        <v/>
      </c>
      <c r="BR92" s="385" t="str">
        <f t="shared" si="94"/>
        <v/>
      </c>
      <c r="BS92" s="385" t="str">
        <f t="shared" si="95"/>
        <v/>
      </c>
      <c r="BT92" s="385" t="str">
        <f t="shared" si="96"/>
        <v/>
      </c>
      <c r="BU92" s="385" t="str">
        <f t="shared" si="97"/>
        <v/>
      </c>
      <c r="BV92" s="385" t="str">
        <f t="shared" si="98"/>
        <v/>
      </c>
      <c r="BW92" s="385" t="str">
        <f t="shared" si="99"/>
        <v/>
      </c>
      <c r="BX92" s="385" t="str">
        <f t="shared" si="100"/>
        <v/>
      </c>
      <c r="BY92" s="385" t="str">
        <f t="shared" si="101"/>
        <v/>
      </c>
      <c r="BZ92" s="385" t="str">
        <f t="shared" si="102"/>
        <v/>
      </c>
      <c r="CA92" s="385" t="str">
        <f t="shared" si="103"/>
        <v/>
      </c>
      <c r="CB92" s="385" t="str">
        <f t="shared" si="104"/>
        <v/>
      </c>
      <c r="CC92" s="385" t="str">
        <f t="shared" si="105"/>
        <v/>
      </c>
      <c r="CD92" s="385" t="str">
        <f t="shared" si="106"/>
        <v/>
      </c>
      <c r="CE92" s="385" t="str">
        <f t="shared" si="107"/>
        <v/>
      </c>
      <c r="CF92" s="385" t="str">
        <f t="shared" si="108"/>
        <v/>
      </c>
      <c r="CG92" s="385" t="str">
        <f t="shared" si="109"/>
        <v/>
      </c>
      <c r="CH92" s="385" t="str">
        <f t="shared" si="110"/>
        <v/>
      </c>
      <c r="CI92" s="385" t="str">
        <f t="shared" si="111"/>
        <v/>
      </c>
      <c r="CJ92" s="385" t="str">
        <f t="shared" si="112"/>
        <v/>
      </c>
      <c r="CK92" s="385" t="str">
        <f t="shared" si="113"/>
        <v/>
      </c>
      <c r="CL92" s="385" t="str">
        <f t="shared" si="114"/>
        <v/>
      </c>
      <c r="CM92" s="385" t="str">
        <f t="shared" si="115"/>
        <v/>
      </c>
      <c r="CN92" s="385" t="str">
        <f t="shared" si="116"/>
        <v/>
      </c>
      <c r="CO92" s="385" t="str">
        <f t="shared" si="117"/>
        <v/>
      </c>
      <c r="CP92" s="385" t="str">
        <f t="shared" si="118"/>
        <v/>
      </c>
      <c r="CQ92" s="385" t="str">
        <f t="shared" si="119"/>
        <v/>
      </c>
      <c r="CR92" s="385" t="str">
        <f t="shared" si="120"/>
        <v/>
      </c>
      <c r="CS92" s="385" t="str">
        <f t="shared" si="121"/>
        <v/>
      </c>
      <c r="CT92" s="385" t="str">
        <f t="shared" si="122"/>
        <v/>
      </c>
      <c r="CU92" s="385" t="str">
        <f t="shared" si="123"/>
        <v/>
      </c>
      <c r="CV92" s="385" t="str">
        <f t="shared" si="124"/>
        <v/>
      </c>
      <c r="CW92" s="385" t="str">
        <f t="shared" si="125"/>
        <v/>
      </c>
      <c r="CX92" s="385" t="str">
        <f t="shared" si="126"/>
        <v/>
      </c>
      <c r="CY92" s="385" t="str">
        <f t="shared" si="127"/>
        <v/>
      </c>
      <c r="CZ92" s="385" t="str">
        <f t="shared" si="128"/>
        <v/>
      </c>
      <c r="DA92" s="385" t="str">
        <f t="shared" si="129"/>
        <v/>
      </c>
      <c r="DB92" s="385" t="str">
        <f t="shared" si="130"/>
        <v/>
      </c>
      <c r="DC92" s="385" t="str">
        <f t="shared" si="131"/>
        <v/>
      </c>
      <c r="DD92" s="385" t="str">
        <f t="shared" si="132"/>
        <v/>
      </c>
      <c r="DE92" s="385" t="str">
        <f t="shared" si="133"/>
        <v/>
      </c>
      <c r="DF92" s="385" t="str">
        <f t="shared" si="134"/>
        <v/>
      </c>
      <c r="DG92" s="385" t="str">
        <f t="shared" si="135"/>
        <v/>
      </c>
      <c r="DH92" s="385" t="str">
        <f t="shared" si="136"/>
        <v/>
      </c>
      <c r="DI92" s="385" t="str">
        <f t="shared" si="137"/>
        <v/>
      </c>
    </row>
    <row r="93" spans="1:113" ht="51" x14ac:dyDescent="0.35">
      <c r="A93" s="21" t="s">
        <v>1195</v>
      </c>
      <c r="B93" s="396">
        <f>'Appoggio_BIA Servizio'!$B$5</f>
        <v>0</v>
      </c>
      <c r="C93" s="392" t="s">
        <v>1157</v>
      </c>
      <c r="D93" s="392" t="s">
        <v>1196</v>
      </c>
      <c r="E93" s="393" t="s">
        <v>1197</v>
      </c>
      <c r="F93" s="240" t="s">
        <v>671</v>
      </c>
      <c r="G93" s="240" t="s">
        <v>655</v>
      </c>
      <c r="H93" s="240"/>
      <c r="I93" s="240">
        <v>1</v>
      </c>
      <c r="J93" s="240">
        <v>1</v>
      </c>
      <c r="K93" s="240"/>
      <c r="L93" s="394"/>
      <c r="M93" s="240"/>
      <c r="N93" s="240">
        <v>0.7</v>
      </c>
      <c r="O93" s="394"/>
      <c r="P93" s="394">
        <v>1</v>
      </c>
      <c r="Q93" s="240"/>
      <c r="R93" s="394"/>
      <c r="S93" s="394"/>
      <c r="T93" s="394">
        <v>0.7</v>
      </c>
      <c r="U93" s="394"/>
      <c r="V93" s="394">
        <v>1</v>
      </c>
      <c r="W93" s="394"/>
      <c r="X93" s="394"/>
      <c r="Y93" s="394"/>
      <c r="Z93" s="394"/>
      <c r="AA93" s="394"/>
      <c r="AB93" s="240"/>
      <c r="AC93" s="394"/>
      <c r="AD93" s="394"/>
      <c r="AE93" s="395"/>
      <c r="AF93" s="395"/>
      <c r="AG93" s="395"/>
      <c r="AH93" s="395"/>
      <c r="AI93" s="395"/>
      <c r="AJ93" s="395"/>
      <c r="AK93" s="395"/>
      <c r="AL93" s="395"/>
      <c r="AM93" s="395"/>
      <c r="AN93" s="395"/>
      <c r="AO93" s="395"/>
      <c r="AP93" s="395"/>
      <c r="AQ93" s="395"/>
      <c r="AR93" s="395"/>
      <c r="AS93" s="395"/>
      <c r="AT93" s="395"/>
      <c r="AU93" s="395"/>
      <c r="AV93" s="395"/>
      <c r="AW93" s="395"/>
      <c r="AX93" s="395"/>
      <c r="AY93" s="395">
        <v>1</v>
      </c>
      <c r="AZ93" s="395"/>
      <c r="BA93" s="395">
        <v>1</v>
      </c>
      <c r="BB93" s="395"/>
      <c r="BC93" s="395"/>
      <c r="BD93" s="395"/>
      <c r="BE93" s="395"/>
      <c r="BF93" s="225">
        <f t="shared" si="92"/>
        <v>0</v>
      </c>
      <c r="BG93" s="226" t="str">
        <f t="shared" si="93"/>
        <v>Non Applicabile</v>
      </c>
      <c r="BH93" s="226" t="s">
        <v>1198</v>
      </c>
      <c r="BI93" s="226"/>
      <c r="BJ93" s="229"/>
      <c r="BK93" s="227"/>
      <c r="BL93" s="324" t="s">
        <v>991</v>
      </c>
      <c r="BM93" s="324" t="s">
        <v>1199</v>
      </c>
      <c r="BN93" s="324" t="s">
        <v>1200</v>
      </c>
      <c r="BO93" s="330"/>
      <c r="BP93" s="385" t="str">
        <f>IF(G93="X",
   IF(BG93="Applicabile",
      IF(BJ93&lt;&gt;"",
         _xlfn.XLOOKUP($BJ93,Parametri_RA!$B:$B,Parametri_RA!$D:$D,0),
         0),
      ""),
   "")</f>
        <v/>
      </c>
      <c r="BQ93" s="385" t="str">
        <f>IF(H93="X",
   IF(BG93="Applicabile",
      IF(BJ93&lt;&gt;"",
         _xlfn.XLOOKUP($BJ93,Parametri_RA!$B:$B,Parametri_RA!$D:$D,0),
         0),
      ""),
   "")</f>
        <v/>
      </c>
      <c r="BR93" s="385" t="str">
        <f t="shared" si="94"/>
        <v/>
      </c>
      <c r="BS93" s="385" t="str">
        <f t="shared" si="95"/>
        <v/>
      </c>
      <c r="BT93" s="385" t="str">
        <f t="shared" si="96"/>
        <v/>
      </c>
      <c r="BU93" s="385" t="str">
        <f t="shared" si="97"/>
        <v/>
      </c>
      <c r="BV93" s="385" t="str">
        <f t="shared" si="98"/>
        <v/>
      </c>
      <c r="BW93" s="385" t="str">
        <f t="shared" si="99"/>
        <v/>
      </c>
      <c r="BX93" s="385" t="str">
        <f t="shared" si="100"/>
        <v/>
      </c>
      <c r="BY93" s="385" t="str">
        <f t="shared" si="101"/>
        <v/>
      </c>
      <c r="BZ93" s="385" t="str">
        <f t="shared" si="102"/>
        <v/>
      </c>
      <c r="CA93" s="385" t="str">
        <f t="shared" si="103"/>
        <v/>
      </c>
      <c r="CB93" s="385" t="str">
        <f t="shared" si="104"/>
        <v/>
      </c>
      <c r="CC93" s="385" t="str">
        <f t="shared" si="105"/>
        <v/>
      </c>
      <c r="CD93" s="385" t="str">
        <f t="shared" si="106"/>
        <v/>
      </c>
      <c r="CE93" s="385" t="str">
        <f t="shared" si="107"/>
        <v/>
      </c>
      <c r="CF93" s="385" t="str">
        <f t="shared" si="108"/>
        <v/>
      </c>
      <c r="CG93" s="385" t="str">
        <f t="shared" si="109"/>
        <v/>
      </c>
      <c r="CH93" s="385" t="str">
        <f t="shared" si="110"/>
        <v/>
      </c>
      <c r="CI93" s="385" t="str">
        <f t="shared" si="111"/>
        <v/>
      </c>
      <c r="CJ93" s="385" t="str">
        <f t="shared" si="112"/>
        <v/>
      </c>
      <c r="CK93" s="385" t="str">
        <f t="shared" si="113"/>
        <v/>
      </c>
      <c r="CL93" s="385" t="str">
        <f t="shared" si="114"/>
        <v/>
      </c>
      <c r="CM93" s="385" t="str">
        <f t="shared" si="115"/>
        <v/>
      </c>
      <c r="CN93" s="385" t="str">
        <f t="shared" si="116"/>
        <v/>
      </c>
      <c r="CO93" s="385" t="str">
        <f t="shared" si="117"/>
        <v/>
      </c>
      <c r="CP93" s="385" t="str">
        <f t="shared" si="118"/>
        <v/>
      </c>
      <c r="CQ93" s="385" t="str">
        <f t="shared" si="119"/>
        <v/>
      </c>
      <c r="CR93" s="385" t="str">
        <f t="shared" si="120"/>
        <v/>
      </c>
      <c r="CS93" s="385" t="str">
        <f t="shared" si="121"/>
        <v/>
      </c>
      <c r="CT93" s="385" t="str">
        <f t="shared" si="122"/>
        <v/>
      </c>
      <c r="CU93" s="385" t="str">
        <f t="shared" si="123"/>
        <v/>
      </c>
      <c r="CV93" s="385" t="str">
        <f t="shared" si="124"/>
        <v/>
      </c>
      <c r="CW93" s="385" t="str">
        <f t="shared" si="125"/>
        <v/>
      </c>
      <c r="CX93" s="385" t="str">
        <f t="shared" si="126"/>
        <v/>
      </c>
      <c r="CY93" s="385" t="str">
        <f t="shared" si="127"/>
        <v/>
      </c>
      <c r="CZ93" s="385" t="str">
        <f t="shared" si="128"/>
        <v/>
      </c>
      <c r="DA93" s="385" t="str">
        <f t="shared" si="129"/>
        <v/>
      </c>
      <c r="DB93" s="385" t="str">
        <f t="shared" si="130"/>
        <v/>
      </c>
      <c r="DC93" s="385" t="str">
        <f t="shared" si="131"/>
        <v/>
      </c>
      <c r="DD93" s="385" t="str">
        <f t="shared" si="132"/>
        <v/>
      </c>
      <c r="DE93" s="385" t="str">
        <f t="shared" si="133"/>
        <v/>
      </c>
      <c r="DF93" s="385" t="str">
        <f t="shared" si="134"/>
        <v/>
      </c>
      <c r="DG93" s="385" t="str">
        <f t="shared" si="135"/>
        <v/>
      </c>
      <c r="DH93" s="385" t="str">
        <f t="shared" si="136"/>
        <v/>
      </c>
      <c r="DI93" s="385" t="str">
        <f t="shared" si="137"/>
        <v/>
      </c>
    </row>
    <row r="94" spans="1:113" ht="66" x14ac:dyDescent="0.35">
      <c r="A94" s="21" t="s">
        <v>1201</v>
      </c>
      <c r="B94" s="396">
        <f>'Appoggio_BIA Servizio'!$B$5</f>
        <v>0</v>
      </c>
      <c r="C94" s="392" t="s">
        <v>1157</v>
      </c>
      <c r="D94" s="392" t="s">
        <v>1202</v>
      </c>
      <c r="E94" s="393" t="s">
        <v>1203</v>
      </c>
      <c r="F94" s="240" t="s">
        <v>671</v>
      </c>
      <c r="G94" s="240" t="s">
        <v>655</v>
      </c>
      <c r="H94" s="240" t="s">
        <v>655</v>
      </c>
      <c r="I94" s="240">
        <v>0.7</v>
      </c>
      <c r="J94" s="240">
        <v>1</v>
      </c>
      <c r="K94" s="240">
        <v>0.4</v>
      </c>
      <c r="L94" s="394">
        <v>0.7</v>
      </c>
      <c r="M94" s="240">
        <v>0.4</v>
      </c>
      <c r="N94" s="240">
        <v>0.7</v>
      </c>
      <c r="O94" s="394">
        <v>0.7</v>
      </c>
      <c r="P94" s="394"/>
      <c r="Q94" s="240"/>
      <c r="R94" s="394"/>
      <c r="S94" s="394"/>
      <c r="T94" s="394">
        <v>0.7</v>
      </c>
      <c r="U94" s="394">
        <v>0.7</v>
      </c>
      <c r="V94" s="394"/>
      <c r="W94" s="394"/>
      <c r="X94" s="394"/>
      <c r="Y94" s="394"/>
      <c r="Z94" s="394"/>
      <c r="AA94" s="394"/>
      <c r="AB94" s="240"/>
      <c r="AC94" s="394"/>
      <c r="AD94" s="394"/>
      <c r="AE94" s="395"/>
      <c r="AF94" s="395"/>
      <c r="AG94" s="395"/>
      <c r="AH94" s="395"/>
      <c r="AI94" s="395"/>
      <c r="AJ94" s="395"/>
      <c r="AK94" s="395"/>
      <c r="AL94" s="395"/>
      <c r="AM94" s="395"/>
      <c r="AN94" s="395"/>
      <c r="AO94" s="395"/>
      <c r="AP94" s="395"/>
      <c r="AQ94" s="395"/>
      <c r="AR94" s="395"/>
      <c r="AS94" s="395"/>
      <c r="AT94" s="395"/>
      <c r="AU94" s="395"/>
      <c r="AV94" s="395"/>
      <c r="AW94" s="395"/>
      <c r="AX94" s="395"/>
      <c r="AY94" s="395">
        <v>1</v>
      </c>
      <c r="AZ94" s="395"/>
      <c r="BA94" s="395"/>
      <c r="BB94" s="395"/>
      <c r="BC94" s="395"/>
      <c r="BD94" s="395"/>
      <c r="BE94" s="395"/>
      <c r="BF94" s="225">
        <f t="shared" si="92"/>
        <v>0</v>
      </c>
      <c r="BG94" s="226" t="str">
        <f t="shared" si="93"/>
        <v>Non Applicabile</v>
      </c>
      <c r="BH94" s="226" t="s">
        <v>1204</v>
      </c>
      <c r="BI94" s="226"/>
      <c r="BJ94" s="229"/>
      <c r="BK94" s="227"/>
      <c r="BL94" s="324" t="s">
        <v>1205</v>
      </c>
      <c r="BM94" s="324" t="s">
        <v>1206</v>
      </c>
      <c r="BN94" s="324" t="s">
        <v>1207</v>
      </c>
      <c r="BO94" s="330"/>
      <c r="BP94" s="385" t="str">
        <f>IF(G94="X",
   IF(BG94="Applicabile",
      IF(BJ94&lt;&gt;"",
         _xlfn.XLOOKUP($BJ94,Parametri_RA!$B:$B,Parametri_RA!$D:$D,0),
         0),
      ""),
   "")</f>
        <v/>
      </c>
      <c r="BQ94" s="385" t="str">
        <f>IF(H94="X",
   IF(BG94="Applicabile",
      IF(BJ94&lt;&gt;"",
         _xlfn.XLOOKUP($BJ94,Parametri_RA!$B:$B,Parametri_RA!$D:$D,0),
         0),
      ""),
   "")</f>
        <v/>
      </c>
      <c r="BR94" s="385" t="str">
        <f t="shared" si="94"/>
        <v/>
      </c>
      <c r="BS94" s="385" t="str">
        <f t="shared" si="95"/>
        <v/>
      </c>
      <c r="BT94" s="385" t="str">
        <f t="shared" si="96"/>
        <v/>
      </c>
      <c r="BU94" s="385" t="str">
        <f t="shared" si="97"/>
        <v/>
      </c>
      <c r="BV94" s="385" t="str">
        <f t="shared" si="98"/>
        <v/>
      </c>
      <c r="BW94" s="385" t="str">
        <f t="shared" si="99"/>
        <v/>
      </c>
      <c r="BX94" s="385" t="str">
        <f t="shared" si="100"/>
        <v/>
      </c>
      <c r="BY94" s="385" t="str">
        <f t="shared" si="101"/>
        <v/>
      </c>
      <c r="BZ94" s="385" t="str">
        <f t="shared" si="102"/>
        <v/>
      </c>
      <c r="CA94" s="385" t="str">
        <f t="shared" si="103"/>
        <v/>
      </c>
      <c r="CB94" s="385" t="str">
        <f t="shared" si="104"/>
        <v/>
      </c>
      <c r="CC94" s="385" t="str">
        <f t="shared" si="105"/>
        <v/>
      </c>
      <c r="CD94" s="385" t="str">
        <f t="shared" si="106"/>
        <v/>
      </c>
      <c r="CE94" s="385" t="str">
        <f t="shared" si="107"/>
        <v/>
      </c>
      <c r="CF94" s="385" t="str">
        <f t="shared" si="108"/>
        <v/>
      </c>
      <c r="CG94" s="385" t="str">
        <f t="shared" si="109"/>
        <v/>
      </c>
      <c r="CH94" s="385" t="str">
        <f t="shared" si="110"/>
        <v/>
      </c>
      <c r="CI94" s="385" t="str">
        <f t="shared" si="111"/>
        <v/>
      </c>
      <c r="CJ94" s="385" t="str">
        <f t="shared" si="112"/>
        <v/>
      </c>
      <c r="CK94" s="385" t="str">
        <f t="shared" si="113"/>
        <v/>
      </c>
      <c r="CL94" s="385" t="str">
        <f t="shared" si="114"/>
        <v/>
      </c>
      <c r="CM94" s="385" t="str">
        <f t="shared" si="115"/>
        <v/>
      </c>
      <c r="CN94" s="385" t="str">
        <f t="shared" si="116"/>
        <v/>
      </c>
      <c r="CO94" s="385" t="str">
        <f t="shared" si="117"/>
        <v/>
      </c>
      <c r="CP94" s="385" t="str">
        <f t="shared" si="118"/>
        <v/>
      </c>
      <c r="CQ94" s="385" t="str">
        <f t="shared" si="119"/>
        <v/>
      </c>
      <c r="CR94" s="385" t="str">
        <f t="shared" si="120"/>
        <v/>
      </c>
      <c r="CS94" s="385" t="str">
        <f t="shared" si="121"/>
        <v/>
      </c>
      <c r="CT94" s="385" t="str">
        <f t="shared" si="122"/>
        <v/>
      </c>
      <c r="CU94" s="385" t="str">
        <f t="shared" si="123"/>
        <v/>
      </c>
      <c r="CV94" s="385" t="str">
        <f t="shared" si="124"/>
        <v/>
      </c>
      <c r="CW94" s="385" t="str">
        <f t="shared" si="125"/>
        <v/>
      </c>
      <c r="CX94" s="385" t="str">
        <f t="shared" si="126"/>
        <v/>
      </c>
      <c r="CY94" s="385" t="str">
        <f t="shared" si="127"/>
        <v/>
      </c>
      <c r="CZ94" s="385" t="str">
        <f t="shared" si="128"/>
        <v/>
      </c>
      <c r="DA94" s="385" t="str">
        <f t="shared" si="129"/>
        <v/>
      </c>
      <c r="DB94" s="385" t="str">
        <f t="shared" si="130"/>
        <v/>
      </c>
      <c r="DC94" s="385" t="str">
        <f t="shared" si="131"/>
        <v/>
      </c>
      <c r="DD94" s="385" t="str">
        <f t="shared" si="132"/>
        <v/>
      </c>
      <c r="DE94" s="385" t="str">
        <f t="shared" si="133"/>
        <v/>
      </c>
      <c r="DF94" s="385" t="str">
        <f t="shared" si="134"/>
        <v/>
      </c>
      <c r="DG94" s="385" t="str">
        <f t="shared" si="135"/>
        <v/>
      </c>
      <c r="DH94" s="385" t="str">
        <f t="shared" si="136"/>
        <v/>
      </c>
      <c r="DI94" s="385" t="str">
        <f t="shared" si="137"/>
        <v/>
      </c>
    </row>
    <row r="95" spans="1:113" ht="82.5" x14ac:dyDescent="0.35">
      <c r="A95" s="21" t="s">
        <v>1208</v>
      </c>
      <c r="B95" s="396">
        <f>'Appoggio_BIA Servizio'!$B$5</f>
        <v>0</v>
      </c>
      <c r="C95" s="392" t="s">
        <v>1157</v>
      </c>
      <c r="D95" s="392" t="s">
        <v>1209</v>
      </c>
      <c r="E95" s="393" t="s">
        <v>1210</v>
      </c>
      <c r="F95" s="240" t="s">
        <v>654</v>
      </c>
      <c r="G95" s="240" t="s">
        <v>655</v>
      </c>
      <c r="H95" s="240" t="s">
        <v>655</v>
      </c>
      <c r="I95" s="240">
        <v>1</v>
      </c>
      <c r="J95" s="240">
        <v>1</v>
      </c>
      <c r="K95" s="240">
        <v>0.4</v>
      </c>
      <c r="L95" s="394"/>
      <c r="M95" s="240">
        <v>0.4</v>
      </c>
      <c r="N95" s="240">
        <v>0.7</v>
      </c>
      <c r="O95" s="394">
        <v>0.7</v>
      </c>
      <c r="P95" s="394">
        <v>0.7</v>
      </c>
      <c r="Q95" s="240"/>
      <c r="R95" s="394"/>
      <c r="S95" s="394"/>
      <c r="T95" s="394">
        <v>0.7</v>
      </c>
      <c r="U95" s="394"/>
      <c r="V95" s="394">
        <v>0.7</v>
      </c>
      <c r="W95" s="394"/>
      <c r="X95" s="394"/>
      <c r="Y95" s="394"/>
      <c r="Z95" s="394"/>
      <c r="AA95" s="394"/>
      <c r="AB95" s="240"/>
      <c r="AC95" s="394"/>
      <c r="AD95" s="394"/>
      <c r="AE95" s="395"/>
      <c r="AF95" s="395"/>
      <c r="AG95" s="395"/>
      <c r="AH95" s="395"/>
      <c r="AI95" s="395"/>
      <c r="AJ95" s="395"/>
      <c r="AK95" s="395"/>
      <c r="AL95" s="395"/>
      <c r="AM95" s="395"/>
      <c r="AN95" s="395"/>
      <c r="AO95" s="395"/>
      <c r="AP95" s="395"/>
      <c r="AQ95" s="395"/>
      <c r="AR95" s="395"/>
      <c r="AS95" s="395"/>
      <c r="AT95" s="395"/>
      <c r="AU95" s="395"/>
      <c r="AV95" s="395"/>
      <c r="AW95" s="395"/>
      <c r="AX95" s="395"/>
      <c r="AY95" s="395">
        <v>1</v>
      </c>
      <c r="AZ95" s="395"/>
      <c r="BA95" s="395"/>
      <c r="BB95" s="395"/>
      <c r="BC95" s="395"/>
      <c r="BD95" s="395"/>
      <c r="BE95" s="395"/>
      <c r="BF95" s="225">
        <f t="shared" si="92"/>
        <v>0</v>
      </c>
      <c r="BG95" s="226" t="str">
        <f t="shared" si="93"/>
        <v>Non Applicabile</v>
      </c>
      <c r="BH95" s="226" t="s">
        <v>693</v>
      </c>
      <c r="BI95" s="230"/>
      <c r="BJ95" s="229"/>
      <c r="BK95" s="227"/>
      <c r="BL95" s="324" t="s">
        <v>1211</v>
      </c>
      <c r="BM95" s="324" t="s">
        <v>1212</v>
      </c>
      <c r="BN95" s="324" t="s">
        <v>1213</v>
      </c>
      <c r="BO95" s="330"/>
      <c r="BP95" s="385" t="str">
        <f>IF(G95="X",
   IF(BG95="Applicabile",
      IF(BJ95&lt;&gt;"",
         _xlfn.XLOOKUP($BJ95,Parametri_RA!$B:$B,Parametri_RA!$D:$D,0),
         0),
      ""),
   "")</f>
        <v/>
      </c>
      <c r="BQ95" s="385" t="str">
        <f>IF(H95="X",
   IF(BG95="Applicabile",
      IF(BJ95&lt;&gt;"",
         _xlfn.XLOOKUP($BJ95,Parametri_RA!$B:$B,Parametri_RA!$D:$D,0),
         0),
      ""),
   "")</f>
        <v/>
      </c>
      <c r="BR95" s="385" t="str">
        <f t="shared" si="94"/>
        <v/>
      </c>
      <c r="BS95" s="385" t="str">
        <f t="shared" si="95"/>
        <v/>
      </c>
      <c r="BT95" s="385" t="str">
        <f t="shared" si="96"/>
        <v/>
      </c>
      <c r="BU95" s="385" t="str">
        <f t="shared" si="97"/>
        <v/>
      </c>
      <c r="BV95" s="385" t="str">
        <f t="shared" si="98"/>
        <v/>
      </c>
      <c r="BW95" s="385" t="str">
        <f t="shared" si="99"/>
        <v/>
      </c>
      <c r="BX95" s="385" t="str">
        <f t="shared" si="100"/>
        <v/>
      </c>
      <c r="BY95" s="385" t="str">
        <f t="shared" si="101"/>
        <v/>
      </c>
      <c r="BZ95" s="385" t="str">
        <f t="shared" si="102"/>
        <v/>
      </c>
      <c r="CA95" s="385" t="str">
        <f t="shared" si="103"/>
        <v/>
      </c>
      <c r="CB95" s="385" t="str">
        <f t="shared" si="104"/>
        <v/>
      </c>
      <c r="CC95" s="385" t="str">
        <f t="shared" si="105"/>
        <v/>
      </c>
      <c r="CD95" s="385" t="str">
        <f t="shared" si="106"/>
        <v/>
      </c>
      <c r="CE95" s="385" t="str">
        <f t="shared" si="107"/>
        <v/>
      </c>
      <c r="CF95" s="385" t="str">
        <f t="shared" si="108"/>
        <v/>
      </c>
      <c r="CG95" s="385" t="str">
        <f t="shared" si="109"/>
        <v/>
      </c>
      <c r="CH95" s="385" t="str">
        <f t="shared" si="110"/>
        <v/>
      </c>
      <c r="CI95" s="385" t="str">
        <f t="shared" si="111"/>
        <v/>
      </c>
      <c r="CJ95" s="385" t="str">
        <f t="shared" si="112"/>
        <v/>
      </c>
      <c r="CK95" s="385" t="str">
        <f t="shared" si="113"/>
        <v/>
      </c>
      <c r="CL95" s="385" t="str">
        <f t="shared" si="114"/>
        <v/>
      </c>
      <c r="CM95" s="385" t="str">
        <f t="shared" si="115"/>
        <v/>
      </c>
      <c r="CN95" s="385" t="str">
        <f t="shared" si="116"/>
        <v/>
      </c>
      <c r="CO95" s="385" t="str">
        <f t="shared" si="117"/>
        <v/>
      </c>
      <c r="CP95" s="385" t="str">
        <f t="shared" si="118"/>
        <v/>
      </c>
      <c r="CQ95" s="385" t="str">
        <f t="shared" si="119"/>
        <v/>
      </c>
      <c r="CR95" s="385" t="str">
        <f t="shared" si="120"/>
        <v/>
      </c>
      <c r="CS95" s="385" t="str">
        <f t="shared" si="121"/>
        <v/>
      </c>
      <c r="CT95" s="385" t="str">
        <f t="shared" si="122"/>
        <v/>
      </c>
      <c r="CU95" s="385" t="str">
        <f t="shared" si="123"/>
        <v/>
      </c>
      <c r="CV95" s="385" t="str">
        <f t="shared" si="124"/>
        <v/>
      </c>
      <c r="CW95" s="385" t="str">
        <f t="shared" si="125"/>
        <v/>
      </c>
      <c r="CX95" s="385" t="str">
        <f t="shared" si="126"/>
        <v/>
      </c>
      <c r="CY95" s="385" t="str">
        <f t="shared" si="127"/>
        <v/>
      </c>
      <c r="CZ95" s="385" t="str">
        <f t="shared" si="128"/>
        <v/>
      </c>
      <c r="DA95" s="385" t="str">
        <f t="shared" si="129"/>
        <v/>
      </c>
      <c r="DB95" s="385" t="str">
        <f t="shared" si="130"/>
        <v/>
      </c>
      <c r="DC95" s="385" t="str">
        <f t="shared" si="131"/>
        <v/>
      </c>
      <c r="DD95" s="385" t="str">
        <f t="shared" si="132"/>
        <v/>
      </c>
      <c r="DE95" s="385" t="str">
        <f t="shared" si="133"/>
        <v/>
      </c>
      <c r="DF95" s="385" t="str">
        <f t="shared" si="134"/>
        <v/>
      </c>
      <c r="DG95" s="385" t="str">
        <f t="shared" si="135"/>
        <v/>
      </c>
      <c r="DH95" s="385" t="str">
        <f t="shared" si="136"/>
        <v/>
      </c>
      <c r="DI95" s="385" t="str">
        <f t="shared" si="137"/>
        <v/>
      </c>
    </row>
    <row r="96" spans="1:113" ht="51" x14ac:dyDescent="0.35">
      <c r="A96" s="21" t="s">
        <v>1214</v>
      </c>
      <c r="B96" s="396">
        <f>'Appoggio_BIA Servizio'!$B$5</f>
        <v>0</v>
      </c>
      <c r="C96" s="392" t="s">
        <v>1157</v>
      </c>
      <c r="D96" s="392" t="s">
        <v>1215</v>
      </c>
      <c r="E96" s="393" t="s">
        <v>1216</v>
      </c>
      <c r="F96" s="240" t="s">
        <v>671</v>
      </c>
      <c r="G96" s="240" t="s">
        <v>655</v>
      </c>
      <c r="H96" s="240"/>
      <c r="I96" s="240"/>
      <c r="J96" s="240"/>
      <c r="K96" s="240"/>
      <c r="L96" s="394"/>
      <c r="M96" s="240">
        <v>0.7</v>
      </c>
      <c r="N96" s="240">
        <v>0.7</v>
      </c>
      <c r="O96" s="394"/>
      <c r="P96" s="394"/>
      <c r="Q96" s="240"/>
      <c r="R96" s="394"/>
      <c r="S96" s="394"/>
      <c r="T96" s="394"/>
      <c r="U96" s="394"/>
      <c r="V96" s="394"/>
      <c r="W96" s="394">
        <v>1</v>
      </c>
      <c r="X96" s="394"/>
      <c r="Y96" s="394"/>
      <c r="Z96" s="394"/>
      <c r="AA96" s="394"/>
      <c r="AB96" s="240"/>
      <c r="AC96" s="394"/>
      <c r="AD96" s="394"/>
      <c r="AE96" s="395"/>
      <c r="AF96" s="395"/>
      <c r="AG96" s="395"/>
      <c r="AH96" s="395"/>
      <c r="AI96" s="395"/>
      <c r="AJ96" s="395"/>
      <c r="AK96" s="395"/>
      <c r="AL96" s="395"/>
      <c r="AM96" s="395"/>
      <c r="AN96" s="395"/>
      <c r="AO96" s="395"/>
      <c r="AP96" s="395"/>
      <c r="AQ96" s="395"/>
      <c r="AR96" s="395"/>
      <c r="AS96" s="395">
        <v>1</v>
      </c>
      <c r="AT96" s="395"/>
      <c r="AU96" s="395"/>
      <c r="AV96" s="395"/>
      <c r="AW96" s="395"/>
      <c r="AX96" s="395"/>
      <c r="AY96" s="395"/>
      <c r="AZ96" s="395"/>
      <c r="BA96" s="395"/>
      <c r="BB96" s="395"/>
      <c r="BC96" s="395"/>
      <c r="BD96" s="395"/>
      <c r="BE96" s="395"/>
      <c r="BF96" s="225">
        <f t="shared" si="92"/>
        <v>0</v>
      </c>
      <c r="BG96" s="226" t="str">
        <f t="shared" si="93"/>
        <v>Non Applicabile</v>
      </c>
      <c r="BH96" s="226" t="s">
        <v>693</v>
      </c>
      <c r="BI96" s="228"/>
      <c r="BJ96" s="229"/>
      <c r="BK96" s="227"/>
      <c r="BL96" s="324" t="s">
        <v>1217</v>
      </c>
      <c r="BM96" s="324" t="s">
        <v>1218</v>
      </c>
      <c r="BN96" s="324" t="s">
        <v>1219</v>
      </c>
      <c r="BO96" s="330"/>
      <c r="BP96" s="385" t="str">
        <f>IF(G96="X",
   IF(BG96="Applicabile",
      IF(BJ96&lt;&gt;"",
         _xlfn.XLOOKUP($BJ96,Parametri_RA!$B:$B,Parametri_RA!$D:$D,0),
         0),
      ""),
   "")</f>
        <v/>
      </c>
      <c r="BQ96" s="385" t="str">
        <f>IF(H96="X",
   IF(BG96="Applicabile",
      IF(BJ96&lt;&gt;"",
         _xlfn.XLOOKUP($BJ96,Parametri_RA!$B:$B,Parametri_RA!$D:$D,0),
         0),
      ""),
   "")</f>
        <v/>
      </c>
      <c r="BR96" s="385" t="str">
        <f t="shared" si="94"/>
        <v/>
      </c>
      <c r="BS96" s="385" t="str">
        <f t="shared" si="95"/>
        <v/>
      </c>
      <c r="BT96" s="385" t="str">
        <f t="shared" si="96"/>
        <v/>
      </c>
      <c r="BU96" s="385" t="str">
        <f t="shared" si="97"/>
        <v/>
      </c>
      <c r="BV96" s="385" t="str">
        <f t="shared" si="98"/>
        <v/>
      </c>
      <c r="BW96" s="385" t="str">
        <f t="shared" si="99"/>
        <v/>
      </c>
      <c r="BX96" s="385" t="str">
        <f t="shared" si="100"/>
        <v/>
      </c>
      <c r="BY96" s="385" t="str">
        <f t="shared" si="101"/>
        <v/>
      </c>
      <c r="BZ96" s="385" t="str">
        <f t="shared" si="102"/>
        <v/>
      </c>
      <c r="CA96" s="385" t="str">
        <f t="shared" si="103"/>
        <v/>
      </c>
      <c r="CB96" s="385" t="str">
        <f t="shared" si="104"/>
        <v/>
      </c>
      <c r="CC96" s="385" t="str">
        <f t="shared" si="105"/>
        <v/>
      </c>
      <c r="CD96" s="385" t="str">
        <f t="shared" si="106"/>
        <v/>
      </c>
      <c r="CE96" s="385" t="str">
        <f t="shared" si="107"/>
        <v/>
      </c>
      <c r="CF96" s="385" t="str">
        <f t="shared" si="108"/>
        <v/>
      </c>
      <c r="CG96" s="385" t="str">
        <f t="shared" si="109"/>
        <v/>
      </c>
      <c r="CH96" s="385" t="str">
        <f t="shared" si="110"/>
        <v/>
      </c>
      <c r="CI96" s="385" t="str">
        <f t="shared" si="111"/>
        <v/>
      </c>
      <c r="CJ96" s="385" t="str">
        <f t="shared" si="112"/>
        <v/>
      </c>
      <c r="CK96" s="385" t="str">
        <f t="shared" si="113"/>
        <v/>
      </c>
      <c r="CL96" s="385" t="str">
        <f t="shared" si="114"/>
        <v/>
      </c>
      <c r="CM96" s="385" t="str">
        <f t="shared" si="115"/>
        <v/>
      </c>
      <c r="CN96" s="385" t="str">
        <f t="shared" si="116"/>
        <v/>
      </c>
      <c r="CO96" s="385" t="str">
        <f t="shared" si="117"/>
        <v/>
      </c>
      <c r="CP96" s="385" t="str">
        <f t="shared" si="118"/>
        <v/>
      </c>
      <c r="CQ96" s="385" t="str">
        <f t="shared" si="119"/>
        <v/>
      </c>
      <c r="CR96" s="385" t="str">
        <f t="shared" si="120"/>
        <v/>
      </c>
      <c r="CS96" s="385" t="str">
        <f t="shared" si="121"/>
        <v/>
      </c>
      <c r="CT96" s="385" t="str">
        <f t="shared" si="122"/>
        <v/>
      </c>
      <c r="CU96" s="385" t="str">
        <f t="shared" si="123"/>
        <v/>
      </c>
      <c r="CV96" s="385" t="str">
        <f t="shared" si="124"/>
        <v/>
      </c>
      <c r="CW96" s="385" t="str">
        <f t="shared" si="125"/>
        <v/>
      </c>
      <c r="CX96" s="385" t="str">
        <f t="shared" si="126"/>
        <v/>
      </c>
      <c r="CY96" s="385" t="str">
        <f t="shared" si="127"/>
        <v/>
      </c>
      <c r="CZ96" s="385" t="str">
        <f t="shared" si="128"/>
        <v/>
      </c>
      <c r="DA96" s="385" t="str">
        <f t="shared" si="129"/>
        <v/>
      </c>
      <c r="DB96" s="385" t="str">
        <f t="shared" si="130"/>
        <v/>
      </c>
      <c r="DC96" s="385" t="str">
        <f t="shared" si="131"/>
        <v/>
      </c>
      <c r="DD96" s="385" t="str">
        <f t="shared" si="132"/>
        <v/>
      </c>
      <c r="DE96" s="385" t="str">
        <f t="shared" si="133"/>
        <v/>
      </c>
      <c r="DF96" s="385" t="str">
        <f t="shared" si="134"/>
        <v/>
      </c>
      <c r="DG96" s="385" t="str">
        <f t="shared" si="135"/>
        <v/>
      </c>
      <c r="DH96" s="385" t="str">
        <f t="shared" si="136"/>
        <v/>
      </c>
      <c r="DI96" s="385" t="str">
        <f t="shared" si="137"/>
        <v/>
      </c>
    </row>
    <row r="97" spans="1:113" ht="82.5" x14ac:dyDescent="0.35">
      <c r="A97" s="21" t="s">
        <v>1220</v>
      </c>
      <c r="B97" s="396">
        <f>'Appoggio_BIA Servizio'!$B$5</f>
        <v>0</v>
      </c>
      <c r="C97" s="392" t="s">
        <v>1221</v>
      </c>
      <c r="D97" s="392" t="s">
        <v>1222</v>
      </c>
      <c r="E97" s="393" t="s">
        <v>1223</v>
      </c>
      <c r="F97" s="240" t="s">
        <v>671</v>
      </c>
      <c r="G97" s="240" t="s">
        <v>655</v>
      </c>
      <c r="H97" s="240" t="s">
        <v>655</v>
      </c>
      <c r="I97" s="240">
        <v>0.7</v>
      </c>
      <c r="J97" s="240">
        <v>0.7</v>
      </c>
      <c r="K97" s="240">
        <v>0.7</v>
      </c>
      <c r="L97" s="394"/>
      <c r="M97" s="240"/>
      <c r="N97" s="240">
        <v>0.7</v>
      </c>
      <c r="O97" s="394">
        <v>0.7</v>
      </c>
      <c r="P97" s="394"/>
      <c r="Q97" s="240"/>
      <c r="R97" s="394">
        <v>0.7</v>
      </c>
      <c r="S97" s="394">
        <v>0.7</v>
      </c>
      <c r="T97" s="394"/>
      <c r="U97" s="394">
        <v>0.7</v>
      </c>
      <c r="V97" s="394"/>
      <c r="W97" s="394"/>
      <c r="X97" s="394"/>
      <c r="Y97" s="394"/>
      <c r="Z97" s="394"/>
      <c r="AA97" s="394"/>
      <c r="AB97" s="240"/>
      <c r="AC97" s="394"/>
      <c r="AD97" s="394"/>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v>1</v>
      </c>
      <c r="BA97" s="395"/>
      <c r="BB97" s="395"/>
      <c r="BC97" s="395"/>
      <c r="BD97" s="395"/>
      <c r="BE97" s="395"/>
      <c r="BF97" s="225">
        <f t="shared" si="92"/>
        <v>0</v>
      </c>
      <c r="BG97" s="226" t="str">
        <f t="shared" si="93"/>
        <v>Non Applicabile</v>
      </c>
      <c r="BH97" s="226" t="s">
        <v>1224</v>
      </c>
      <c r="BI97" s="230"/>
      <c r="BJ97" s="229"/>
      <c r="BK97" s="227"/>
      <c r="BL97" s="324" t="s">
        <v>1225</v>
      </c>
      <c r="BM97" s="324" t="s">
        <v>1226</v>
      </c>
      <c r="BN97" s="324" t="s">
        <v>1227</v>
      </c>
      <c r="BO97" s="330"/>
      <c r="BP97" s="385" t="str">
        <f>IF(G97="X",
   IF(BG97="Applicabile",
      IF(BJ97&lt;&gt;"",
         _xlfn.XLOOKUP($BJ97,Parametri_RA!$B:$B,Parametri_RA!$D:$D,0),
         0),
      ""),
   "")</f>
        <v/>
      </c>
      <c r="BQ97" s="385" t="str">
        <f>IF(H97="X",
   IF(BG97="Applicabile",
      IF(BJ97&lt;&gt;"",
         _xlfn.XLOOKUP($BJ97,Parametri_RA!$B:$B,Parametri_RA!$D:$D,0),
         0),
      ""),
   "")</f>
        <v/>
      </c>
      <c r="BR97" s="385" t="str">
        <f t="shared" si="94"/>
        <v/>
      </c>
      <c r="BS97" s="385" t="str">
        <f t="shared" si="95"/>
        <v/>
      </c>
      <c r="BT97" s="385" t="str">
        <f t="shared" si="96"/>
        <v/>
      </c>
      <c r="BU97" s="385" t="str">
        <f t="shared" si="97"/>
        <v/>
      </c>
      <c r="BV97" s="385" t="str">
        <f t="shared" si="98"/>
        <v/>
      </c>
      <c r="BW97" s="385" t="str">
        <f t="shared" si="99"/>
        <v/>
      </c>
      <c r="BX97" s="385" t="str">
        <f t="shared" si="100"/>
        <v/>
      </c>
      <c r="BY97" s="385" t="str">
        <f t="shared" si="101"/>
        <v/>
      </c>
      <c r="BZ97" s="385" t="str">
        <f t="shared" si="102"/>
        <v/>
      </c>
      <c r="CA97" s="385" t="str">
        <f t="shared" si="103"/>
        <v/>
      </c>
      <c r="CB97" s="385" t="str">
        <f t="shared" si="104"/>
        <v/>
      </c>
      <c r="CC97" s="385" t="str">
        <f t="shared" si="105"/>
        <v/>
      </c>
      <c r="CD97" s="385" t="str">
        <f t="shared" si="106"/>
        <v/>
      </c>
      <c r="CE97" s="385" t="str">
        <f t="shared" si="107"/>
        <v/>
      </c>
      <c r="CF97" s="385" t="str">
        <f t="shared" si="108"/>
        <v/>
      </c>
      <c r="CG97" s="385" t="str">
        <f t="shared" si="109"/>
        <v/>
      </c>
      <c r="CH97" s="385" t="str">
        <f t="shared" si="110"/>
        <v/>
      </c>
      <c r="CI97" s="385" t="str">
        <f t="shared" si="111"/>
        <v/>
      </c>
      <c r="CJ97" s="385" t="str">
        <f t="shared" si="112"/>
        <v/>
      </c>
      <c r="CK97" s="385" t="str">
        <f t="shared" si="113"/>
        <v/>
      </c>
      <c r="CL97" s="385" t="str">
        <f t="shared" si="114"/>
        <v/>
      </c>
      <c r="CM97" s="385" t="str">
        <f t="shared" si="115"/>
        <v/>
      </c>
      <c r="CN97" s="385" t="str">
        <f t="shared" si="116"/>
        <v/>
      </c>
      <c r="CO97" s="385" t="str">
        <f t="shared" si="117"/>
        <v/>
      </c>
      <c r="CP97" s="385" t="str">
        <f t="shared" si="118"/>
        <v/>
      </c>
      <c r="CQ97" s="385" t="str">
        <f t="shared" si="119"/>
        <v/>
      </c>
      <c r="CR97" s="385" t="str">
        <f t="shared" si="120"/>
        <v/>
      </c>
      <c r="CS97" s="385" t="str">
        <f t="shared" si="121"/>
        <v/>
      </c>
      <c r="CT97" s="385" t="str">
        <f t="shared" si="122"/>
        <v/>
      </c>
      <c r="CU97" s="385" t="str">
        <f t="shared" si="123"/>
        <v/>
      </c>
      <c r="CV97" s="385" t="str">
        <f t="shared" si="124"/>
        <v/>
      </c>
      <c r="CW97" s="385" t="str">
        <f t="shared" si="125"/>
        <v/>
      </c>
      <c r="CX97" s="385" t="str">
        <f t="shared" si="126"/>
        <v/>
      </c>
      <c r="CY97" s="385" t="str">
        <f t="shared" si="127"/>
        <v/>
      </c>
      <c r="CZ97" s="385" t="str">
        <f t="shared" si="128"/>
        <v/>
      </c>
      <c r="DA97" s="385" t="str">
        <f t="shared" si="129"/>
        <v/>
      </c>
      <c r="DB97" s="385" t="str">
        <f t="shared" si="130"/>
        <v/>
      </c>
      <c r="DC97" s="385" t="str">
        <f t="shared" si="131"/>
        <v/>
      </c>
      <c r="DD97" s="385" t="str">
        <f t="shared" si="132"/>
        <v/>
      </c>
      <c r="DE97" s="385" t="str">
        <f t="shared" si="133"/>
        <v/>
      </c>
      <c r="DF97" s="385" t="str">
        <f t="shared" si="134"/>
        <v/>
      </c>
      <c r="DG97" s="385" t="str">
        <f t="shared" si="135"/>
        <v/>
      </c>
      <c r="DH97" s="385" t="str">
        <f t="shared" si="136"/>
        <v/>
      </c>
      <c r="DI97" s="385" t="str">
        <f t="shared" si="137"/>
        <v/>
      </c>
    </row>
    <row r="98" spans="1:113" ht="66" x14ac:dyDescent="0.35">
      <c r="A98" s="21" t="s">
        <v>1228</v>
      </c>
      <c r="B98" s="396">
        <f>'Appoggio_BIA Servizio'!$B$5</f>
        <v>0</v>
      </c>
      <c r="C98" s="392" t="s">
        <v>1221</v>
      </c>
      <c r="D98" s="392" t="s">
        <v>1229</v>
      </c>
      <c r="E98" s="393" t="s">
        <v>1230</v>
      </c>
      <c r="F98" s="240" t="s">
        <v>654</v>
      </c>
      <c r="G98" s="240" t="s">
        <v>655</v>
      </c>
      <c r="H98" s="240" t="s">
        <v>655</v>
      </c>
      <c r="I98" s="240">
        <v>1</v>
      </c>
      <c r="J98" s="240">
        <v>1</v>
      </c>
      <c r="K98" s="240">
        <v>1</v>
      </c>
      <c r="L98" s="394"/>
      <c r="M98" s="240"/>
      <c r="N98" s="240">
        <v>1</v>
      </c>
      <c r="O98" s="394"/>
      <c r="P98" s="394"/>
      <c r="Q98" s="240"/>
      <c r="R98" s="394"/>
      <c r="S98" s="394"/>
      <c r="T98" s="394"/>
      <c r="U98" s="394"/>
      <c r="V98" s="394"/>
      <c r="W98" s="394"/>
      <c r="X98" s="394"/>
      <c r="Y98" s="394"/>
      <c r="Z98" s="394"/>
      <c r="AA98" s="394"/>
      <c r="AB98" s="240"/>
      <c r="AC98" s="394"/>
      <c r="AD98" s="394"/>
      <c r="AE98" s="395"/>
      <c r="AF98" s="395"/>
      <c r="AG98" s="395"/>
      <c r="AH98" s="395"/>
      <c r="AI98" s="395"/>
      <c r="AJ98" s="395"/>
      <c r="AK98" s="395"/>
      <c r="AL98" s="395"/>
      <c r="AM98" s="395"/>
      <c r="AN98" s="395"/>
      <c r="AO98" s="395"/>
      <c r="AP98" s="395"/>
      <c r="AQ98" s="395"/>
      <c r="AR98" s="395"/>
      <c r="AS98" s="395"/>
      <c r="AT98" s="395"/>
      <c r="AU98" s="395"/>
      <c r="AV98" s="395"/>
      <c r="AW98" s="395"/>
      <c r="AX98" s="395"/>
      <c r="AY98" s="395"/>
      <c r="AZ98" s="395">
        <v>1</v>
      </c>
      <c r="BA98" s="395"/>
      <c r="BB98" s="395"/>
      <c r="BC98" s="395"/>
      <c r="BD98" s="395"/>
      <c r="BE98" s="395"/>
      <c r="BF98" s="225">
        <f t="shared" si="92"/>
        <v>0</v>
      </c>
      <c r="BG98" s="226" t="str">
        <f t="shared" si="93"/>
        <v>Non Applicabile</v>
      </c>
      <c r="BH98" s="226" t="s">
        <v>693</v>
      </c>
      <c r="BI98" s="228"/>
      <c r="BJ98" s="229"/>
      <c r="BK98" s="227"/>
      <c r="BL98" s="324" t="s">
        <v>1231</v>
      </c>
      <c r="BM98" s="324" t="s">
        <v>1232</v>
      </c>
      <c r="BN98" s="324" t="s">
        <v>1233</v>
      </c>
      <c r="BO98" s="330"/>
      <c r="BP98" s="385" t="str">
        <f>IF(G98="X",
   IF(BG98="Applicabile",
      IF(BJ98&lt;&gt;"",
         _xlfn.XLOOKUP($BJ98,Parametri_RA!$B:$B,Parametri_RA!$D:$D,0),
         0),
      ""),
   "")</f>
        <v/>
      </c>
      <c r="BQ98" s="385" t="str">
        <f>IF(H98="X",
   IF(BG98="Applicabile",
      IF(BJ98&lt;&gt;"",
         _xlfn.XLOOKUP($BJ98,Parametri_RA!$B:$B,Parametri_RA!$D:$D,0),
         0),
      ""),
   "")</f>
        <v/>
      </c>
      <c r="BR98" s="385" t="str">
        <f t="shared" si="94"/>
        <v/>
      </c>
      <c r="BS98" s="385" t="str">
        <f t="shared" si="95"/>
        <v/>
      </c>
      <c r="BT98" s="385" t="str">
        <f t="shared" si="96"/>
        <v/>
      </c>
      <c r="BU98" s="385" t="str">
        <f t="shared" si="97"/>
        <v/>
      </c>
      <c r="BV98" s="385" t="str">
        <f t="shared" si="98"/>
        <v/>
      </c>
      <c r="BW98" s="385" t="str">
        <f t="shared" si="99"/>
        <v/>
      </c>
      <c r="BX98" s="385" t="str">
        <f t="shared" si="100"/>
        <v/>
      </c>
      <c r="BY98" s="385" t="str">
        <f t="shared" si="101"/>
        <v/>
      </c>
      <c r="BZ98" s="385" t="str">
        <f t="shared" si="102"/>
        <v/>
      </c>
      <c r="CA98" s="385" t="str">
        <f t="shared" si="103"/>
        <v/>
      </c>
      <c r="CB98" s="385" t="str">
        <f t="shared" si="104"/>
        <v/>
      </c>
      <c r="CC98" s="385" t="str">
        <f t="shared" si="105"/>
        <v/>
      </c>
      <c r="CD98" s="385" t="str">
        <f t="shared" si="106"/>
        <v/>
      </c>
      <c r="CE98" s="385" t="str">
        <f t="shared" si="107"/>
        <v/>
      </c>
      <c r="CF98" s="385" t="str">
        <f t="shared" si="108"/>
        <v/>
      </c>
      <c r="CG98" s="385" t="str">
        <f t="shared" si="109"/>
        <v/>
      </c>
      <c r="CH98" s="385" t="str">
        <f t="shared" si="110"/>
        <v/>
      </c>
      <c r="CI98" s="385" t="str">
        <f t="shared" si="111"/>
        <v/>
      </c>
      <c r="CJ98" s="385" t="str">
        <f t="shared" si="112"/>
        <v/>
      </c>
      <c r="CK98" s="385" t="str">
        <f t="shared" si="113"/>
        <v/>
      </c>
      <c r="CL98" s="385" t="str">
        <f t="shared" si="114"/>
        <v/>
      </c>
      <c r="CM98" s="385" t="str">
        <f t="shared" si="115"/>
        <v/>
      </c>
      <c r="CN98" s="385" t="str">
        <f t="shared" si="116"/>
        <v/>
      </c>
      <c r="CO98" s="385" t="str">
        <f t="shared" si="117"/>
        <v/>
      </c>
      <c r="CP98" s="385" t="str">
        <f t="shared" si="118"/>
        <v/>
      </c>
      <c r="CQ98" s="385" t="str">
        <f t="shared" si="119"/>
        <v/>
      </c>
      <c r="CR98" s="385" t="str">
        <f t="shared" si="120"/>
        <v/>
      </c>
      <c r="CS98" s="385" t="str">
        <f t="shared" si="121"/>
        <v/>
      </c>
      <c r="CT98" s="385" t="str">
        <f t="shared" si="122"/>
        <v/>
      </c>
      <c r="CU98" s="385" t="str">
        <f t="shared" si="123"/>
        <v/>
      </c>
      <c r="CV98" s="385" t="str">
        <f t="shared" si="124"/>
        <v/>
      </c>
      <c r="CW98" s="385" t="str">
        <f t="shared" si="125"/>
        <v/>
      </c>
      <c r="CX98" s="385" t="str">
        <f t="shared" si="126"/>
        <v/>
      </c>
      <c r="CY98" s="385" t="str">
        <f t="shared" si="127"/>
        <v/>
      </c>
      <c r="CZ98" s="385" t="str">
        <f t="shared" si="128"/>
        <v/>
      </c>
      <c r="DA98" s="385" t="str">
        <f t="shared" si="129"/>
        <v/>
      </c>
      <c r="DB98" s="385" t="str">
        <f t="shared" si="130"/>
        <v/>
      </c>
      <c r="DC98" s="385" t="str">
        <f t="shared" si="131"/>
        <v/>
      </c>
      <c r="DD98" s="385" t="str">
        <f t="shared" si="132"/>
        <v/>
      </c>
      <c r="DE98" s="385" t="str">
        <f t="shared" si="133"/>
        <v/>
      </c>
      <c r="DF98" s="385" t="str">
        <f t="shared" si="134"/>
        <v/>
      </c>
      <c r="DG98" s="385" t="str">
        <f t="shared" si="135"/>
        <v/>
      </c>
      <c r="DH98" s="385" t="str">
        <f t="shared" si="136"/>
        <v/>
      </c>
      <c r="DI98" s="385" t="str">
        <f t="shared" si="137"/>
        <v/>
      </c>
    </row>
    <row r="99" spans="1:113" ht="68" x14ac:dyDescent="0.35">
      <c r="A99" s="21"/>
      <c r="B99" s="396">
        <f>'Appoggio_BIA Servizio'!$B$5</f>
        <v>0</v>
      </c>
      <c r="C99" s="392" t="s">
        <v>1221</v>
      </c>
      <c r="D99" s="392" t="s">
        <v>1234</v>
      </c>
      <c r="E99" s="393" t="s">
        <v>1235</v>
      </c>
      <c r="F99" s="240" t="s">
        <v>654</v>
      </c>
      <c r="G99" s="398"/>
      <c r="H99" s="240" t="s">
        <v>655</v>
      </c>
      <c r="I99" s="240">
        <v>1</v>
      </c>
      <c r="J99" s="240">
        <v>1</v>
      </c>
      <c r="K99" s="240">
        <v>1</v>
      </c>
      <c r="L99" s="394"/>
      <c r="M99" s="240"/>
      <c r="N99" s="240">
        <v>1</v>
      </c>
      <c r="O99" s="394"/>
      <c r="P99" s="394"/>
      <c r="Q99" s="240"/>
      <c r="R99" s="394"/>
      <c r="S99" s="394"/>
      <c r="T99" s="394"/>
      <c r="U99" s="394"/>
      <c r="V99" s="394"/>
      <c r="W99" s="394"/>
      <c r="X99" s="394"/>
      <c r="Y99" s="394"/>
      <c r="Z99" s="394"/>
      <c r="AA99" s="394"/>
      <c r="AB99" s="240"/>
      <c r="AC99" s="394"/>
      <c r="AD99" s="394"/>
      <c r="AE99" s="395"/>
      <c r="AF99" s="395"/>
      <c r="AG99" s="395"/>
      <c r="AH99" s="395"/>
      <c r="AI99" s="395"/>
      <c r="AJ99" s="395"/>
      <c r="AK99" s="395"/>
      <c r="AL99" s="395"/>
      <c r="AM99" s="395"/>
      <c r="AN99" s="395"/>
      <c r="AO99" s="395"/>
      <c r="AP99" s="395"/>
      <c r="AQ99" s="395"/>
      <c r="AR99" s="395"/>
      <c r="AS99" s="395"/>
      <c r="AT99" s="395"/>
      <c r="AU99" s="395"/>
      <c r="AV99" s="395"/>
      <c r="AW99" s="395"/>
      <c r="AX99" s="395"/>
      <c r="AY99" s="395"/>
      <c r="AZ99" s="395">
        <v>1</v>
      </c>
      <c r="BA99" s="395"/>
      <c r="BB99" s="395"/>
      <c r="BC99" s="395"/>
      <c r="BD99" s="395"/>
      <c r="BE99" s="395"/>
      <c r="BF99" s="225">
        <f t="shared" si="92"/>
        <v>0</v>
      </c>
      <c r="BG99" s="226" t="str">
        <f t="shared" si="93"/>
        <v>Non Applicabile</v>
      </c>
      <c r="BH99" s="226" t="s">
        <v>1236</v>
      </c>
      <c r="BI99" s="325"/>
      <c r="BJ99" s="229"/>
      <c r="BK99" s="227"/>
      <c r="BL99" s="324" t="s">
        <v>1237</v>
      </c>
      <c r="BM99" s="324" t="s">
        <v>1238</v>
      </c>
      <c r="BN99" s="324" t="s">
        <v>1239</v>
      </c>
      <c r="BO99" s="330"/>
      <c r="BP99" s="385" t="str">
        <f>IF(G99="X",
   IF(BG99="Applicabile",
      IF(BJ99&lt;&gt;"",
         _xlfn.XLOOKUP($BJ99,Parametri_RA!$B:$B,Parametri_RA!$D:$D,0),
         0),
      ""),
   "")</f>
        <v/>
      </c>
      <c r="BQ99" s="385" t="str">
        <f>IF(H99="X",
   IF(BG99="Applicabile",
      IF(BJ99&lt;&gt;"",
         _xlfn.XLOOKUP($BJ99,Parametri_RA!$B:$B,Parametri_RA!$D:$D,0),
         0),
      ""),
   "")</f>
        <v/>
      </c>
      <c r="BR99" s="385" t="str">
        <f t="shared" si="94"/>
        <v/>
      </c>
      <c r="BS99" s="385" t="str">
        <f t="shared" si="95"/>
        <v/>
      </c>
      <c r="BT99" s="385" t="str">
        <f t="shared" si="96"/>
        <v/>
      </c>
      <c r="BU99" s="385" t="str">
        <f t="shared" si="97"/>
        <v/>
      </c>
      <c r="BV99" s="385" t="str">
        <f t="shared" si="98"/>
        <v/>
      </c>
      <c r="BW99" s="385" t="str">
        <f t="shared" si="99"/>
        <v/>
      </c>
      <c r="BX99" s="385" t="str">
        <f t="shared" si="100"/>
        <v/>
      </c>
      <c r="BY99" s="385" t="str">
        <f t="shared" si="101"/>
        <v/>
      </c>
      <c r="BZ99" s="385" t="str">
        <f t="shared" si="102"/>
        <v/>
      </c>
      <c r="CA99" s="385" t="str">
        <f t="shared" si="103"/>
        <v/>
      </c>
      <c r="CB99" s="385" t="str">
        <f t="shared" si="104"/>
        <v/>
      </c>
      <c r="CC99" s="385" t="str">
        <f t="shared" si="105"/>
        <v/>
      </c>
      <c r="CD99" s="385" t="str">
        <f t="shared" si="106"/>
        <v/>
      </c>
      <c r="CE99" s="385" t="str">
        <f t="shared" si="107"/>
        <v/>
      </c>
      <c r="CF99" s="385" t="str">
        <f t="shared" si="108"/>
        <v/>
      </c>
      <c r="CG99" s="385" t="str">
        <f t="shared" si="109"/>
        <v/>
      </c>
      <c r="CH99" s="385" t="str">
        <f t="shared" si="110"/>
        <v/>
      </c>
      <c r="CI99" s="385" t="str">
        <f t="shared" si="111"/>
        <v/>
      </c>
      <c r="CJ99" s="385" t="str">
        <f t="shared" si="112"/>
        <v/>
      </c>
      <c r="CK99" s="385" t="str">
        <f t="shared" si="113"/>
        <v/>
      </c>
      <c r="CL99" s="385" t="str">
        <f t="shared" si="114"/>
        <v/>
      </c>
      <c r="CM99" s="385" t="str">
        <f t="shared" si="115"/>
        <v/>
      </c>
      <c r="CN99" s="385" t="str">
        <f t="shared" si="116"/>
        <v/>
      </c>
      <c r="CO99" s="385" t="str">
        <f t="shared" si="117"/>
        <v/>
      </c>
      <c r="CP99" s="385" t="str">
        <f t="shared" si="118"/>
        <v/>
      </c>
      <c r="CQ99" s="385" t="str">
        <f t="shared" si="119"/>
        <v/>
      </c>
      <c r="CR99" s="385" t="str">
        <f t="shared" si="120"/>
        <v/>
      </c>
      <c r="CS99" s="385" t="str">
        <f t="shared" si="121"/>
        <v/>
      </c>
      <c r="CT99" s="385" t="str">
        <f t="shared" si="122"/>
        <v/>
      </c>
      <c r="CU99" s="385" t="str">
        <f t="shared" si="123"/>
        <v/>
      </c>
      <c r="CV99" s="385" t="str">
        <f t="shared" si="124"/>
        <v/>
      </c>
      <c r="CW99" s="385" t="str">
        <f t="shared" si="125"/>
        <v/>
      </c>
      <c r="CX99" s="385" t="str">
        <f t="shared" si="126"/>
        <v/>
      </c>
      <c r="CY99" s="385" t="str">
        <f t="shared" si="127"/>
        <v/>
      </c>
      <c r="CZ99" s="385" t="str">
        <f t="shared" si="128"/>
        <v/>
      </c>
      <c r="DA99" s="385" t="str">
        <f t="shared" si="129"/>
        <v/>
      </c>
      <c r="DB99" s="385" t="str">
        <f t="shared" si="130"/>
        <v/>
      </c>
      <c r="DC99" s="385" t="str">
        <f t="shared" si="131"/>
        <v/>
      </c>
      <c r="DD99" s="385" t="str">
        <f t="shared" si="132"/>
        <v/>
      </c>
      <c r="DE99" s="385" t="str">
        <f t="shared" si="133"/>
        <v/>
      </c>
      <c r="DF99" s="385" t="str">
        <f t="shared" si="134"/>
        <v/>
      </c>
      <c r="DG99" s="385" t="str">
        <f t="shared" si="135"/>
        <v/>
      </c>
      <c r="DH99" s="385" t="str">
        <f t="shared" si="136"/>
        <v/>
      </c>
      <c r="DI99" s="385" t="str">
        <f t="shared" si="137"/>
        <v/>
      </c>
    </row>
    <row r="100" spans="1:113" ht="68" x14ac:dyDescent="0.35">
      <c r="A100" s="21"/>
      <c r="B100" s="396">
        <f>'Appoggio_BIA Servizio'!$B$5</f>
        <v>0</v>
      </c>
      <c r="C100" s="392" t="s">
        <v>1221</v>
      </c>
      <c r="D100" s="392" t="s">
        <v>1240</v>
      </c>
      <c r="E100" s="393" t="s">
        <v>1241</v>
      </c>
      <c r="F100" s="240" t="s">
        <v>671</v>
      </c>
      <c r="G100" s="398"/>
      <c r="H100" s="240" t="s">
        <v>655</v>
      </c>
      <c r="I100" s="240">
        <v>0.7</v>
      </c>
      <c r="J100" s="240">
        <v>0.7</v>
      </c>
      <c r="K100" s="240">
        <v>0.4</v>
      </c>
      <c r="L100" s="394"/>
      <c r="M100" s="240"/>
      <c r="N100" s="240">
        <v>0.4</v>
      </c>
      <c r="O100" s="394"/>
      <c r="P100" s="394"/>
      <c r="Q100" s="240"/>
      <c r="R100" s="394"/>
      <c r="S100" s="394"/>
      <c r="T100" s="394"/>
      <c r="U100" s="394"/>
      <c r="V100" s="394"/>
      <c r="W100" s="394"/>
      <c r="X100" s="394">
        <v>0.7</v>
      </c>
      <c r="Y100" s="394">
        <v>0.7</v>
      </c>
      <c r="Z100" s="394"/>
      <c r="AA100" s="394"/>
      <c r="AB100" s="240"/>
      <c r="AC100" s="394"/>
      <c r="AD100" s="394"/>
      <c r="AE100" s="395"/>
      <c r="AF100" s="395"/>
      <c r="AG100" s="395"/>
      <c r="AH100" s="395"/>
      <c r="AI100" s="395"/>
      <c r="AJ100" s="395"/>
      <c r="AK100" s="395"/>
      <c r="AL100" s="395"/>
      <c r="AM100" s="395"/>
      <c r="AN100" s="395"/>
      <c r="AO100" s="395"/>
      <c r="AP100" s="395"/>
      <c r="AQ100" s="395"/>
      <c r="AR100" s="395"/>
      <c r="AS100" s="395"/>
      <c r="AT100" s="395"/>
      <c r="AU100" s="395"/>
      <c r="AV100" s="395"/>
      <c r="AW100" s="395"/>
      <c r="AX100" s="395"/>
      <c r="AY100" s="395"/>
      <c r="AZ100" s="395">
        <v>1</v>
      </c>
      <c r="BA100" s="395"/>
      <c r="BB100" s="395"/>
      <c r="BC100" s="395"/>
      <c r="BD100" s="395"/>
      <c r="BE100" s="395"/>
      <c r="BF100" s="225">
        <f t="shared" si="92"/>
        <v>0</v>
      </c>
      <c r="BG100" s="226" t="str">
        <f t="shared" si="93"/>
        <v>Non Applicabile</v>
      </c>
      <c r="BH100" s="226" t="s">
        <v>693</v>
      </c>
      <c r="BI100" s="325"/>
      <c r="BJ100" s="229"/>
      <c r="BK100" s="227"/>
      <c r="BL100" s="324" t="s">
        <v>1242</v>
      </c>
      <c r="BM100" s="324" t="s">
        <v>1243</v>
      </c>
      <c r="BN100" s="324" t="s">
        <v>1244</v>
      </c>
      <c r="BO100" s="330"/>
      <c r="BP100" s="385" t="str">
        <f>IF(G100="X",
   IF(BG100="Applicabile",
      IF(BJ100&lt;&gt;"",
         _xlfn.XLOOKUP($BJ100,Parametri_RA!$B:$B,Parametri_RA!$D:$D,0),
         0),
      ""),
   "")</f>
        <v/>
      </c>
      <c r="BQ100" s="385" t="str">
        <f>IF(H100="X",
   IF(BG100="Applicabile",
      IF(BJ100&lt;&gt;"",
         _xlfn.XLOOKUP($BJ100,Parametri_RA!$B:$B,Parametri_RA!$D:$D,0),
         0),
      ""),
   "")</f>
        <v/>
      </c>
      <c r="BR100" s="385" t="str">
        <f t="shared" si="94"/>
        <v/>
      </c>
      <c r="BS100" s="385" t="str">
        <f t="shared" si="95"/>
        <v/>
      </c>
      <c r="BT100" s="385" t="str">
        <f t="shared" si="96"/>
        <v/>
      </c>
      <c r="BU100" s="385" t="str">
        <f t="shared" si="97"/>
        <v/>
      </c>
      <c r="BV100" s="385" t="str">
        <f t="shared" si="98"/>
        <v/>
      </c>
      <c r="BW100" s="385" t="str">
        <f t="shared" si="99"/>
        <v/>
      </c>
      <c r="BX100" s="385" t="str">
        <f t="shared" si="100"/>
        <v/>
      </c>
      <c r="BY100" s="385" t="str">
        <f t="shared" si="101"/>
        <v/>
      </c>
      <c r="BZ100" s="385" t="str">
        <f t="shared" si="102"/>
        <v/>
      </c>
      <c r="CA100" s="385" t="str">
        <f t="shared" si="103"/>
        <v/>
      </c>
      <c r="CB100" s="385" t="str">
        <f t="shared" si="104"/>
        <v/>
      </c>
      <c r="CC100" s="385" t="str">
        <f t="shared" si="105"/>
        <v/>
      </c>
      <c r="CD100" s="385" t="str">
        <f t="shared" si="106"/>
        <v/>
      </c>
      <c r="CE100" s="385" t="str">
        <f t="shared" si="107"/>
        <v/>
      </c>
      <c r="CF100" s="385" t="str">
        <f t="shared" si="108"/>
        <v/>
      </c>
      <c r="CG100" s="385" t="str">
        <f t="shared" si="109"/>
        <v/>
      </c>
      <c r="CH100" s="385" t="str">
        <f t="shared" si="110"/>
        <v/>
      </c>
      <c r="CI100" s="385" t="str">
        <f t="shared" si="111"/>
        <v/>
      </c>
      <c r="CJ100" s="385" t="str">
        <f t="shared" si="112"/>
        <v/>
      </c>
      <c r="CK100" s="385" t="str">
        <f t="shared" si="113"/>
        <v/>
      </c>
      <c r="CL100" s="385" t="str">
        <f t="shared" si="114"/>
        <v/>
      </c>
      <c r="CM100" s="385" t="str">
        <f t="shared" si="115"/>
        <v/>
      </c>
      <c r="CN100" s="385" t="str">
        <f t="shared" si="116"/>
        <v/>
      </c>
      <c r="CO100" s="385" t="str">
        <f t="shared" si="117"/>
        <v/>
      </c>
      <c r="CP100" s="385" t="str">
        <f t="shared" si="118"/>
        <v/>
      </c>
      <c r="CQ100" s="385" t="str">
        <f t="shared" si="119"/>
        <v/>
      </c>
      <c r="CR100" s="385" t="str">
        <f t="shared" si="120"/>
        <v/>
      </c>
      <c r="CS100" s="385" t="str">
        <f t="shared" si="121"/>
        <v/>
      </c>
      <c r="CT100" s="385" t="str">
        <f t="shared" si="122"/>
        <v/>
      </c>
      <c r="CU100" s="385" t="str">
        <f t="shared" si="123"/>
        <v/>
      </c>
      <c r="CV100" s="385" t="str">
        <f t="shared" si="124"/>
        <v/>
      </c>
      <c r="CW100" s="385" t="str">
        <f t="shared" si="125"/>
        <v/>
      </c>
      <c r="CX100" s="385" t="str">
        <f t="shared" si="126"/>
        <v/>
      </c>
      <c r="CY100" s="385" t="str">
        <f t="shared" si="127"/>
        <v/>
      </c>
      <c r="CZ100" s="385" t="str">
        <f t="shared" si="128"/>
        <v/>
      </c>
      <c r="DA100" s="385" t="str">
        <f t="shared" si="129"/>
        <v/>
      </c>
      <c r="DB100" s="385" t="str">
        <f t="shared" si="130"/>
        <v/>
      </c>
      <c r="DC100" s="385" t="str">
        <f t="shared" si="131"/>
        <v/>
      </c>
      <c r="DD100" s="385" t="str">
        <f t="shared" si="132"/>
        <v/>
      </c>
      <c r="DE100" s="385" t="str">
        <f t="shared" si="133"/>
        <v/>
      </c>
      <c r="DF100" s="385" t="str">
        <f t="shared" si="134"/>
        <v/>
      </c>
      <c r="DG100" s="385" t="str">
        <f t="shared" si="135"/>
        <v/>
      </c>
      <c r="DH100" s="385" t="str">
        <f t="shared" si="136"/>
        <v/>
      </c>
      <c r="DI100" s="385" t="str">
        <f t="shared" si="137"/>
        <v/>
      </c>
    </row>
    <row r="101" spans="1:113" ht="51" x14ac:dyDescent="0.35">
      <c r="A101" s="21" t="s">
        <v>1245</v>
      </c>
      <c r="B101" s="396">
        <f>'Appoggio_BIA Servizio'!$B$5</f>
        <v>0</v>
      </c>
      <c r="C101" s="392" t="s">
        <v>1221</v>
      </c>
      <c r="D101" s="392" t="s">
        <v>1246</v>
      </c>
      <c r="E101" s="393" t="s">
        <v>1247</v>
      </c>
      <c r="F101" s="240" t="s">
        <v>671</v>
      </c>
      <c r="G101" s="240" t="s">
        <v>655</v>
      </c>
      <c r="H101" s="240" t="s">
        <v>655</v>
      </c>
      <c r="I101" s="240">
        <v>0.7</v>
      </c>
      <c r="J101" s="240">
        <v>0.7</v>
      </c>
      <c r="K101" s="240"/>
      <c r="L101" s="394"/>
      <c r="M101" s="240"/>
      <c r="N101" s="240">
        <v>1</v>
      </c>
      <c r="O101" s="394"/>
      <c r="P101" s="394"/>
      <c r="Q101" s="240"/>
      <c r="R101" s="394">
        <v>0.4</v>
      </c>
      <c r="S101" s="394">
        <v>0.4</v>
      </c>
      <c r="T101" s="394"/>
      <c r="U101" s="394"/>
      <c r="V101" s="394"/>
      <c r="W101" s="394"/>
      <c r="X101" s="394"/>
      <c r="Y101" s="394"/>
      <c r="Z101" s="394"/>
      <c r="AA101" s="394"/>
      <c r="AB101" s="240"/>
      <c r="AC101" s="394"/>
      <c r="AD101" s="394"/>
      <c r="AE101" s="395"/>
      <c r="AF101" s="395"/>
      <c r="AG101" s="395"/>
      <c r="AH101" s="395"/>
      <c r="AI101" s="395"/>
      <c r="AJ101" s="395"/>
      <c r="AK101" s="395"/>
      <c r="AL101" s="395"/>
      <c r="AM101" s="395"/>
      <c r="AN101" s="395"/>
      <c r="AO101" s="395"/>
      <c r="AP101" s="395"/>
      <c r="AQ101" s="395"/>
      <c r="AR101" s="395"/>
      <c r="AS101" s="395"/>
      <c r="AT101" s="395"/>
      <c r="AU101" s="395"/>
      <c r="AV101" s="395"/>
      <c r="AW101" s="395"/>
      <c r="AX101" s="395"/>
      <c r="AY101" s="395"/>
      <c r="AZ101" s="395">
        <v>1</v>
      </c>
      <c r="BA101" s="395"/>
      <c r="BB101" s="395"/>
      <c r="BC101" s="395"/>
      <c r="BD101" s="395"/>
      <c r="BE101" s="395"/>
      <c r="BF101" s="225">
        <f t="shared" si="92"/>
        <v>0</v>
      </c>
      <c r="BG101" s="226" t="str">
        <f t="shared" si="93"/>
        <v>Non Applicabile</v>
      </c>
      <c r="BH101" s="226" t="s">
        <v>693</v>
      </c>
      <c r="BI101" s="226"/>
      <c r="BJ101" s="229"/>
      <c r="BK101" s="227"/>
      <c r="BL101" s="324" t="s">
        <v>1248</v>
      </c>
      <c r="BM101" s="324" t="s">
        <v>1249</v>
      </c>
      <c r="BN101" s="324" t="s">
        <v>1250</v>
      </c>
      <c r="BO101" s="330"/>
      <c r="BP101" s="385" t="str">
        <f>IF(G101="X",
   IF(BG101="Applicabile",
      IF(BJ101&lt;&gt;"",
         _xlfn.XLOOKUP($BJ101,Parametri_RA!$B:$B,Parametri_RA!$D:$D,0),
         0),
      ""),
   "")</f>
        <v/>
      </c>
      <c r="BQ101" s="385" t="str">
        <f>IF(H101="X",
   IF(BG101="Applicabile",
      IF(BJ101&lt;&gt;"",
         _xlfn.XLOOKUP($BJ101,Parametri_RA!$B:$B,Parametri_RA!$D:$D,0),
         0),
      ""),
   "")</f>
        <v/>
      </c>
      <c r="BR101" s="385" t="str">
        <f t="shared" si="94"/>
        <v/>
      </c>
      <c r="BS101" s="385" t="str">
        <f t="shared" si="95"/>
        <v/>
      </c>
      <c r="BT101" s="385" t="str">
        <f t="shared" si="96"/>
        <v/>
      </c>
      <c r="BU101" s="385" t="str">
        <f t="shared" si="97"/>
        <v/>
      </c>
      <c r="BV101" s="385" t="str">
        <f t="shared" si="98"/>
        <v/>
      </c>
      <c r="BW101" s="385" t="str">
        <f t="shared" si="99"/>
        <v/>
      </c>
      <c r="BX101" s="385" t="str">
        <f t="shared" si="100"/>
        <v/>
      </c>
      <c r="BY101" s="385" t="str">
        <f t="shared" si="101"/>
        <v/>
      </c>
      <c r="BZ101" s="385" t="str">
        <f t="shared" si="102"/>
        <v/>
      </c>
      <c r="CA101" s="385" t="str">
        <f t="shared" si="103"/>
        <v/>
      </c>
      <c r="CB101" s="385" t="str">
        <f t="shared" si="104"/>
        <v/>
      </c>
      <c r="CC101" s="385" t="str">
        <f t="shared" si="105"/>
        <v/>
      </c>
      <c r="CD101" s="385" t="str">
        <f t="shared" si="106"/>
        <v/>
      </c>
      <c r="CE101" s="385" t="str">
        <f t="shared" si="107"/>
        <v/>
      </c>
      <c r="CF101" s="385" t="str">
        <f t="shared" si="108"/>
        <v/>
      </c>
      <c r="CG101" s="385" t="str">
        <f t="shared" si="109"/>
        <v/>
      </c>
      <c r="CH101" s="385" t="str">
        <f t="shared" si="110"/>
        <v/>
      </c>
      <c r="CI101" s="385" t="str">
        <f t="shared" si="111"/>
        <v/>
      </c>
      <c r="CJ101" s="385" t="str">
        <f t="shared" si="112"/>
        <v/>
      </c>
      <c r="CK101" s="385" t="str">
        <f t="shared" si="113"/>
        <v/>
      </c>
      <c r="CL101" s="385" t="str">
        <f t="shared" si="114"/>
        <v/>
      </c>
      <c r="CM101" s="385" t="str">
        <f t="shared" si="115"/>
        <v/>
      </c>
      <c r="CN101" s="385" t="str">
        <f t="shared" si="116"/>
        <v/>
      </c>
      <c r="CO101" s="385" t="str">
        <f t="shared" si="117"/>
        <v/>
      </c>
      <c r="CP101" s="385" t="str">
        <f t="shared" si="118"/>
        <v/>
      </c>
      <c r="CQ101" s="385" t="str">
        <f t="shared" si="119"/>
        <v/>
      </c>
      <c r="CR101" s="385" t="str">
        <f t="shared" si="120"/>
        <v/>
      </c>
      <c r="CS101" s="385" t="str">
        <f t="shared" si="121"/>
        <v/>
      </c>
      <c r="CT101" s="385" t="str">
        <f t="shared" si="122"/>
        <v/>
      </c>
      <c r="CU101" s="385" t="str">
        <f t="shared" si="123"/>
        <v/>
      </c>
      <c r="CV101" s="385" t="str">
        <f t="shared" si="124"/>
        <v/>
      </c>
      <c r="CW101" s="385" t="str">
        <f t="shared" si="125"/>
        <v/>
      </c>
      <c r="CX101" s="385" t="str">
        <f t="shared" si="126"/>
        <v/>
      </c>
      <c r="CY101" s="385" t="str">
        <f t="shared" si="127"/>
        <v/>
      </c>
      <c r="CZ101" s="385" t="str">
        <f t="shared" si="128"/>
        <v/>
      </c>
      <c r="DA101" s="385" t="str">
        <f t="shared" si="129"/>
        <v/>
      </c>
      <c r="DB101" s="385" t="str">
        <f t="shared" si="130"/>
        <v/>
      </c>
      <c r="DC101" s="385" t="str">
        <f t="shared" si="131"/>
        <v/>
      </c>
      <c r="DD101" s="385" t="str">
        <f t="shared" si="132"/>
        <v/>
      </c>
      <c r="DE101" s="385" t="str">
        <f t="shared" si="133"/>
        <v/>
      </c>
      <c r="DF101" s="385" t="str">
        <f t="shared" si="134"/>
        <v/>
      </c>
      <c r="DG101" s="385" t="str">
        <f t="shared" si="135"/>
        <v/>
      </c>
      <c r="DH101" s="385" t="str">
        <f t="shared" si="136"/>
        <v/>
      </c>
      <c r="DI101" s="385" t="str">
        <f t="shared" si="137"/>
        <v/>
      </c>
    </row>
    <row r="102" spans="1:113" ht="82.5" x14ac:dyDescent="0.35">
      <c r="A102" s="21" t="s">
        <v>1251</v>
      </c>
      <c r="B102" s="396">
        <f>'Appoggio_BIA Servizio'!$B$5</f>
        <v>0</v>
      </c>
      <c r="C102" s="392" t="s">
        <v>1221</v>
      </c>
      <c r="D102" s="392" t="s">
        <v>1252</v>
      </c>
      <c r="E102" s="393" t="s">
        <v>1253</v>
      </c>
      <c r="F102" s="240" t="s">
        <v>654</v>
      </c>
      <c r="G102" s="398"/>
      <c r="H102" s="240" t="s">
        <v>655</v>
      </c>
      <c r="I102" s="240">
        <v>1</v>
      </c>
      <c r="J102" s="240">
        <v>1</v>
      </c>
      <c r="K102" s="240">
        <v>0.7</v>
      </c>
      <c r="L102" s="394"/>
      <c r="M102" s="240"/>
      <c r="N102" s="240">
        <v>0.4</v>
      </c>
      <c r="O102" s="394"/>
      <c r="P102" s="394"/>
      <c r="Q102" s="240"/>
      <c r="R102" s="394">
        <v>1</v>
      </c>
      <c r="S102" s="394">
        <v>1</v>
      </c>
      <c r="T102" s="394"/>
      <c r="U102" s="394"/>
      <c r="V102" s="394"/>
      <c r="W102" s="394"/>
      <c r="X102" s="394">
        <v>1</v>
      </c>
      <c r="Y102" s="394">
        <v>1</v>
      </c>
      <c r="Z102" s="394"/>
      <c r="AA102" s="394"/>
      <c r="AB102" s="240"/>
      <c r="AC102" s="394"/>
      <c r="AD102" s="394"/>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v>1</v>
      </c>
      <c r="BA102" s="395"/>
      <c r="BB102" s="395"/>
      <c r="BC102" s="395"/>
      <c r="BD102" s="395"/>
      <c r="BE102" s="395"/>
      <c r="BF102" s="225">
        <f t="shared" ref="BF102:BF133" si="138">SUM(IF(AE$3="Sì",AE102,0),IF(AF$3="Sì",AF102,0),IF(AG$3="Sì",AG102,0),IF(AH$3="Sì",AH102,0),IF(AI$3="Sì",AI102,0),IF(AJ$3="Sì",AJ102,0),IF(AK$3="Sì",AK102,0),IF(AL$3="Sì",AL102,0),IF(AM$3="Sì",AM102,0),IF(AN$3="Sì",AN102,0),IF(AO$3="Sì",AO102,0),IF(AP$3="Sì",AP102,0),IF(AQ$3="Sì",AQ102,0),IF(AR$3="Sì",AR102,0),IF(AS$3="Sì",AS102,0),IF(AT$3="Sì",AT102,0),IF(AU$3="Sì",AU102,0),IF(AV$3="Sì",AV102,0),IF(AW$3="Sì",AW102,0),IF(AX$3="Sì",AX102,0),IF(AY$3="Sì",AY102,0),IF(AZ$3="Sì",AZ102,0),IF(BA$3="Sì",BA102,0),IF(BB$3="Sì",BB102,0),IF(BC$3="Sì",BC102,0),IF(BD$3="Sì",BD102,0),IF(BE$3="Sì",BE102,0))</f>
        <v>0</v>
      </c>
      <c r="BG102" s="226" t="str">
        <f t="shared" ref="BG102:BG133" si="139">IF(BF102&gt;=1,"Applicabile","Non Applicabile")</f>
        <v>Non Applicabile</v>
      </c>
      <c r="BH102" s="226" t="s">
        <v>693</v>
      </c>
      <c r="BI102" s="230"/>
      <c r="BJ102" s="229"/>
      <c r="BK102" s="227"/>
      <c r="BL102" s="324" t="s">
        <v>1254</v>
      </c>
      <c r="BM102" s="324" t="s">
        <v>1255</v>
      </c>
      <c r="BN102" s="324" t="s">
        <v>1256</v>
      </c>
      <c r="BO102" s="330"/>
      <c r="BP102" s="385" t="str">
        <f>IF(G102="X",
   IF(BG102="Applicabile",
      IF(BJ102&lt;&gt;"",
         _xlfn.XLOOKUP($BJ102,Parametri_RA!$B:$B,Parametri_RA!$D:$D,0),
         0),
      ""),
   "")</f>
        <v/>
      </c>
      <c r="BQ102" s="385" t="str">
        <f>IF(H102="X",
   IF(BG102="Applicabile",
      IF(BJ102&lt;&gt;"",
         _xlfn.XLOOKUP($BJ102,Parametri_RA!$B:$B,Parametri_RA!$D:$D,0),
         0),
      ""),
   "")</f>
        <v/>
      </c>
      <c r="BR102" s="385" t="str">
        <f t="shared" si="94"/>
        <v/>
      </c>
      <c r="BS102" s="385" t="str">
        <f t="shared" si="95"/>
        <v/>
      </c>
      <c r="BT102" s="385" t="str">
        <f t="shared" si="96"/>
        <v/>
      </c>
      <c r="BU102" s="385" t="str">
        <f t="shared" si="97"/>
        <v/>
      </c>
      <c r="BV102" s="385" t="str">
        <f t="shared" si="98"/>
        <v/>
      </c>
      <c r="BW102" s="385" t="str">
        <f t="shared" si="99"/>
        <v/>
      </c>
      <c r="BX102" s="385" t="str">
        <f t="shared" si="100"/>
        <v/>
      </c>
      <c r="BY102" s="385" t="str">
        <f t="shared" si="101"/>
        <v/>
      </c>
      <c r="BZ102" s="385" t="str">
        <f t="shared" si="102"/>
        <v/>
      </c>
      <c r="CA102" s="385" t="str">
        <f t="shared" si="103"/>
        <v/>
      </c>
      <c r="CB102" s="385" t="str">
        <f t="shared" si="104"/>
        <v/>
      </c>
      <c r="CC102" s="385" t="str">
        <f t="shared" si="105"/>
        <v/>
      </c>
      <c r="CD102" s="385" t="str">
        <f t="shared" si="106"/>
        <v/>
      </c>
      <c r="CE102" s="385" t="str">
        <f t="shared" si="107"/>
        <v/>
      </c>
      <c r="CF102" s="385" t="str">
        <f t="shared" si="108"/>
        <v/>
      </c>
      <c r="CG102" s="385" t="str">
        <f t="shared" si="109"/>
        <v/>
      </c>
      <c r="CH102" s="385" t="str">
        <f t="shared" si="110"/>
        <v/>
      </c>
      <c r="CI102" s="385" t="str">
        <f t="shared" si="111"/>
        <v/>
      </c>
      <c r="CJ102" s="385" t="str">
        <f t="shared" si="112"/>
        <v/>
      </c>
      <c r="CK102" s="385" t="str">
        <f t="shared" si="113"/>
        <v/>
      </c>
      <c r="CL102" s="385" t="str">
        <f t="shared" si="114"/>
        <v/>
      </c>
      <c r="CM102" s="385" t="str">
        <f t="shared" si="115"/>
        <v/>
      </c>
      <c r="CN102" s="385" t="str">
        <f t="shared" si="116"/>
        <v/>
      </c>
      <c r="CO102" s="385" t="str">
        <f t="shared" si="117"/>
        <v/>
      </c>
      <c r="CP102" s="385" t="str">
        <f t="shared" si="118"/>
        <v/>
      </c>
      <c r="CQ102" s="385" t="str">
        <f t="shared" si="119"/>
        <v/>
      </c>
      <c r="CR102" s="385" t="str">
        <f t="shared" si="120"/>
        <v/>
      </c>
      <c r="CS102" s="385" t="str">
        <f t="shared" si="121"/>
        <v/>
      </c>
      <c r="CT102" s="385" t="str">
        <f t="shared" si="122"/>
        <v/>
      </c>
      <c r="CU102" s="385" t="str">
        <f t="shared" si="123"/>
        <v/>
      </c>
      <c r="CV102" s="385" t="str">
        <f t="shared" si="124"/>
        <v/>
      </c>
      <c r="CW102" s="385" t="str">
        <f t="shared" si="125"/>
        <v/>
      </c>
      <c r="CX102" s="385" t="str">
        <f t="shared" si="126"/>
        <v/>
      </c>
      <c r="CY102" s="385" t="str">
        <f t="shared" si="127"/>
        <v/>
      </c>
      <c r="CZ102" s="385" t="str">
        <f t="shared" si="128"/>
        <v/>
      </c>
      <c r="DA102" s="385" t="str">
        <f t="shared" si="129"/>
        <v/>
      </c>
      <c r="DB102" s="385" t="str">
        <f t="shared" si="130"/>
        <v/>
      </c>
      <c r="DC102" s="385" t="str">
        <f t="shared" si="131"/>
        <v/>
      </c>
      <c r="DD102" s="385" t="str">
        <f t="shared" si="132"/>
        <v/>
      </c>
      <c r="DE102" s="385" t="str">
        <f t="shared" si="133"/>
        <v/>
      </c>
      <c r="DF102" s="385" t="str">
        <f t="shared" si="134"/>
        <v/>
      </c>
      <c r="DG102" s="385" t="str">
        <f t="shared" si="135"/>
        <v/>
      </c>
      <c r="DH102" s="385" t="str">
        <f t="shared" si="136"/>
        <v/>
      </c>
      <c r="DI102" s="385" t="str">
        <f t="shared" si="137"/>
        <v/>
      </c>
    </row>
    <row r="103" spans="1:113" ht="66" x14ac:dyDescent="0.35">
      <c r="A103" s="21" t="s">
        <v>1257</v>
      </c>
      <c r="B103" s="396">
        <f>'Appoggio_BIA Servizio'!$B$5</f>
        <v>0</v>
      </c>
      <c r="C103" s="392" t="s">
        <v>1221</v>
      </c>
      <c r="D103" s="392" t="s">
        <v>1258</v>
      </c>
      <c r="E103" s="393" t="s">
        <v>1259</v>
      </c>
      <c r="F103" s="240" t="s">
        <v>671</v>
      </c>
      <c r="G103" s="240" t="s">
        <v>655</v>
      </c>
      <c r="H103" s="240" t="s">
        <v>655</v>
      </c>
      <c r="I103" s="240">
        <v>0.7</v>
      </c>
      <c r="J103" s="240">
        <v>0.7</v>
      </c>
      <c r="K103" s="240"/>
      <c r="L103" s="394"/>
      <c r="M103" s="240"/>
      <c r="N103" s="240">
        <v>0.7</v>
      </c>
      <c r="O103" s="394"/>
      <c r="P103" s="394"/>
      <c r="Q103" s="240"/>
      <c r="R103" s="240">
        <v>0.7</v>
      </c>
      <c r="S103" s="240">
        <v>0.7</v>
      </c>
      <c r="T103" s="394"/>
      <c r="U103" s="394"/>
      <c r="V103" s="394"/>
      <c r="W103" s="394"/>
      <c r="X103" s="394">
        <v>0.7</v>
      </c>
      <c r="Y103" s="394">
        <v>0.7</v>
      </c>
      <c r="Z103" s="394"/>
      <c r="AA103" s="394"/>
      <c r="AB103" s="240"/>
      <c r="AC103" s="394"/>
      <c r="AD103" s="394"/>
      <c r="AE103" s="395"/>
      <c r="AF103" s="395"/>
      <c r="AG103" s="395"/>
      <c r="AH103" s="395"/>
      <c r="AI103" s="395"/>
      <c r="AJ103" s="395"/>
      <c r="AK103" s="395"/>
      <c r="AL103" s="395"/>
      <c r="AM103" s="395"/>
      <c r="AN103" s="395"/>
      <c r="AO103" s="395"/>
      <c r="AP103" s="395"/>
      <c r="AQ103" s="395"/>
      <c r="AR103" s="395"/>
      <c r="AS103" s="395"/>
      <c r="AT103" s="395"/>
      <c r="AU103" s="395"/>
      <c r="AV103" s="395"/>
      <c r="AW103" s="395"/>
      <c r="AX103" s="395"/>
      <c r="AY103" s="395"/>
      <c r="AZ103" s="395">
        <v>1</v>
      </c>
      <c r="BA103" s="395"/>
      <c r="BB103" s="395"/>
      <c r="BC103" s="395"/>
      <c r="BD103" s="395"/>
      <c r="BE103" s="395"/>
      <c r="BF103" s="225">
        <f t="shared" si="138"/>
        <v>0</v>
      </c>
      <c r="BG103" s="226" t="str">
        <f t="shared" si="139"/>
        <v>Non Applicabile</v>
      </c>
      <c r="BH103" s="226" t="s">
        <v>693</v>
      </c>
      <c r="BI103" s="226"/>
      <c r="BJ103" s="229"/>
      <c r="BK103" s="227"/>
      <c r="BL103" s="324" t="s">
        <v>1260</v>
      </c>
      <c r="BM103" s="324" t="s">
        <v>1261</v>
      </c>
      <c r="BN103" s="324" t="s">
        <v>1262</v>
      </c>
      <c r="BO103" s="330"/>
      <c r="BP103" s="385" t="str">
        <f>IF(G103="X",
   IF(BG103="Applicabile",
      IF(BJ103&lt;&gt;"",
         _xlfn.XLOOKUP($BJ103,Parametri_RA!$B:$B,Parametri_RA!$D:$D,0),
         0),
      ""),
   "")</f>
        <v/>
      </c>
      <c r="BQ103" s="385" t="str">
        <f>IF(H103="X",
   IF(BG103="Applicabile",
      IF(BJ103&lt;&gt;"",
         _xlfn.XLOOKUP($BJ103,Parametri_RA!$B:$B,Parametri_RA!$D:$D,0),
         0),
      ""),
   "")</f>
        <v/>
      </c>
      <c r="BR103" s="385" t="str">
        <f t="shared" si="94"/>
        <v/>
      </c>
      <c r="BS103" s="385" t="str">
        <f t="shared" si="95"/>
        <v/>
      </c>
      <c r="BT103" s="385" t="str">
        <f t="shared" si="96"/>
        <v/>
      </c>
      <c r="BU103" s="385" t="str">
        <f t="shared" si="97"/>
        <v/>
      </c>
      <c r="BV103" s="385" t="str">
        <f t="shared" si="98"/>
        <v/>
      </c>
      <c r="BW103" s="385" t="str">
        <f t="shared" si="99"/>
        <v/>
      </c>
      <c r="BX103" s="385" t="str">
        <f t="shared" si="100"/>
        <v/>
      </c>
      <c r="BY103" s="385" t="str">
        <f t="shared" si="101"/>
        <v/>
      </c>
      <c r="BZ103" s="385" t="str">
        <f t="shared" si="102"/>
        <v/>
      </c>
      <c r="CA103" s="385" t="str">
        <f t="shared" si="103"/>
        <v/>
      </c>
      <c r="CB103" s="385" t="str">
        <f t="shared" si="104"/>
        <v/>
      </c>
      <c r="CC103" s="385" t="str">
        <f t="shared" si="105"/>
        <v/>
      </c>
      <c r="CD103" s="385" t="str">
        <f t="shared" si="106"/>
        <v/>
      </c>
      <c r="CE103" s="385" t="str">
        <f t="shared" si="107"/>
        <v/>
      </c>
      <c r="CF103" s="385" t="str">
        <f t="shared" si="108"/>
        <v/>
      </c>
      <c r="CG103" s="385" t="str">
        <f t="shared" si="109"/>
        <v/>
      </c>
      <c r="CH103" s="385" t="str">
        <f t="shared" si="110"/>
        <v/>
      </c>
      <c r="CI103" s="385" t="str">
        <f t="shared" si="111"/>
        <v/>
      </c>
      <c r="CJ103" s="385" t="str">
        <f t="shared" si="112"/>
        <v/>
      </c>
      <c r="CK103" s="385" t="str">
        <f t="shared" si="113"/>
        <v/>
      </c>
      <c r="CL103" s="385" t="str">
        <f t="shared" si="114"/>
        <v/>
      </c>
      <c r="CM103" s="385" t="str">
        <f t="shared" si="115"/>
        <v/>
      </c>
      <c r="CN103" s="385" t="str">
        <f t="shared" si="116"/>
        <v/>
      </c>
      <c r="CO103" s="385" t="str">
        <f t="shared" si="117"/>
        <v/>
      </c>
      <c r="CP103" s="385" t="str">
        <f t="shared" si="118"/>
        <v/>
      </c>
      <c r="CQ103" s="385" t="str">
        <f t="shared" si="119"/>
        <v/>
      </c>
      <c r="CR103" s="385" t="str">
        <f t="shared" si="120"/>
        <v/>
      </c>
      <c r="CS103" s="385" t="str">
        <f t="shared" si="121"/>
        <v/>
      </c>
      <c r="CT103" s="385" t="str">
        <f t="shared" si="122"/>
        <v/>
      </c>
      <c r="CU103" s="385" t="str">
        <f t="shared" si="123"/>
        <v/>
      </c>
      <c r="CV103" s="385" t="str">
        <f t="shared" si="124"/>
        <v/>
      </c>
      <c r="CW103" s="385" t="str">
        <f t="shared" si="125"/>
        <v/>
      </c>
      <c r="CX103" s="385" t="str">
        <f t="shared" si="126"/>
        <v/>
      </c>
      <c r="CY103" s="385" t="str">
        <f t="shared" si="127"/>
        <v/>
      </c>
      <c r="CZ103" s="385" t="str">
        <f t="shared" si="128"/>
        <v/>
      </c>
      <c r="DA103" s="385" t="str">
        <f t="shared" si="129"/>
        <v/>
      </c>
      <c r="DB103" s="385" t="str">
        <f t="shared" si="130"/>
        <v/>
      </c>
      <c r="DC103" s="385" t="str">
        <f t="shared" si="131"/>
        <v/>
      </c>
      <c r="DD103" s="385" t="str">
        <f t="shared" si="132"/>
        <v/>
      </c>
      <c r="DE103" s="385" t="str">
        <f t="shared" si="133"/>
        <v/>
      </c>
      <c r="DF103" s="385" t="str">
        <f t="shared" si="134"/>
        <v/>
      </c>
      <c r="DG103" s="385" t="str">
        <f t="shared" si="135"/>
        <v/>
      </c>
      <c r="DH103" s="385" t="str">
        <f t="shared" si="136"/>
        <v/>
      </c>
      <c r="DI103" s="385" t="str">
        <f t="shared" si="137"/>
        <v/>
      </c>
    </row>
    <row r="104" spans="1:113" ht="66" x14ac:dyDescent="0.35">
      <c r="A104" s="21" t="s">
        <v>1263</v>
      </c>
      <c r="B104" s="396">
        <f>'Appoggio_BIA Servizio'!$B$5</f>
        <v>0</v>
      </c>
      <c r="C104" s="392" t="s">
        <v>1221</v>
      </c>
      <c r="D104" s="392" t="s">
        <v>1264</v>
      </c>
      <c r="E104" s="393" t="s">
        <v>1265</v>
      </c>
      <c r="F104" s="240" t="s">
        <v>654</v>
      </c>
      <c r="G104" s="240" t="s">
        <v>655</v>
      </c>
      <c r="H104" s="240" t="s">
        <v>655</v>
      </c>
      <c r="I104" s="240">
        <v>1</v>
      </c>
      <c r="J104" s="240">
        <v>0.7</v>
      </c>
      <c r="K104" s="240">
        <v>0.4</v>
      </c>
      <c r="L104" s="394"/>
      <c r="M104" s="240">
        <v>0.4</v>
      </c>
      <c r="N104" s="240">
        <v>1</v>
      </c>
      <c r="O104" s="394"/>
      <c r="P104" s="394"/>
      <c r="Q104" s="240"/>
      <c r="R104" s="394"/>
      <c r="S104" s="394"/>
      <c r="T104" s="394"/>
      <c r="U104" s="394"/>
      <c r="V104" s="394"/>
      <c r="W104" s="394"/>
      <c r="X104" s="394"/>
      <c r="Y104" s="394"/>
      <c r="Z104" s="394"/>
      <c r="AA104" s="394"/>
      <c r="AB104" s="240"/>
      <c r="AC104" s="394"/>
      <c r="AD104" s="394"/>
      <c r="AE104" s="395"/>
      <c r="AF104" s="395"/>
      <c r="AG104" s="395"/>
      <c r="AH104" s="395"/>
      <c r="AI104" s="395"/>
      <c r="AJ104" s="395"/>
      <c r="AK104" s="395"/>
      <c r="AL104" s="395"/>
      <c r="AM104" s="395"/>
      <c r="AN104" s="395"/>
      <c r="AO104" s="395"/>
      <c r="AP104" s="395"/>
      <c r="AQ104" s="395"/>
      <c r="AR104" s="395"/>
      <c r="AS104" s="395"/>
      <c r="AT104" s="395"/>
      <c r="AU104" s="395"/>
      <c r="AV104" s="395"/>
      <c r="AW104" s="395"/>
      <c r="AX104" s="395"/>
      <c r="AY104" s="395"/>
      <c r="AZ104" s="395">
        <v>1</v>
      </c>
      <c r="BA104" s="395"/>
      <c r="BB104" s="395"/>
      <c r="BC104" s="395"/>
      <c r="BD104" s="395"/>
      <c r="BE104" s="395"/>
      <c r="BF104" s="225">
        <f t="shared" si="138"/>
        <v>0</v>
      </c>
      <c r="BG104" s="226" t="str">
        <f t="shared" si="139"/>
        <v>Non Applicabile</v>
      </c>
      <c r="BH104" s="226" t="s">
        <v>693</v>
      </c>
      <c r="BI104" s="226"/>
      <c r="BJ104" s="229"/>
      <c r="BK104" s="227"/>
      <c r="BL104" s="324" t="s">
        <v>1266</v>
      </c>
      <c r="BM104" s="324" t="s">
        <v>1267</v>
      </c>
      <c r="BN104" s="324" t="s">
        <v>791</v>
      </c>
      <c r="BO104" s="330"/>
      <c r="BP104" s="385" t="str">
        <f>IF(G104="X",
   IF(BG104="Applicabile",
      IF(BJ104&lt;&gt;"",
         _xlfn.XLOOKUP($BJ104,Parametri_RA!$B:$B,Parametri_RA!$D:$D,0),
         0),
      ""),
   "")</f>
        <v/>
      </c>
      <c r="BQ104" s="385" t="str">
        <f>IF(H104="X",
   IF(BG104="Applicabile",
      IF(BJ104&lt;&gt;"",
         _xlfn.XLOOKUP($BJ104,Parametri_RA!$B:$B,Parametri_RA!$D:$D,0),
         0),
      ""),
   "")</f>
        <v/>
      </c>
      <c r="BR104" s="385" t="str">
        <f t="shared" si="94"/>
        <v/>
      </c>
      <c r="BS104" s="385" t="str">
        <f t="shared" si="95"/>
        <v/>
      </c>
      <c r="BT104" s="385" t="str">
        <f t="shared" si="96"/>
        <v/>
      </c>
      <c r="BU104" s="385" t="str">
        <f t="shared" si="97"/>
        <v/>
      </c>
      <c r="BV104" s="385" t="str">
        <f t="shared" si="98"/>
        <v/>
      </c>
      <c r="BW104" s="385" t="str">
        <f t="shared" si="99"/>
        <v/>
      </c>
      <c r="BX104" s="385" t="str">
        <f t="shared" si="100"/>
        <v/>
      </c>
      <c r="BY104" s="385" t="str">
        <f t="shared" si="101"/>
        <v/>
      </c>
      <c r="BZ104" s="385" t="str">
        <f t="shared" si="102"/>
        <v/>
      </c>
      <c r="CA104" s="385" t="str">
        <f t="shared" si="103"/>
        <v/>
      </c>
      <c r="CB104" s="385" t="str">
        <f t="shared" si="104"/>
        <v/>
      </c>
      <c r="CC104" s="385" t="str">
        <f t="shared" si="105"/>
        <v/>
      </c>
      <c r="CD104" s="385" t="str">
        <f t="shared" si="106"/>
        <v/>
      </c>
      <c r="CE104" s="385" t="str">
        <f t="shared" si="107"/>
        <v/>
      </c>
      <c r="CF104" s="385" t="str">
        <f t="shared" si="108"/>
        <v/>
      </c>
      <c r="CG104" s="385" t="str">
        <f t="shared" si="109"/>
        <v/>
      </c>
      <c r="CH104" s="385" t="str">
        <f t="shared" si="110"/>
        <v/>
      </c>
      <c r="CI104" s="385" t="str">
        <f t="shared" si="111"/>
        <v/>
      </c>
      <c r="CJ104" s="385" t="str">
        <f t="shared" si="112"/>
        <v/>
      </c>
      <c r="CK104" s="385" t="str">
        <f t="shared" si="113"/>
        <v/>
      </c>
      <c r="CL104" s="385" t="str">
        <f t="shared" si="114"/>
        <v/>
      </c>
      <c r="CM104" s="385" t="str">
        <f t="shared" si="115"/>
        <v/>
      </c>
      <c r="CN104" s="385" t="str">
        <f t="shared" si="116"/>
        <v/>
      </c>
      <c r="CO104" s="385" t="str">
        <f t="shared" si="117"/>
        <v/>
      </c>
      <c r="CP104" s="385" t="str">
        <f t="shared" si="118"/>
        <v/>
      </c>
      <c r="CQ104" s="385" t="str">
        <f t="shared" si="119"/>
        <v/>
      </c>
      <c r="CR104" s="385" t="str">
        <f t="shared" si="120"/>
        <v/>
      </c>
      <c r="CS104" s="385" t="str">
        <f t="shared" si="121"/>
        <v/>
      </c>
      <c r="CT104" s="385" t="str">
        <f t="shared" si="122"/>
        <v/>
      </c>
      <c r="CU104" s="385" t="str">
        <f t="shared" si="123"/>
        <v/>
      </c>
      <c r="CV104" s="385" t="str">
        <f t="shared" si="124"/>
        <v/>
      </c>
      <c r="CW104" s="385" t="str">
        <f t="shared" si="125"/>
        <v/>
      </c>
      <c r="CX104" s="385" t="str">
        <f t="shared" si="126"/>
        <v/>
      </c>
      <c r="CY104" s="385" t="str">
        <f t="shared" si="127"/>
        <v/>
      </c>
      <c r="CZ104" s="385" t="str">
        <f t="shared" si="128"/>
        <v/>
      </c>
      <c r="DA104" s="385" t="str">
        <f t="shared" si="129"/>
        <v/>
      </c>
      <c r="DB104" s="385" t="str">
        <f t="shared" si="130"/>
        <v/>
      </c>
      <c r="DC104" s="385" t="str">
        <f t="shared" si="131"/>
        <v/>
      </c>
      <c r="DD104" s="385" t="str">
        <f t="shared" si="132"/>
        <v/>
      </c>
      <c r="DE104" s="385" t="str">
        <f t="shared" si="133"/>
        <v/>
      </c>
      <c r="DF104" s="385" t="str">
        <f t="shared" si="134"/>
        <v/>
      </c>
      <c r="DG104" s="385" t="str">
        <f t="shared" si="135"/>
        <v/>
      </c>
      <c r="DH104" s="385" t="str">
        <f t="shared" si="136"/>
        <v/>
      </c>
      <c r="DI104" s="385" t="str">
        <f t="shared" si="137"/>
        <v/>
      </c>
    </row>
    <row r="105" spans="1:113" ht="82.5" x14ac:dyDescent="0.35">
      <c r="A105" s="21" t="s">
        <v>1268</v>
      </c>
      <c r="B105" s="396">
        <f>'Appoggio_BIA Servizio'!$B$5</f>
        <v>0</v>
      </c>
      <c r="C105" s="392" t="s">
        <v>1269</v>
      </c>
      <c r="D105" s="392" t="s">
        <v>1270</v>
      </c>
      <c r="E105" s="393" t="s">
        <v>1271</v>
      </c>
      <c r="F105" s="240" t="s">
        <v>663</v>
      </c>
      <c r="G105" s="240" t="s">
        <v>655</v>
      </c>
      <c r="H105" s="240" t="s">
        <v>655</v>
      </c>
      <c r="I105" s="240"/>
      <c r="J105" s="240"/>
      <c r="K105" s="240"/>
      <c r="L105" s="394"/>
      <c r="M105" s="240"/>
      <c r="N105" s="240"/>
      <c r="O105" s="394"/>
      <c r="P105" s="394"/>
      <c r="Q105" s="240"/>
      <c r="R105" s="394"/>
      <c r="S105" s="394"/>
      <c r="T105" s="394"/>
      <c r="U105" s="394">
        <v>0.4</v>
      </c>
      <c r="V105" s="394"/>
      <c r="W105" s="397"/>
      <c r="X105" s="394">
        <v>0.7</v>
      </c>
      <c r="Y105" s="394">
        <v>0.7</v>
      </c>
      <c r="Z105" s="394">
        <v>0.7</v>
      </c>
      <c r="AA105" s="394">
        <v>0.7</v>
      </c>
      <c r="AB105" s="240"/>
      <c r="AC105" s="394"/>
      <c r="AD105" s="394">
        <v>0.7</v>
      </c>
      <c r="AE105" s="395"/>
      <c r="AF105" s="395"/>
      <c r="AG105" s="395"/>
      <c r="AH105" s="395"/>
      <c r="AI105" s="395"/>
      <c r="AJ105" s="395"/>
      <c r="AK105" s="395">
        <v>1</v>
      </c>
      <c r="AL105" s="395"/>
      <c r="AM105" s="395"/>
      <c r="AN105" s="395"/>
      <c r="AO105" s="395"/>
      <c r="AP105" s="395"/>
      <c r="AQ105" s="395"/>
      <c r="AR105" s="395"/>
      <c r="AS105" s="395"/>
      <c r="AT105" s="395"/>
      <c r="AU105" s="395"/>
      <c r="AV105" s="395"/>
      <c r="AW105" s="395"/>
      <c r="AX105" s="395"/>
      <c r="AY105" s="395"/>
      <c r="AZ105" s="395"/>
      <c r="BA105" s="395"/>
      <c r="BB105" s="395"/>
      <c r="BC105" s="395"/>
      <c r="BD105" s="395"/>
      <c r="BE105" s="395">
        <v>1</v>
      </c>
      <c r="BF105" s="225">
        <f t="shared" si="138"/>
        <v>0</v>
      </c>
      <c r="BG105" s="226" t="str">
        <f t="shared" si="139"/>
        <v>Non Applicabile</v>
      </c>
      <c r="BH105" s="226" t="s">
        <v>693</v>
      </c>
      <c r="BI105" s="226"/>
      <c r="BJ105" s="229"/>
      <c r="BK105" s="227"/>
      <c r="BL105" s="324" t="s">
        <v>1272</v>
      </c>
      <c r="BM105" s="324" t="s">
        <v>1273</v>
      </c>
      <c r="BN105" s="324" t="s">
        <v>1274</v>
      </c>
      <c r="BO105" s="330"/>
      <c r="BP105" s="385" t="str">
        <f>IF(G105="X",
   IF(BG105="Applicabile",
      IF(BJ105&lt;&gt;"",
         _xlfn.XLOOKUP($BJ105,Parametri_RA!$B:$B,Parametri_RA!$D:$D,0),
         0),
      ""),
   "")</f>
        <v/>
      </c>
      <c r="BQ105" s="385" t="str">
        <f>IF(H105="X",
   IF(BG105="Applicabile",
      IF(BJ105&lt;&gt;"",
         _xlfn.XLOOKUP($BJ105,Parametri_RA!$B:$B,Parametri_RA!$D:$D,0),
         0),
      ""),
   "")</f>
        <v/>
      </c>
      <c r="BR105" s="385" t="str">
        <f t="shared" si="94"/>
        <v/>
      </c>
      <c r="BS105" s="385" t="str">
        <f t="shared" si="95"/>
        <v/>
      </c>
      <c r="BT105" s="385" t="str">
        <f t="shared" si="96"/>
        <v/>
      </c>
      <c r="BU105" s="385" t="str">
        <f t="shared" si="97"/>
        <v/>
      </c>
      <c r="BV105" s="385" t="str">
        <f t="shared" si="98"/>
        <v/>
      </c>
      <c r="BW105" s="385" t="str">
        <f t="shared" si="99"/>
        <v/>
      </c>
      <c r="BX105" s="385" t="str">
        <f t="shared" si="100"/>
        <v/>
      </c>
      <c r="BY105" s="385" t="str">
        <f t="shared" si="101"/>
        <v/>
      </c>
      <c r="BZ105" s="385" t="str">
        <f t="shared" si="102"/>
        <v/>
      </c>
      <c r="CA105" s="385" t="str">
        <f t="shared" si="103"/>
        <v/>
      </c>
      <c r="CB105" s="385" t="str">
        <f t="shared" si="104"/>
        <v/>
      </c>
      <c r="CC105" s="385" t="str">
        <f t="shared" si="105"/>
        <v/>
      </c>
      <c r="CD105" s="385" t="str">
        <f t="shared" si="106"/>
        <v/>
      </c>
      <c r="CE105" s="385" t="str">
        <f t="shared" si="107"/>
        <v/>
      </c>
      <c r="CF105" s="385" t="str">
        <f t="shared" si="108"/>
        <v/>
      </c>
      <c r="CG105" s="385" t="str">
        <f t="shared" si="109"/>
        <v/>
      </c>
      <c r="CH105" s="385" t="str">
        <f t="shared" si="110"/>
        <v/>
      </c>
      <c r="CI105" s="385" t="str">
        <f t="shared" si="111"/>
        <v/>
      </c>
      <c r="CJ105" s="385" t="str">
        <f t="shared" si="112"/>
        <v/>
      </c>
      <c r="CK105" s="385" t="str">
        <f t="shared" si="113"/>
        <v/>
      </c>
      <c r="CL105" s="385" t="str">
        <f t="shared" si="114"/>
        <v/>
      </c>
      <c r="CM105" s="385" t="str">
        <f t="shared" si="115"/>
        <v/>
      </c>
      <c r="CN105" s="385" t="str">
        <f t="shared" si="116"/>
        <v/>
      </c>
      <c r="CO105" s="385" t="str">
        <f t="shared" si="117"/>
        <v/>
      </c>
      <c r="CP105" s="385" t="str">
        <f t="shared" si="118"/>
        <v/>
      </c>
      <c r="CQ105" s="385" t="str">
        <f t="shared" si="119"/>
        <v/>
      </c>
      <c r="CR105" s="385" t="str">
        <f t="shared" si="120"/>
        <v/>
      </c>
      <c r="CS105" s="385" t="str">
        <f t="shared" si="121"/>
        <v/>
      </c>
      <c r="CT105" s="385" t="str">
        <f t="shared" si="122"/>
        <v/>
      </c>
      <c r="CU105" s="385" t="str">
        <f t="shared" si="123"/>
        <v/>
      </c>
      <c r="CV105" s="385" t="str">
        <f t="shared" si="124"/>
        <v/>
      </c>
      <c r="CW105" s="385" t="str">
        <f t="shared" si="125"/>
        <v/>
      </c>
      <c r="CX105" s="385" t="str">
        <f t="shared" si="126"/>
        <v/>
      </c>
      <c r="CY105" s="385" t="str">
        <f t="shared" si="127"/>
        <v/>
      </c>
      <c r="CZ105" s="385" t="str">
        <f t="shared" si="128"/>
        <v/>
      </c>
      <c r="DA105" s="385" t="str">
        <f t="shared" si="129"/>
        <v/>
      </c>
      <c r="DB105" s="385" t="str">
        <f t="shared" si="130"/>
        <v/>
      </c>
      <c r="DC105" s="385" t="str">
        <f t="shared" si="131"/>
        <v/>
      </c>
      <c r="DD105" s="385" t="str">
        <f t="shared" si="132"/>
        <v/>
      </c>
      <c r="DE105" s="385" t="str">
        <f t="shared" si="133"/>
        <v/>
      </c>
      <c r="DF105" s="385" t="str">
        <f t="shared" si="134"/>
        <v/>
      </c>
      <c r="DG105" s="385" t="str">
        <f t="shared" si="135"/>
        <v/>
      </c>
      <c r="DH105" s="385" t="str">
        <f t="shared" si="136"/>
        <v/>
      </c>
      <c r="DI105" s="385" t="str">
        <f t="shared" si="137"/>
        <v/>
      </c>
    </row>
    <row r="106" spans="1:113" ht="119" x14ac:dyDescent="0.35">
      <c r="A106" s="21"/>
      <c r="B106" s="396">
        <f>'Appoggio_BIA Servizio'!$B$5</f>
        <v>0</v>
      </c>
      <c r="C106" s="392" t="s">
        <v>1269</v>
      </c>
      <c r="D106" s="392" t="s">
        <v>1275</v>
      </c>
      <c r="E106" s="393" t="s">
        <v>1276</v>
      </c>
      <c r="F106" s="240" t="s">
        <v>663</v>
      </c>
      <c r="G106" s="240" t="s">
        <v>655</v>
      </c>
      <c r="H106" s="240" t="s">
        <v>655</v>
      </c>
      <c r="I106" s="240">
        <v>0.4</v>
      </c>
      <c r="J106" s="240">
        <v>0.4</v>
      </c>
      <c r="K106" s="240">
        <v>0.4</v>
      </c>
      <c r="L106" s="240">
        <v>0.7</v>
      </c>
      <c r="M106" s="240">
        <v>0.7</v>
      </c>
      <c r="N106" s="240">
        <v>0.7</v>
      </c>
      <c r="O106" s="394">
        <v>0.4</v>
      </c>
      <c r="P106" s="240">
        <v>0.7</v>
      </c>
      <c r="Q106" s="394">
        <v>0.4</v>
      </c>
      <c r="R106" s="394">
        <v>0.4</v>
      </c>
      <c r="S106" s="394">
        <v>0.7</v>
      </c>
      <c r="T106" s="394">
        <v>0.7</v>
      </c>
      <c r="U106" s="394">
        <v>0.7</v>
      </c>
      <c r="V106" s="394">
        <v>0.7</v>
      </c>
      <c r="W106" s="394">
        <v>0.7</v>
      </c>
      <c r="X106" s="394"/>
      <c r="Y106" s="394"/>
      <c r="Z106" s="394"/>
      <c r="AA106" s="394"/>
      <c r="AB106" s="240"/>
      <c r="AC106" s="394"/>
      <c r="AD106" s="394"/>
      <c r="AE106" s="395">
        <v>1</v>
      </c>
      <c r="AF106" s="395"/>
      <c r="AG106" s="395"/>
      <c r="AH106" s="395"/>
      <c r="AI106" s="395">
        <v>1</v>
      </c>
      <c r="AJ106" s="395"/>
      <c r="AK106" s="395">
        <v>1</v>
      </c>
      <c r="AL106" s="395">
        <v>1</v>
      </c>
      <c r="AM106" s="395">
        <v>1</v>
      </c>
      <c r="AN106" s="395">
        <v>1</v>
      </c>
      <c r="AO106" s="395">
        <v>1</v>
      </c>
      <c r="AP106" s="395">
        <v>1</v>
      </c>
      <c r="AQ106" s="395">
        <v>1</v>
      </c>
      <c r="AR106" s="395">
        <v>1</v>
      </c>
      <c r="AS106" s="395">
        <v>1</v>
      </c>
      <c r="AT106" s="395">
        <v>1</v>
      </c>
      <c r="AU106" s="395">
        <v>1</v>
      </c>
      <c r="AV106" s="395">
        <v>1</v>
      </c>
      <c r="AW106" s="395">
        <v>1</v>
      </c>
      <c r="AX106" s="395">
        <v>1</v>
      </c>
      <c r="AY106" s="395">
        <v>1</v>
      </c>
      <c r="AZ106" s="395">
        <v>1</v>
      </c>
      <c r="BA106" s="395">
        <v>1</v>
      </c>
      <c r="BB106" s="395">
        <v>1</v>
      </c>
      <c r="BC106" s="395"/>
      <c r="BD106" s="395">
        <v>1</v>
      </c>
      <c r="BE106" s="395"/>
      <c r="BF106" s="225">
        <f t="shared" si="138"/>
        <v>0</v>
      </c>
      <c r="BG106" s="226" t="str">
        <f t="shared" si="139"/>
        <v>Non Applicabile</v>
      </c>
      <c r="BH106" s="226" t="s">
        <v>693</v>
      </c>
      <c r="BI106" s="226"/>
      <c r="BJ106" s="229"/>
      <c r="BK106" s="227"/>
      <c r="BL106" s="324" t="s">
        <v>1277</v>
      </c>
      <c r="BM106" s="324" t="s">
        <v>1278</v>
      </c>
      <c r="BN106" s="324" t="s">
        <v>1279</v>
      </c>
      <c r="BO106" s="330"/>
      <c r="BP106" s="385" t="str">
        <f>IF(G106="X",
   IF(BG106="Applicabile",
      IF(BJ106&lt;&gt;"",
         _xlfn.XLOOKUP($BJ106,Parametri_RA!$B:$B,Parametri_RA!$D:$D,0),
         0),
      ""),
   "")</f>
        <v/>
      </c>
      <c r="BQ106" s="385" t="str">
        <f>IF(H106="X",
   IF(BG106="Applicabile",
      IF(BJ106&lt;&gt;"",
         _xlfn.XLOOKUP($BJ106,Parametri_RA!$B:$B,Parametri_RA!$D:$D,0),
         0),
      ""),
   "")</f>
        <v/>
      </c>
      <c r="BR106" s="385" t="str">
        <f t="shared" si="94"/>
        <v/>
      </c>
      <c r="BS106" s="385" t="str">
        <f t="shared" si="95"/>
        <v/>
      </c>
      <c r="BT106" s="385" t="str">
        <f t="shared" si="96"/>
        <v/>
      </c>
      <c r="BU106" s="385" t="str">
        <f t="shared" si="97"/>
        <v/>
      </c>
      <c r="BV106" s="385" t="str">
        <f t="shared" si="98"/>
        <v/>
      </c>
      <c r="BW106" s="385" t="str">
        <f t="shared" si="99"/>
        <v/>
      </c>
      <c r="BX106" s="385" t="str">
        <f t="shared" si="100"/>
        <v/>
      </c>
      <c r="BY106" s="385" t="str">
        <f t="shared" si="101"/>
        <v/>
      </c>
      <c r="BZ106" s="385" t="str">
        <f t="shared" si="102"/>
        <v/>
      </c>
      <c r="CA106" s="385" t="str">
        <f t="shared" si="103"/>
        <v/>
      </c>
      <c r="CB106" s="385" t="str">
        <f t="shared" si="104"/>
        <v/>
      </c>
      <c r="CC106" s="385" t="str">
        <f t="shared" si="105"/>
        <v/>
      </c>
      <c r="CD106" s="385" t="str">
        <f t="shared" si="106"/>
        <v/>
      </c>
      <c r="CE106" s="385" t="str">
        <f t="shared" si="107"/>
        <v/>
      </c>
      <c r="CF106" s="385" t="str">
        <f t="shared" si="108"/>
        <v/>
      </c>
      <c r="CG106" s="385" t="str">
        <f t="shared" si="109"/>
        <v/>
      </c>
      <c r="CH106" s="385" t="str">
        <f t="shared" si="110"/>
        <v/>
      </c>
      <c r="CI106" s="385" t="str">
        <f t="shared" si="111"/>
        <v/>
      </c>
      <c r="CJ106" s="385" t="str">
        <f t="shared" si="112"/>
        <v/>
      </c>
      <c r="CK106" s="385" t="str">
        <f t="shared" si="113"/>
        <v/>
      </c>
      <c r="CL106" s="385" t="str">
        <f t="shared" si="114"/>
        <v/>
      </c>
      <c r="CM106" s="385" t="str">
        <f t="shared" si="115"/>
        <v/>
      </c>
      <c r="CN106" s="385" t="str">
        <f t="shared" si="116"/>
        <v/>
      </c>
      <c r="CO106" s="385" t="str">
        <f t="shared" si="117"/>
        <v/>
      </c>
      <c r="CP106" s="385" t="str">
        <f t="shared" si="118"/>
        <v/>
      </c>
      <c r="CQ106" s="385" t="str">
        <f t="shared" si="119"/>
        <v/>
      </c>
      <c r="CR106" s="385" t="str">
        <f t="shared" si="120"/>
        <v/>
      </c>
      <c r="CS106" s="385" t="str">
        <f t="shared" si="121"/>
        <v/>
      </c>
      <c r="CT106" s="385" t="str">
        <f t="shared" si="122"/>
        <v/>
      </c>
      <c r="CU106" s="385" t="str">
        <f t="shared" si="123"/>
        <v/>
      </c>
      <c r="CV106" s="385" t="str">
        <f t="shared" si="124"/>
        <v/>
      </c>
      <c r="CW106" s="385" t="str">
        <f t="shared" si="125"/>
        <v/>
      </c>
      <c r="CX106" s="385" t="str">
        <f t="shared" si="126"/>
        <v/>
      </c>
      <c r="CY106" s="385" t="str">
        <f t="shared" si="127"/>
        <v/>
      </c>
      <c r="CZ106" s="385" t="str">
        <f t="shared" si="128"/>
        <v/>
      </c>
      <c r="DA106" s="385" t="str">
        <f t="shared" si="129"/>
        <v/>
      </c>
      <c r="DB106" s="385" t="str">
        <f t="shared" si="130"/>
        <v/>
      </c>
      <c r="DC106" s="385" t="str">
        <f t="shared" si="131"/>
        <v/>
      </c>
      <c r="DD106" s="385" t="str">
        <f t="shared" si="132"/>
        <v/>
      </c>
      <c r="DE106" s="385" t="str">
        <f t="shared" si="133"/>
        <v/>
      </c>
      <c r="DF106" s="385" t="str">
        <f t="shared" si="134"/>
        <v/>
      </c>
      <c r="DG106" s="385" t="str">
        <f t="shared" si="135"/>
        <v/>
      </c>
      <c r="DH106" s="385" t="str">
        <f t="shared" si="136"/>
        <v/>
      </c>
      <c r="DI106" s="385" t="str">
        <f t="shared" si="137"/>
        <v/>
      </c>
    </row>
    <row r="107" spans="1:113" ht="49.5" x14ac:dyDescent="0.35">
      <c r="A107" s="21" t="s">
        <v>1280</v>
      </c>
      <c r="B107" s="396">
        <f>'Appoggio_BIA Servizio'!$B$5</f>
        <v>0</v>
      </c>
      <c r="C107" s="392" t="s">
        <v>1269</v>
      </c>
      <c r="D107" s="392" t="s">
        <v>1281</v>
      </c>
      <c r="E107" s="393" t="s">
        <v>1282</v>
      </c>
      <c r="F107" s="240" t="s">
        <v>671</v>
      </c>
      <c r="G107" s="240" t="s">
        <v>655</v>
      </c>
      <c r="H107" s="240"/>
      <c r="I107" s="240">
        <v>0.7</v>
      </c>
      <c r="J107" s="240">
        <v>0.7</v>
      </c>
      <c r="K107" s="240">
        <v>0.7</v>
      </c>
      <c r="L107" s="394"/>
      <c r="M107" s="240"/>
      <c r="N107" s="240">
        <v>0.7</v>
      </c>
      <c r="O107" s="394"/>
      <c r="P107" s="240">
        <v>1</v>
      </c>
      <c r="Q107" s="240"/>
      <c r="R107" s="394"/>
      <c r="S107" s="394">
        <v>0.7</v>
      </c>
      <c r="T107" s="240">
        <v>0.4</v>
      </c>
      <c r="U107" s="394"/>
      <c r="V107" s="394"/>
      <c r="W107" s="394"/>
      <c r="X107" s="394"/>
      <c r="Y107" s="394"/>
      <c r="Z107" s="394"/>
      <c r="AA107" s="394"/>
      <c r="AB107" s="240"/>
      <c r="AC107" s="394"/>
      <c r="AD107" s="394"/>
      <c r="AE107" s="395"/>
      <c r="AF107" s="395"/>
      <c r="AG107" s="395"/>
      <c r="AH107" s="395"/>
      <c r="AI107" s="395"/>
      <c r="AJ107" s="395"/>
      <c r="AK107" s="395"/>
      <c r="AL107" s="395">
        <v>1</v>
      </c>
      <c r="AM107" s="395"/>
      <c r="AN107" s="395"/>
      <c r="AO107" s="395"/>
      <c r="AP107" s="395">
        <v>1</v>
      </c>
      <c r="AQ107" s="395"/>
      <c r="AR107" s="395"/>
      <c r="AS107" s="395"/>
      <c r="AT107" s="395"/>
      <c r="AU107" s="395"/>
      <c r="AV107" s="395"/>
      <c r="AW107" s="395"/>
      <c r="AX107" s="395"/>
      <c r="AY107" s="395"/>
      <c r="AZ107" s="395"/>
      <c r="BA107" s="395"/>
      <c r="BB107" s="395"/>
      <c r="BC107" s="395"/>
      <c r="BD107" s="395"/>
      <c r="BE107" s="395"/>
      <c r="BF107" s="225">
        <f t="shared" si="138"/>
        <v>0</v>
      </c>
      <c r="BG107" s="226" t="str">
        <f t="shared" si="139"/>
        <v>Non Applicabile</v>
      </c>
      <c r="BH107" s="226" t="s">
        <v>693</v>
      </c>
      <c r="BI107" s="226"/>
      <c r="BJ107" s="229"/>
      <c r="BK107" s="227"/>
      <c r="BL107" s="324" t="s">
        <v>1283</v>
      </c>
      <c r="BM107" s="324" t="s">
        <v>1284</v>
      </c>
      <c r="BN107" s="324" t="s">
        <v>1285</v>
      </c>
      <c r="BO107" s="330"/>
      <c r="BP107" s="385" t="str">
        <f>IF(G107="X",
   IF(BG107="Applicabile",
      IF(BJ107&lt;&gt;"",
         _xlfn.XLOOKUP($BJ107,Parametri_RA!$B:$B,Parametri_RA!$D:$D,0),
         0),
      ""),
   "")</f>
        <v/>
      </c>
      <c r="BQ107" s="385" t="str">
        <f>IF(H107="X",
   IF(BG107="Applicabile",
      IF(BJ107&lt;&gt;"",
         _xlfn.XLOOKUP($BJ107,Parametri_RA!$B:$B,Parametri_RA!$D:$D,0),
         0),
      ""),
   "")</f>
        <v/>
      </c>
      <c r="BR107" s="385" t="str">
        <f t="shared" si="94"/>
        <v/>
      </c>
      <c r="BS107" s="385" t="str">
        <f t="shared" si="95"/>
        <v/>
      </c>
      <c r="BT107" s="385" t="str">
        <f t="shared" si="96"/>
        <v/>
      </c>
      <c r="BU107" s="385" t="str">
        <f t="shared" si="97"/>
        <v/>
      </c>
      <c r="BV107" s="385" t="str">
        <f t="shared" si="98"/>
        <v/>
      </c>
      <c r="BW107" s="385" t="str">
        <f t="shared" si="99"/>
        <v/>
      </c>
      <c r="BX107" s="385" t="str">
        <f t="shared" si="100"/>
        <v/>
      </c>
      <c r="BY107" s="385" t="str">
        <f t="shared" si="101"/>
        <v/>
      </c>
      <c r="BZ107" s="385" t="str">
        <f t="shared" si="102"/>
        <v/>
      </c>
      <c r="CA107" s="385" t="str">
        <f t="shared" si="103"/>
        <v/>
      </c>
      <c r="CB107" s="385" t="str">
        <f t="shared" si="104"/>
        <v/>
      </c>
      <c r="CC107" s="385" t="str">
        <f t="shared" si="105"/>
        <v/>
      </c>
      <c r="CD107" s="385" t="str">
        <f t="shared" si="106"/>
        <v/>
      </c>
      <c r="CE107" s="385" t="str">
        <f t="shared" si="107"/>
        <v/>
      </c>
      <c r="CF107" s="385" t="str">
        <f t="shared" si="108"/>
        <v/>
      </c>
      <c r="CG107" s="385" t="str">
        <f t="shared" si="109"/>
        <v/>
      </c>
      <c r="CH107" s="385" t="str">
        <f t="shared" si="110"/>
        <v/>
      </c>
      <c r="CI107" s="385" t="str">
        <f t="shared" si="111"/>
        <v/>
      </c>
      <c r="CJ107" s="385" t="str">
        <f t="shared" si="112"/>
        <v/>
      </c>
      <c r="CK107" s="385" t="str">
        <f t="shared" si="113"/>
        <v/>
      </c>
      <c r="CL107" s="385" t="str">
        <f t="shared" si="114"/>
        <v/>
      </c>
      <c r="CM107" s="385" t="str">
        <f t="shared" si="115"/>
        <v/>
      </c>
      <c r="CN107" s="385" t="str">
        <f t="shared" si="116"/>
        <v/>
      </c>
      <c r="CO107" s="385" t="str">
        <f t="shared" si="117"/>
        <v/>
      </c>
      <c r="CP107" s="385" t="str">
        <f t="shared" si="118"/>
        <v/>
      </c>
      <c r="CQ107" s="385" t="str">
        <f t="shared" si="119"/>
        <v/>
      </c>
      <c r="CR107" s="385" t="str">
        <f t="shared" si="120"/>
        <v/>
      </c>
      <c r="CS107" s="385" t="str">
        <f t="shared" si="121"/>
        <v/>
      </c>
      <c r="CT107" s="385" t="str">
        <f t="shared" si="122"/>
        <v/>
      </c>
      <c r="CU107" s="385" t="str">
        <f t="shared" si="123"/>
        <v/>
      </c>
      <c r="CV107" s="385" t="str">
        <f t="shared" si="124"/>
        <v/>
      </c>
      <c r="CW107" s="385" t="str">
        <f t="shared" si="125"/>
        <v/>
      </c>
      <c r="CX107" s="385" t="str">
        <f t="shared" si="126"/>
        <v/>
      </c>
      <c r="CY107" s="385" t="str">
        <f t="shared" si="127"/>
        <v/>
      </c>
      <c r="CZ107" s="385" t="str">
        <f t="shared" si="128"/>
        <v/>
      </c>
      <c r="DA107" s="385" t="str">
        <f t="shared" si="129"/>
        <v/>
      </c>
      <c r="DB107" s="385" t="str">
        <f t="shared" si="130"/>
        <v/>
      </c>
      <c r="DC107" s="385" t="str">
        <f t="shared" si="131"/>
        <v/>
      </c>
      <c r="DD107" s="385" t="str">
        <f t="shared" si="132"/>
        <v/>
      </c>
      <c r="DE107" s="385" t="str">
        <f t="shared" si="133"/>
        <v/>
      </c>
      <c r="DF107" s="385" t="str">
        <f t="shared" si="134"/>
        <v/>
      </c>
      <c r="DG107" s="385" t="str">
        <f t="shared" si="135"/>
        <v/>
      </c>
      <c r="DH107" s="385" t="str">
        <f t="shared" si="136"/>
        <v/>
      </c>
      <c r="DI107" s="385" t="str">
        <f t="shared" si="137"/>
        <v/>
      </c>
    </row>
    <row r="108" spans="1:113" ht="51" x14ac:dyDescent="0.35">
      <c r="A108" s="21"/>
      <c r="B108" s="396">
        <f>'Appoggio_BIA Servizio'!$B$5</f>
        <v>0</v>
      </c>
      <c r="C108" s="392" t="s">
        <v>1286</v>
      </c>
      <c r="D108" s="392" t="s">
        <v>1287</v>
      </c>
      <c r="E108" s="393" t="s">
        <v>1288</v>
      </c>
      <c r="F108" s="240" t="s">
        <v>663</v>
      </c>
      <c r="G108" s="398"/>
      <c r="H108" s="240" t="s">
        <v>655</v>
      </c>
      <c r="I108" s="240">
        <v>0.7</v>
      </c>
      <c r="J108" s="240">
        <v>0.7</v>
      </c>
      <c r="K108" s="240">
        <v>0.7</v>
      </c>
      <c r="L108" s="394"/>
      <c r="M108" s="240"/>
      <c r="N108" s="240"/>
      <c r="O108" s="394"/>
      <c r="P108" s="394"/>
      <c r="Q108" s="240">
        <v>0.7</v>
      </c>
      <c r="R108" s="394">
        <v>0.4</v>
      </c>
      <c r="S108" s="240">
        <v>0.4</v>
      </c>
      <c r="T108" s="240"/>
      <c r="U108" s="394">
        <v>0.4</v>
      </c>
      <c r="V108" s="394"/>
      <c r="W108" s="394"/>
      <c r="X108" s="394">
        <v>0.4</v>
      </c>
      <c r="Y108" s="394">
        <v>0.4</v>
      </c>
      <c r="Z108" s="394">
        <v>0.4</v>
      </c>
      <c r="AA108" s="394">
        <v>0.4</v>
      </c>
      <c r="AB108" s="240">
        <v>0.7</v>
      </c>
      <c r="AC108" s="240">
        <v>0.7</v>
      </c>
      <c r="AD108" s="394"/>
      <c r="AE108" s="395">
        <v>1</v>
      </c>
      <c r="AF108" s="395"/>
      <c r="AG108" s="395"/>
      <c r="AH108" s="395"/>
      <c r="AI108" s="395">
        <v>1</v>
      </c>
      <c r="AJ108" s="395"/>
      <c r="AK108" s="395">
        <v>1</v>
      </c>
      <c r="AL108" s="395">
        <v>1</v>
      </c>
      <c r="AM108" s="395">
        <v>1</v>
      </c>
      <c r="AN108" s="395">
        <v>1</v>
      </c>
      <c r="AO108" s="395">
        <v>1</v>
      </c>
      <c r="AP108" s="395">
        <v>1</v>
      </c>
      <c r="AQ108" s="395">
        <v>1</v>
      </c>
      <c r="AR108" s="395">
        <v>1</v>
      </c>
      <c r="AS108" s="395">
        <v>1</v>
      </c>
      <c r="AT108" s="395">
        <v>1</v>
      </c>
      <c r="AU108" s="395">
        <v>1</v>
      </c>
      <c r="AV108" s="395">
        <v>1</v>
      </c>
      <c r="AW108" s="395">
        <v>1</v>
      </c>
      <c r="AX108" s="395">
        <v>1</v>
      </c>
      <c r="AY108" s="395">
        <v>1</v>
      </c>
      <c r="AZ108" s="395">
        <v>1</v>
      </c>
      <c r="BA108" s="395">
        <v>1</v>
      </c>
      <c r="BB108" s="395">
        <v>1</v>
      </c>
      <c r="BC108" s="395"/>
      <c r="BD108" s="395">
        <v>1</v>
      </c>
      <c r="BE108" s="395"/>
      <c r="BF108" s="225">
        <f t="shared" si="138"/>
        <v>0</v>
      </c>
      <c r="BG108" s="226" t="str">
        <f t="shared" si="139"/>
        <v>Non Applicabile</v>
      </c>
      <c r="BH108" s="226" t="s">
        <v>693</v>
      </c>
      <c r="BI108" s="226"/>
      <c r="BJ108" s="229"/>
      <c r="BK108" s="227"/>
      <c r="BL108" s="324" t="s">
        <v>1289</v>
      </c>
      <c r="BM108" s="324" t="s">
        <v>1290</v>
      </c>
      <c r="BN108" s="324" t="s">
        <v>1291</v>
      </c>
      <c r="BO108" s="330"/>
      <c r="BP108" s="385" t="str">
        <f>IF(G108="X",
   IF(BG108="Applicabile",
      IF(BJ108&lt;&gt;"",
         _xlfn.XLOOKUP($BJ108,Parametri_RA!$B:$B,Parametri_RA!$D:$D,0),
         0),
      ""),
   "")</f>
        <v/>
      </c>
      <c r="BQ108" s="385" t="str">
        <f>IF(H108="X",
   IF(BG108="Applicabile",
      IF(BJ108&lt;&gt;"",
         _xlfn.XLOOKUP($BJ108,Parametri_RA!$B:$B,Parametri_RA!$D:$D,0),
         0),
      ""),
   "")</f>
        <v/>
      </c>
      <c r="BR108" s="385" t="str">
        <f t="shared" si="94"/>
        <v/>
      </c>
      <c r="BS108" s="385" t="str">
        <f t="shared" si="95"/>
        <v/>
      </c>
      <c r="BT108" s="385" t="str">
        <f t="shared" si="96"/>
        <v/>
      </c>
      <c r="BU108" s="385" t="str">
        <f t="shared" si="97"/>
        <v/>
      </c>
      <c r="BV108" s="385" t="str">
        <f t="shared" si="98"/>
        <v/>
      </c>
      <c r="BW108" s="385" t="str">
        <f t="shared" si="99"/>
        <v/>
      </c>
      <c r="BX108" s="385" t="str">
        <f t="shared" si="100"/>
        <v/>
      </c>
      <c r="BY108" s="385" t="str">
        <f t="shared" si="101"/>
        <v/>
      </c>
      <c r="BZ108" s="385" t="str">
        <f t="shared" si="102"/>
        <v/>
      </c>
      <c r="CA108" s="385" t="str">
        <f t="shared" si="103"/>
        <v/>
      </c>
      <c r="CB108" s="385" t="str">
        <f t="shared" si="104"/>
        <v/>
      </c>
      <c r="CC108" s="385" t="str">
        <f t="shared" si="105"/>
        <v/>
      </c>
      <c r="CD108" s="385" t="str">
        <f t="shared" si="106"/>
        <v/>
      </c>
      <c r="CE108" s="385" t="str">
        <f t="shared" si="107"/>
        <v/>
      </c>
      <c r="CF108" s="385" t="str">
        <f t="shared" si="108"/>
        <v/>
      </c>
      <c r="CG108" s="385" t="str">
        <f t="shared" si="109"/>
        <v/>
      </c>
      <c r="CH108" s="385" t="str">
        <f t="shared" si="110"/>
        <v/>
      </c>
      <c r="CI108" s="385" t="str">
        <f t="shared" si="111"/>
        <v/>
      </c>
      <c r="CJ108" s="385" t="str">
        <f t="shared" si="112"/>
        <v/>
      </c>
      <c r="CK108" s="385" t="str">
        <f t="shared" si="113"/>
        <v/>
      </c>
      <c r="CL108" s="385" t="str">
        <f t="shared" si="114"/>
        <v/>
      </c>
      <c r="CM108" s="385" t="str">
        <f t="shared" si="115"/>
        <v/>
      </c>
      <c r="CN108" s="385" t="str">
        <f t="shared" si="116"/>
        <v/>
      </c>
      <c r="CO108" s="385" t="str">
        <f t="shared" si="117"/>
        <v/>
      </c>
      <c r="CP108" s="385" t="str">
        <f t="shared" si="118"/>
        <v/>
      </c>
      <c r="CQ108" s="385" t="str">
        <f t="shared" si="119"/>
        <v/>
      </c>
      <c r="CR108" s="385" t="str">
        <f t="shared" si="120"/>
        <v/>
      </c>
      <c r="CS108" s="385" t="str">
        <f t="shared" si="121"/>
        <v/>
      </c>
      <c r="CT108" s="385" t="str">
        <f t="shared" si="122"/>
        <v/>
      </c>
      <c r="CU108" s="385" t="str">
        <f t="shared" si="123"/>
        <v/>
      </c>
      <c r="CV108" s="385" t="str">
        <f t="shared" si="124"/>
        <v/>
      </c>
      <c r="CW108" s="385" t="str">
        <f t="shared" si="125"/>
        <v/>
      </c>
      <c r="CX108" s="385" t="str">
        <f t="shared" si="126"/>
        <v/>
      </c>
      <c r="CY108" s="385" t="str">
        <f t="shared" si="127"/>
        <v/>
      </c>
      <c r="CZ108" s="385" t="str">
        <f t="shared" si="128"/>
        <v/>
      </c>
      <c r="DA108" s="385" t="str">
        <f t="shared" si="129"/>
        <v/>
      </c>
      <c r="DB108" s="385" t="str">
        <f t="shared" si="130"/>
        <v/>
      </c>
      <c r="DC108" s="385" t="str">
        <f t="shared" si="131"/>
        <v/>
      </c>
      <c r="DD108" s="385" t="str">
        <f t="shared" si="132"/>
        <v/>
      </c>
      <c r="DE108" s="385" t="str">
        <f t="shared" si="133"/>
        <v/>
      </c>
      <c r="DF108" s="385" t="str">
        <f t="shared" si="134"/>
        <v/>
      </c>
      <c r="DG108" s="385" t="str">
        <f t="shared" si="135"/>
        <v/>
      </c>
      <c r="DH108" s="385" t="str">
        <f t="shared" si="136"/>
        <v/>
      </c>
      <c r="DI108" s="385" t="str">
        <f t="shared" si="137"/>
        <v/>
      </c>
    </row>
    <row r="109" spans="1:113" ht="49.5" x14ac:dyDescent="0.35">
      <c r="A109" s="21"/>
      <c r="B109" s="396">
        <f>'Appoggio_BIA Servizio'!$B$5</f>
        <v>0</v>
      </c>
      <c r="C109" s="392" t="s">
        <v>1286</v>
      </c>
      <c r="D109" s="392" t="s">
        <v>44</v>
      </c>
      <c r="E109" s="393" t="s">
        <v>1292</v>
      </c>
      <c r="F109" s="240" t="s">
        <v>671</v>
      </c>
      <c r="G109" s="398"/>
      <c r="H109" s="240" t="s">
        <v>655</v>
      </c>
      <c r="I109" s="240">
        <v>0.7</v>
      </c>
      <c r="J109" s="240">
        <v>0.7</v>
      </c>
      <c r="K109" s="240">
        <v>0.7</v>
      </c>
      <c r="L109" s="394"/>
      <c r="M109" s="240"/>
      <c r="N109" s="240"/>
      <c r="O109" s="394"/>
      <c r="P109" s="394"/>
      <c r="Q109" s="240">
        <v>0.7</v>
      </c>
      <c r="R109" s="240">
        <v>0.7</v>
      </c>
      <c r="S109" s="240">
        <v>0.4</v>
      </c>
      <c r="T109" s="394"/>
      <c r="U109" s="394"/>
      <c r="V109" s="394"/>
      <c r="W109" s="394">
        <v>0.7</v>
      </c>
      <c r="X109" s="394">
        <v>0.7</v>
      </c>
      <c r="Y109" s="394">
        <v>0.7</v>
      </c>
      <c r="Z109" s="394">
        <v>0.7</v>
      </c>
      <c r="AA109" s="394">
        <v>0.7</v>
      </c>
      <c r="AB109" s="240">
        <v>0.7</v>
      </c>
      <c r="AC109" s="240">
        <v>0.7</v>
      </c>
      <c r="AD109" s="394"/>
      <c r="AE109" s="395"/>
      <c r="AF109" s="395"/>
      <c r="AG109" s="395"/>
      <c r="AH109" s="395"/>
      <c r="AI109" s="395"/>
      <c r="AJ109" s="395"/>
      <c r="AK109" s="395"/>
      <c r="AL109" s="395"/>
      <c r="AM109" s="395"/>
      <c r="AN109" s="395"/>
      <c r="AO109" s="395"/>
      <c r="AP109" s="395"/>
      <c r="AQ109" s="395"/>
      <c r="AR109" s="395"/>
      <c r="AS109" s="395"/>
      <c r="AT109" s="395"/>
      <c r="AU109" s="395"/>
      <c r="AV109" s="395"/>
      <c r="AW109" s="395"/>
      <c r="AX109" s="395"/>
      <c r="AY109" s="395"/>
      <c r="AZ109" s="395"/>
      <c r="BA109" s="395"/>
      <c r="BB109" s="395"/>
      <c r="BC109" s="395">
        <v>1</v>
      </c>
      <c r="BD109" s="395">
        <v>1</v>
      </c>
      <c r="BE109" s="395"/>
      <c r="BF109" s="225">
        <f t="shared" si="138"/>
        <v>0</v>
      </c>
      <c r="BG109" s="226" t="str">
        <f t="shared" si="139"/>
        <v>Non Applicabile</v>
      </c>
      <c r="BH109" s="226" t="s">
        <v>693</v>
      </c>
      <c r="BI109" s="226"/>
      <c r="BJ109" s="229"/>
      <c r="BK109" s="227"/>
      <c r="BL109" s="324" t="s">
        <v>1293</v>
      </c>
      <c r="BM109" s="324" t="s">
        <v>1294</v>
      </c>
      <c r="BN109" s="324" t="s">
        <v>1295</v>
      </c>
      <c r="BO109" s="330"/>
      <c r="BP109" s="385" t="str">
        <f>IF(G109="X",
   IF(BG109="Applicabile",
      IF(BJ109&lt;&gt;"",
         _xlfn.XLOOKUP($BJ109,Parametri_RA!$B:$B,Parametri_RA!$D:$D,0),
         0),
      ""),
   "")</f>
        <v/>
      </c>
      <c r="BQ109" s="385" t="str">
        <f>IF(H109="X",
   IF(BG109="Applicabile",
      IF(BJ109&lt;&gt;"",
         _xlfn.XLOOKUP($BJ109,Parametri_RA!$B:$B,Parametri_RA!$D:$D,0),
         0),
      ""),
   "")</f>
        <v/>
      </c>
      <c r="BR109" s="385" t="str">
        <f t="shared" si="94"/>
        <v/>
      </c>
      <c r="BS109" s="385" t="str">
        <f t="shared" si="95"/>
        <v/>
      </c>
      <c r="BT109" s="385" t="str">
        <f t="shared" si="96"/>
        <v/>
      </c>
      <c r="BU109" s="385" t="str">
        <f t="shared" si="97"/>
        <v/>
      </c>
      <c r="BV109" s="385" t="str">
        <f t="shared" si="98"/>
        <v/>
      </c>
      <c r="BW109" s="385" t="str">
        <f t="shared" si="99"/>
        <v/>
      </c>
      <c r="BX109" s="385" t="str">
        <f t="shared" si="100"/>
        <v/>
      </c>
      <c r="BY109" s="385" t="str">
        <f t="shared" si="101"/>
        <v/>
      </c>
      <c r="BZ109" s="385" t="str">
        <f t="shared" si="102"/>
        <v/>
      </c>
      <c r="CA109" s="385" t="str">
        <f t="shared" si="103"/>
        <v/>
      </c>
      <c r="CB109" s="385" t="str">
        <f t="shared" si="104"/>
        <v/>
      </c>
      <c r="CC109" s="385" t="str">
        <f t="shared" si="105"/>
        <v/>
      </c>
      <c r="CD109" s="385" t="str">
        <f t="shared" si="106"/>
        <v/>
      </c>
      <c r="CE109" s="385" t="str">
        <f t="shared" si="107"/>
        <v/>
      </c>
      <c r="CF109" s="385" t="str">
        <f t="shared" si="108"/>
        <v/>
      </c>
      <c r="CG109" s="385" t="str">
        <f t="shared" si="109"/>
        <v/>
      </c>
      <c r="CH109" s="385" t="str">
        <f t="shared" si="110"/>
        <v/>
      </c>
      <c r="CI109" s="385" t="str">
        <f t="shared" si="111"/>
        <v/>
      </c>
      <c r="CJ109" s="385" t="str">
        <f t="shared" si="112"/>
        <v/>
      </c>
      <c r="CK109" s="385" t="str">
        <f t="shared" si="113"/>
        <v/>
      </c>
      <c r="CL109" s="385" t="str">
        <f t="shared" si="114"/>
        <v/>
      </c>
      <c r="CM109" s="385" t="str">
        <f t="shared" si="115"/>
        <v/>
      </c>
      <c r="CN109" s="385" t="str">
        <f t="shared" si="116"/>
        <v/>
      </c>
      <c r="CO109" s="385" t="str">
        <f t="shared" si="117"/>
        <v/>
      </c>
      <c r="CP109" s="385" t="str">
        <f t="shared" si="118"/>
        <v/>
      </c>
      <c r="CQ109" s="385" t="str">
        <f t="shared" si="119"/>
        <v/>
      </c>
      <c r="CR109" s="385" t="str">
        <f t="shared" si="120"/>
        <v/>
      </c>
      <c r="CS109" s="385" t="str">
        <f t="shared" si="121"/>
        <v/>
      </c>
      <c r="CT109" s="385" t="str">
        <f t="shared" si="122"/>
        <v/>
      </c>
      <c r="CU109" s="385" t="str">
        <f t="shared" si="123"/>
        <v/>
      </c>
      <c r="CV109" s="385" t="str">
        <f t="shared" si="124"/>
        <v/>
      </c>
      <c r="CW109" s="385" t="str">
        <f t="shared" si="125"/>
        <v/>
      </c>
      <c r="CX109" s="385" t="str">
        <f t="shared" si="126"/>
        <v/>
      </c>
      <c r="CY109" s="385" t="str">
        <f t="shared" si="127"/>
        <v/>
      </c>
      <c r="CZ109" s="385" t="str">
        <f t="shared" si="128"/>
        <v/>
      </c>
      <c r="DA109" s="385" t="str">
        <f t="shared" si="129"/>
        <v/>
      </c>
      <c r="DB109" s="385" t="str">
        <f t="shared" si="130"/>
        <v/>
      </c>
      <c r="DC109" s="385" t="str">
        <f t="shared" si="131"/>
        <v/>
      </c>
      <c r="DD109" s="385" t="str">
        <f t="shared" si="132"/>
        <v/>
      </c>
      <c r="DE109" s="385" t="str">
        <f t="shared" si="133"/>
        <v/>
      </c>
      <c r="DF109" s="385" t="str">
        <f t="shared" si="134"/>
        <v/>
      </c>
      <c r="DG109" s="385" t="str">
        <f t="shared" si="135"/>
        <v/>
      </c>
      <c r="DH109" s="385" t="str">
        <f t="shared" si="136"/>
        <v/>
      </c>
      <c r="DI109" s="385" t="str">
        <f t="shared" si="137"/>
        <v/>
      </c>
    </row>
    <row r="110" spans="1:113" ht="66" x14ac:dyDescent="0.35">
      <c r="A110" s="21" t="s">
        <v>1296</v>
      </c>
      <c r="B110" s="396">
        <f>'Appoggio_BIA Servizio'!$B$5</f>
        <v>0</v>
      </c>
      <c r="C110" s="392" t="s">
        <v>1286</v>
      </c>
      <c r="D110" s="392" t="s">
        <v>1297</v>
      </c>
      <c r="E110" s="393" t="s">
        <v>1298</v>
      </c>
      <c r="F110" s="240" t="s">
        <v>654</v>
      </c>
      <c r="G110" s="240" t="s">
        <v>655</v>
      </c>
      <c r="H110" s="240" t="s">
        <v>655</v>
      </c>
      <c r="I110" s="240"/>
      <c r="J110" s="240"/>
      <c r="K110" s="240">
        <v>1</v>
      </c>
      <c r="L110" s="394"/>
      <c r="M110" s="240"/>
      <c r="N110" s="240"/>
      <c r="O110" s="394"/>
      <c r="P110" s="394"/>
      <c r="Q110" s="240"/>
      <c r="R110" s="394"/>
      <c r="S110" s="394"/>
      <c r="T110" s="394"/>
      <c r="U110" s="394"/>
      <c r="V110" s="394"/>
      <c r="W110" s="394">
        <v>0.7</v>
      </c>
      <c r="X110" s="394"/>
      <c r="Y110" s="394"/>
      <c r="Z110" s="394"/>
      <c r="AA110" s="394"/>
      <c r="AB110" s="240"/>
      <c r="AC110" s="394">
        <v>1</v>
      </c>
      <c r="AD110" s="394"/>
      <c r="AE110" s="395">
        <v>1</v>
      </c>
      <c r="AF110" s="395"/>
      <c r="AG110" s="395"/>
      <c r="AH110" s="395"/>
      <c r="AI110" s="395">
        <v>1</v>
      </c>
      <c r="AJ110" s="395"/>
      <c r="AK110" s="395">
        <v>1</v>
      </c>
      <c r="AL110" s="395">
        <v>1</v>
      </c>
      <c r="AM110" s="395">
        <v>1</v>
      </c>
      <c r="AN110" s="395">
        <v>1</v>
      </c>
      <c r="AO110" s="395">
        <v>1</v>
      </c>
      <c r="AP110" s="395">
        <v>1</v>
      </c>
      <c r="AQ110" s="395">
        <v>1</v>
      </c>
      <c r="AR110" s="395">
        <v>1</v>
      </c>
      <c r="AS110" s="395">
        <v>1</v>
      </c>
      <c r="AT110" s="395">
        <v>1</v>
      </c>
      <c r="AU110" s="395">
        <v>1</v>
      </c>
      <c r="AV110" s="395">
        <v>1</v>
      </c>
      <c r="AW110" s="395">
        <v>1</v>
      </c>
      <c r="AX110" s="395">
        <v>1</v>
      </c>
      <c r="AY110" s="395">
        <v>1</v>
      </c>
      <c r="AZ110" s="395">
        <v>1</v>
      </c>
      <c r="BA110" s="395">
        <v>1</v>
      </c>
      <c r="BB110" s="395">
        <v>1</v>
      </c>
      <c r="BC110" s="395">
        <v>1</v>
      </c>
      <c r="BD110" s="395">
        <v>1</v>
      </c>
      <c r="BE110" s="395"/>
      <c r="BF110" s="225">
        <f t="shared" si="138"/>
        <v>0</v>
      </c>
      <c r="BG110" s="226" t="str">
        <f t="shared" si="139"/>
        <v>Non Applicabile</v>
      </c>
      <c r="BH110" s="226" t="s">
        <v>693</v>
      </c>
      <c r="BI110" s="228"/>
      <c r="BJ110" s="229"/>
      <c r="BK110" s="227"/>
      <c r="BL110" s="324" t="s">
        <v>1299</v>
      </c>
      <c r="BM110" s="324" t="s">
        <v>1300</v>
      </c>
      <c r="BN110" s="324" t="s">
        <v>1301</v>
      </c>
      <c r="BO110" s="330"/>
      <c r="BP110" s="385" t="str">
        <f>IF(G110="X",
   IF(BG110="Applicabile",
      IF(BJ110&lt;&gt;"",
         _xlfn.XLOOKUP($BJ110,Parametri_RA!$B:$B,Parametri_RA!$D:$D,0),
         0),
      ""),
   "")</f>
        <v/>
      </c>
      <c r="BQ110" s="385" t="str">
        <f>IF(H110="X",
   IF(BG110="Applicabile",
      IF(BJ110&lt;&gt;"",
         _xlfn.XLOOKUP($BJ110,Parametri_RA!$B:$B,Parametri_RA!$D:$D,0),
         0),
      ""),
   "")</f>
        <v/>
      </c>
      <c r="BR110" s="385" t="str">
        <f t="shared" si="94"/>
        <v/>
      </c>
      <c r="BS110" s="385" t="str">
        <f t="shared" si="95"/>
        <v/>
      </c>
      <c r="BT110" s="385" t="str">
        <f t="shared" si="96"/>
        <v/>
      </c>
      <c r="BU110" s="385" t="str">
        <f t="shared" si="97"/>
        <v/>
      </c>
      <c r="BV110" s="385" t="str">
        <f t="shared" si="98"/>
        <v/>
      </c>
      <c r="BW110" s="385" t="str">
        <f t="shared" si="99"/>
        <v/>
      </c>
      <c r="BX110" s="385" t="str">
        <f t="shared" si="100"/>
        <v/>
      </c>
      <c r="BY110" s="385" t="str">
        <f t="shared" si="101"/>
        <v/>
      </c>
      <c r="BZ110" s="385" t="str">
        <f t="shared" si="102"/>
        <v/>
      </c>
      <c r="CA110" s="385" t="str">
        <f t="shared" si="103"/>
        <v/>
      </c>
      <c r="CB110" s="385" t="str">
        <f t="shared" si="104"/>
        <v/>
      </c>
      <c r="CC110" s="385" t="str">
        <f t="shared" si="105"/>
        <v/>
      </c>
      <c r="CD110" s="385" t="str">
        <f t="shared" si="106"/>
        <v/>
      </c>
      <c r="CE110" s="385" t="str">
        <f t="shared" si="107"/>
        <v/>
      </c>
      <c r="CF110" s="385" t="str">
        <f t="shared" si="108"/>
        <v/>
      </c>
      <c r="CG110" s="385" t="str">
        <f t="shared" si="109"/>
        <v/>
      </c>
      <c r="CH110" s="385" t="str">
        <f t="shared" si="110"/>
        <v/>
      </c>
      <c r="CI110" s="385" t="str">
        <f t="shared" si="111"/>
        <v/>
      </c>
      <c r="CJ110" s="385" t="str">
        <f t="shared" si="112"/>
        <v/>
      </c>
      <c r="CK110" s="385" t="str">
        <f t="shared" si="113"/>
        <v/>
      </c>
      <c r="CL110" s="385" t="str">
        <f t="shared" si="114"/>
        <v/>
      </c>
      <c r="CM110" s="385" t="str">
        <f t="shared" si="115"/>
        <v/>
      </c>
      <c r="CN110" s="385" t="str">
        <f t="shared" si="116"/>
        <v/>
      </c>
      <c r="CO110" s="385" t="str">
        <f t="shared" si="117"/>
        <v/>
      </c>
      <c r="CP110" s="385" t="str">
        <f t="shared" si="118"/>
        <v/>
      </c>
      <c r="CQ110" s="385" t="str">
        <f t="shared" si="119"/>
        <v/>
      </c>
      <c r="CR110" s="385" t="str">
        <f t="shared" si="120"/>
        <v/>
      </c>
      <c r="CS110" s="385" t="str">
        <f t="shared" si="121"/>
        <v/>
      </c>
      <c r="CT110" s="385" t="str">
        <f t="shared" si="122"/>
        <v/>
      </c>
      <c r="CU110" s="385" t="str">
        <f t="shared" si="123"/>
        <v/>
      </c>
      <c r="CV110" s="385" t="str">
        <f t="shared" si="124"/>
        <v/>
      </c>
      <c r="CW110" s="385" t="str">
        <f t="shared" si="125"/>
        <v/>
      </c>
      <c r="CX110" s="385" t="str">
        <f t="shared" si="126"/>
        <v/>
      </c>
      <c r="CY110" s="385" t="str">
        <f t="shared" si="127"/>
        <v/>
      </c>
      <c r="CZ110" s="385" t="str">
        <f t="shared" si="128"/>
        <v/>
      </c>
      <c r="DA110" s="385" t="str">
        <f t="shared" si="129"/>
        <v/>
      </c>
      <c r="DB110" s="385" t="str">
        <f t="shared" si="130"/>
        <v/>
      </c>
      <c r="DC110" s="385" t="str">
        <f t="shared" si="131"/>
        <v/>
      </c>
      <c r="DD110" s="385" t="str">
        <f t="shared" si="132"/>
        <v/>
      </c>
      <c r="DE110" s="385" t="str">
        <f t="shared" si="133"/>
        <v/>
      </c>
      <c r="DF110" s="385" t="str">
        <f t="shared" si="134"/>
        <v/>
      </c>
      <c r="DG110" s="385" t="str">
        <f t="shared" si="135"/>
        <v/>
      </c>
      <c r="DH110" s="385" t="str">
        <f t="shared" si="136"/>
        <v/>
      </c>
      <c r="DI110" s="385" t="str">
        <f t="shared" si="137"/>
        <v/>
      </c>
    </row>
    <row r="111" spans="1:113" ht="49.5" x14ac:dyDescent="0.35">
      <c r="A111" s="21" t="s">
        <v>1302</v>
      </c>
      <c r="B111" s="396">
        <f>'Appoggio_BIA Servizio'!$B$5</f>
        <v>0</v>
      </c>
      <c r="C111" s="392" t="s">
        <v>1286</v>
      </c>
      <c r="D111" s="392" t="s">
        <v>1303</v>
      </c>
      <c r="E111" s="393" t="s">
        <v>1304</v>
      </c>
      <c r="F111" s="240" t="s">
        <v>671</v>
      </c>
      <c r="G111" s="240" t="s">
        <v>655</v>
      </c>
      <c r="H111" s="240" t="s">
        <v>655</v>
      </c>
      <c r="I111" s="240"/>
      <c r="J111" s="240"/>
      <c r="K111" s="240">
        <v>0.7</v>
      </c>
      <c r="L111" s="394"/>
      <c r="M111" s="240"/>
      <c r="N111" s="240"/>
      <c r="O111" s="394"/>
      <c r="P111" s="394"/>
      <c r="Q111" s="240"/>
      <c r="R111" s="394"/>
      <c r="S111" s="394"/>
      <c r="T111" s="394"/>
      <c r="U111" s="394"/>
      <c r="V111" s="394"/>
      <c r="W111" s="394"/>
      <c r="X111" s="394">
        <v>0.7</v>
      </c>
      <c r="Y111" s="394">
        <v>0.7</v>
      </c>
      <c r="Z111" s="394">
        <v>0.7</v>
      </c>
      <c r="AA111" s="394">
        <v>0.7</v>
      </c>
      <c r="AB111" s="240"/>
      <c r="AC111" s="394">
        <v>0.4</v>
      </c>
      <c r="AD111" s="394"/>
      <c r="AE111" s="395">
        <v>1</v>
      </c>
      <c r="AF111" s="395"/>
      <c r="AG111" s="395"/>
      <c r="AH111" s="395"/>
      <c r="AI111" s="395">
        <v>1</v>
      </c>
      <c r="AJ111" s="395"/>
      <c r="AK111" s="395">
        <v>1</v>
      </c>
      <c r="AL111" s="395">
        <v>1</v>
      </c>
      <c r="AM111" s="395">
        <v>1</v>
      </c>
      <c r="AN111" s="395">
        <v>1</v>
      </c>
      <c r="AO111" s="395">
        <v>1</v>
      </c>
      <c r="AP111" s="395">
        <v>1</v>
      </c>
      <c r="AQ111" s="395">
        <v>1</v>
      </c>
      <c r="AR111" s="395">
        <v>1</v>
      </c>
      <c r="AS111" s="395">
        <v>1</v>
      </c>
      <c r="AT111" s="395">
        <v>1</v>
      </c>
      <c r="AU111" s="395">
        <v>1</v>
      </c>
      <c r="AV111" s="395">
        <v>1</v>
      </c>
      <c r="AW111" s="395">
        <v>1</v>
      </c>
      <c r="AX111" s="395">
        <v>1</v>
      </c>
      <c r="AY111" s="395">
        <v>1</v>
      </c>
      <c r="AZ111" s="395">
        <v>1</v>
      </c>
      <c r="BA111" s="395">
        <v>1</v>
      </c>
      <c r="BB111" s="395">
        <v>1</v>
      </c>
      <c r="BC111" s="395">
        <v>1</v>
      </c>
      <c r="BD111" s="395">
        <v>1</v>
      </c>
      <c r="BE111" s="395"/>
      <c r="BF111" s="225">
        <f t="shared" si="138"/>
        <v>0</v>
      </c>
      <c r="BG111" s="226" t="str">
        <f t="shared" si="139"/>
        <v>Non Applicabile</v>
      </c>
      <c r="BH111" s="226" t="s">
        <v>1305</v>
      </c>
      <c r="BI111" s="228"/>
      <c r="BJ111" s="229"/>
      <c r="BK111" s="227"/>
      <c r="BL111" s="324" t="s">
        <v>1306</v>
      </c>
      <c r="BM111" s="324" t="s">
        <v>1307</v>
      </c>
      <c r="BN111" s="324" t="s">
        <v>1308</v>
      </c>
      <c r="BO111" s="330"/>
      <c r="BP111" s="385" t="str">
        <f>IF(G111="X",
   IF(BG111="Applicabile",
      IF(BJ111&lt;&gt;"",
         _xlfn.XLOOKUP($BJ111,Parametri_RA!$B:$B,Parametri_RA!$D:$D,0),
         0),
      ""),
   "")</f>
        <v/>
      </c>
      <c r="BQ111" s="385" t="str">
        <f>IF(H111="X",
   IF(BG111="Applicabile",
      IF(BJ111&lt;&gt;"",
         _xlfn.XLOOKUP($BJ111,Parametri_RA!$B:$B,Parametri_RA!$D:$D,0),
         0),
      ""),
   "")</f>
        <v/>
      </c>
      <c r="BR111" s="385" t="str">
        <f t="shared" si="94"/>
        <v/>
      </c>
      <c r="BS111" s="385" t="str">
        <f t="shared" si="95"/>
        <v/>
      </c>
      <c r="BT111" s="385" t="str">
        <f t="shared" si="96"/>
        <v/>
      </c>
      <c r="BU111" s="385" t="str">
        <f t="shared" si="97"/>
        <v/>
      </c>
      <c r="BV111" s="385" t="str">
        <f t="shared" si="98"/>
        <v/>
      </c>
      <c r="BW111" s="385" t="str">
        <f t="shared" si="99"/>
        <v/>
      </c>
      <c r="BX111" s="385" t="str">
        <f t="shared" si="100"/>
        <v/>
      </c>
      <c r="BY111" s="385" t="str">
        <f t="shared" si="101"/>
        <v/>
      </c>
      <c r="BZ111" s="385" t="str">
        <f t="shared" si="102"/>
        <v/>
      </c>
      <c r="CA111" s="385" t="str">
        <f t="shared" si="103"/>
        <v/>
      </c>
      <c r="CB111" s="385" t="str">
        <f t="shared" si="104"/>
        <v/>
      </c>
      <c r="CC111" s="385" t="str">
        <f t="shared" si="105"/>
        <v/>
      </c>
      <c r="CD111" s="385" t="str">
        <f t="shared" si="106"/>
        <v/>
      </c>
      <c r="CE111" s="385" t="str">
        <f t="shared" si="107"/>
        <v/>
      </c>
      <c r="CF111" s="385" t="str">
        <f t="shared" si="108"/>
        <v/>
      </c>
      <c r="CG111" s="385" t="str">
        <f t="shared" si="109"/>
        <v/>
      </c>
      <c r="CH111" s="385" t="str">
        <f t="shared" si="110"/>
        <v/>
      </c>
      <c r="CI111" s="385" t="str">
        <f t="shared" si="111"/>
        <v/>
      </c>
      <c r="CJ111" s="385" t="str">
        <f t="shared" si="112"/>
        <v/>
      </c>
      <c r="CK111" s="385" t="str">
        <f t="shared" si="113"/>
        <v/>
      </c>
      <c r="CL111" s="385" t="str">
        <f t="shared" si="114"/>
        <v/>
      </c>
      <c r="CM111" s="385" t="str">
        <f t="shared" si="115"/>
        <v/>
      </c>
      <c r="CN111" s="385" t="str">
        <f t="shared" si="116"/>
        <v/>
      </c>
      <c r="CO111" s="385" t="str">
        <f t="shared" si="117"/>
        <v/>
      </c>
      <c r="CP111" s="385" t="str">
        <f t="shared" si="118"/>
        <v/>
      </c>
      <c r="CQ111" s="385" t="str">
        <f t="shared" si="119"/>
        <v/>
      </c>
      <c r="CR111" s="385" t="str">
        <f t="shared" si="120"/>
        <v/>
      </c>
      <c r="CS111" s="385" t="str">
        <f t="shared" si="121"/>
        <v/>
      </c>
      <c r="CT111" s="385" t="str">
        <f t="shared" si="122"/>
        <v/>
      </c>
      <c r="CU111" s="385" t="str">
        <f t="shared" si="123"/>
        <v/>
      </c>
      <c r="CV111" s="385" t="str">
        <f t="shared" si="124"/>
        <v/>
      </c>
      <c r="CW111" s="385" t="str">
        <f t="shared" si="125"/>
        <v/>
      </c>
      <c r="CX111" s="385" t="str">
        <f t="shared" si="126"/>
        <v/>
      </c>
      <c r="CY111" s="385" t="str">
        <f t="shared" si="127"/>
        <v/>
      </c>
      <c r="CZ111" s="385" t="str">
        <f t="shared" si="128"/>
        <v/>
      </c>
      <c r="DA111" s="385" t="str">
        <f t="shared" si="129"/>
        <v/>
      </c>
      <c r="DB111" s="385" t="str">
        <f t="shared" si="130"/>
        <v/>
      </c>
      <c r="DC111" s="385" t="str">
        <f t="shared" si="131"/>
        <v/>
      </c>
      <c r="DD111" s="385" t="str">
        <f t="shared" si="132"/>
        <v/>
      </c>
      <c r="DE111" s="385" t="str">
        <f t="shared" si="133"/>
        <v/>
      </c>
      <c r="DF111" s="385" t="str">
        <f t="shared" si="134"/>
        <v/>
      </c>
      <c r="DG111" s="385" t="str">
        <f t="shared" si="135"/>
        <v/>
      </c>
      <c r="DH111" s="385" t="str">
        <f t="shared" si="136"/>
        <v/>
      </c>
      <c r="DI111" s="385" t="str">
        <f t="shared" si="137"/>
        <v/>
      </c>
    </row>
    <row r="112" spans="1:113" ht="49.5" x14ac:dyDescent="0.35">
      <c r="A112" s="21" t="s">
        <v>1309</v>
      </c>
      <c r="B112" s="396">
        <f>'Appoggio_BIA Servizio'!$B$5</f>
        <v>0</v>
      </c>
      <c r="C112" s="392" t="s">
        <v>1286</v>
      </c>
      <c r="D112" s="392" t="s">
        <v>1310</v>
      </c>
      <c r="E112" s="393" t="s">
        <v>1311</v>
      </c>
      <c r="F112" s="240" t="s">
        <v>654</v>
      </c>
      <c r="G112" s="398"/>
      <c r="H112" s="240" t="s">
        <v>655</v>
      </c>
      <c r="I112" s="240">
        <v>1</v>
      </c>
      <c r="J112" s="240">
        <v>1</v>
      </c>
      <c r="K112" s="240"/>
      <c r="L112" s="394"/>
      <c r="M112" s="240"/>
      <c r="N112" s="240">
        <v>1</v>
      </c>
      <c r="O112" s="394"/>
      <c r="P112" s="394"/>
      <c r="Q112" s="240">
        <v>1</v>
      </c>
      <c r="R112" s="394"/>
      <c r="S112" s="394"/>
      <c r="T112" s="394"/>
      <c r="U112" s="394"/>
      <c r="V112" s="394"/>
      <c r="W112" s="394"/>
      <c r="X112" s="394">
        <v>0.7</v>
      </c>
      <c r="Y112" s="394">
        <v>0.7</v>
      </c>
      <c r="Z112" s="394">
        <v>0.7</v>
      </c>
      <c r="AA112" s="394">
        <v>0.7</v>
      </c>
      <c r="AB112" s="240"/>
      <c r="AC112" s="394"/>
      <c r="AD112" s="394"/>
      <c r="AE112" s="395"/>
      <c r="AF112" s="395"/>
      <c r="AG112" s="395"/>
      <c r="AH112" s="395"/>
      <c r="AI112" s="395"/>
      <c r="AJ112" s="395"/>
      <c r="AK112" s="395"/>
      <c r="AL112" s="395"/>
      <c r="AM112" s="395"/>
      <c r="AN112" s="395"/>
      <c r="AO112" s="395"/>
      <c r="AP112" s="395"/>
      <c r="AQ112" s="395"/>
      <c r="AR112" s="395"/>
      <c r="AS112" s="395"/>
      <c r="AT112" s="395"/>
      <c r="AU112" s="395"/>
      <c r="AV112" s="395"/>
      <c r="AW112" s="395"/>
      <c r="AX112" s="395"/>
      <c r="AY112" s="395"/>
      <c r="AZ112" s="395"/>
      <c r="BA112" s="395"/>
      <c r="BB112" s="395"/>
      <c r="BC112" s="395">
        <v>1</v>
      </c>
      <c r="BD112" s="395">
        <v>1</v>
      </c>
      <c r="BE112" s="395"/>
      <c r="BF112" s="225">
        <f t="shared" si="138"/>
        <v>0</v>
      </c>
      <c r="BG112" s="226" t="str">
        <f t="shared" si="139"/>
        <v>Non Applicabile</v>
      </c>
      <c r="BH112" s="226" t="s">
        <v>693</v>
      </c>
      <c r="BI112" s="228"/>
      <c r="BJ112" s="229"/>
      <c r="BK112" s="227"/>
      <c r="BL112" s="324" t="s">
        <v>1312</v>
      </c>
      <c r="BM112" s="324" t="s">
        <v>1313</v>
      </c>
      <c r="BN112" s="324" t="s">
        <v>1314</v>
      </c>
      <c r="BO112" s="330"/>
      <c r="BP112" s="385" t="str">
        <f>IF(G112="X",
   IF(BG112="Applicabile",
      IF(BJ112&lt;&gt;"",
         _xlfn.XLOOKUP($BJ112,Parametri_RA!$B:$B,Parametri_RA!$D:$D,0),
         0),
      ""),
   "")</f>
        <v/>
      </c>
      <c r="BQ112" s="385" t="str">
        <f>IF(H112="X",
   IF(BG112="Applicabile",
      IF(BJ112&lt;&gt;"",
         _xlfn.XLOOKUP($BJ112,Parametri_RA!$B:$B,Parametri_RA!$D:$D,0),
         0),
      ""),
   "")</f>
        <v/>
      </c>
      <c r="BR112" s="385" t="str">
        <f t="shared" si="94"/>
        <v/>
      </c>
      <c r="BS112" s="385" t="str">
        <f t="shared" si="95"/>
        <v/>
      </c>
      <c r="BT112" s="385" t="str">
        <f t="shared" si="96"/>
        <v/>
      </c>
      <c r="BU112" s="385" t="str">
        <f t="shared" si="97"/>
        <v/>
      </c>
      <c r="BV112" s="385" t="str">
        <f t="shared" si="98"/>
        <v/>
      </c>
      <c r="BW112" s="385" t="str">
        <f t="shared" si="99"/>
        <v/>
      </c>
      <c r="BX112" s="385" t="str">
        <f t="shared" si="100"/>
        <v/>
      </c>
      <c r="BY112" s="385" t="str">
        <f t="shared" si="101"/>
        <v/>
      </c>
      <c r="BZ112" s="385" t="str">
        <f t="shared" si="102"/>
        <v/>
      </c>
      <c r="CA112" s="385" t="str">
        <f t="shared" si="103"/>
        <v/>
      </c>
      <c r="CB112" s="385" t="str">
        <f t="shared" si="104"/>
        <v/>
      </c>
      <c r="CC112" s="385" t="str">
        <f t="shared" si="105"/>
        <v/>
      </c>
      <c r="CD112" s="385" t="str">
        <f t="shared" si="106"/>
        <v/>
      </c>
      <c r="CE112" s="385" t="str">
        <f t="shared" si="107"/>
        <v/>
      </c>
      <c r="CF112" s="385" t="str">
        <f t="shared" si="108"/>
        <v/>
      </c>
      <c r="CG112" s="385" t="str">
        <f t="shared" si="109"/>
        <v/>
      </c>
      <c r="CH112" s="385" t="str">
        <f t="shared" si="110"/>
        <v/>
      </c>
      <c r="CI112" s="385" t="str">
        <f t="shared" si="111"/>
        <v/>
      </c>
      <c r="CJ112" s="385" t="str">
        <f t="shared" si="112"/>
        <v/>
      </c>
      <c r="CK112" s="385" t="str">
        <f t="shared" si="113"/>
        <v/>
      </c>
      <c r="CL112" s="385" t="str">
        <f t="shared" si="114"/>
        <v/>
      </c>
      <c r="CM112" s="385" t="str">
        <f t="shared" si="115"/>
        <v/>
      </c>
      <c r="CN112" s="385" t="str">
        <f t="shared" si="116"/>
        <v/>
      </c>
      <c r="CO112" s="385" t="str">
        <f t="shared" si="117"/>
        <v/>
      </c>
      <c r="CP112" s="385" t="str">
        <f t="shared" si="118"/>
        <v/>
      </c>
      <c r="CQ112" s="385" t="str">
        <f t="shared" si="119"/>
        <v/>
      </c>
      <c r="CR112" s="385" t="str">
        <f t="shared" si="120"/>
        <v/>
      </c>
      <c r="CS112" s="385" t="str">
        <f t="shared" si="121"/>
        <v/>
      </c>
      <c r="CT112" s="385" t="str">
        <f t="shared" si="122"/>
        <v/>
      </c>
      <c r="CU112" s="385" t="str">
        <f t="shared" si="123"/>
        <v/>
      </c>
      <c r="CV112" s="385" t="str">
        <f t="shared" si="124"/>
        <v/>
      </c>
      <c r="CW112" s="385" t="str">
        <f t="shared" si="125"/>
        <v/>
      </c>
      <c r="CX112" s="385" t="str">
        <f t="shared" si="126"/>
        <v/>
      </c>
      <c r="CY112" s="385" t="str">
        <f t="shared" si="127"/>
        <v/>
      </c>
      <c r="CZ112" s="385" t="str">
        <f t="shared" si="128"/>
        <v/>
      </c>
      <c r="DA112" s="385" t="str">
        <f t="shared" si="129"/>
        <v/>
      </c>
      <c r="DB112" s="385" t="str">
        <f t="shared" si="130"/>
        <v/>
      </c>
      <c r="DC112" s="385" t="str">
        <f t="shared" si="131"/>
        <v/>
      </c>
      <c r="DD112" s="385" t="str">
        <f t="shared" si="132"/>
        <v/>
      </c>
      <c r="DE112" s="385" t="str">
        <f t="shared" si="133"/>
        <v/>
      </c>
      <c r="DF112" s="385" t="str">
        <f t="shared" si="134"/>
        <v/>
      </c>
      <c r="DG112" s="385" t="str">
        <f t="shared" si="135"/>
        <v/>
      </c>
      <c r="DH112" s="385" t="str">
        <f t="shared" si="136"/>
        <v/>
      </c>
      <c r="DI112" s="385" t="str">
        <f t="shared" si="137"/>
        <v/>
      </c>
    </row>
    <row r="113" spans="1:113" ht="66" x14ac:dyDescent="0.35">
      <c r="A113" s="21" t="s">
        <v>1315</v>
      </c>
      <c r="B113" s="396">
        <f>'Appoggio_BIA Servizio'!$B$5</f>
        <v>0</v>
      </c>
      <c r="C113" s="392" t="s">
        <v>1286</v>
      </c>
      <c r="D113" s="392" t="s">
        <v>1316</v>
      </c>
      <c r="E113" s="393" t="s">
        <v>1317</v>
      </c>
      <c r="F113" s="240" t="s">
        <v>654</v>
      </c>
      <c r="G113" s="398"/>
      <c r="H113" s="240" t="s">
        <v>655</v>
      </c>
      <c r="I113" s="240"/>
      <c r="J113" s="240"/>
      <c r="K113" s="240">
        <v>1</v>
      </c>
      <c r="L113" s="394"/>
      <c r="M113" s="240"/>
      <c r="N113" s="240"/>
      <c r="O113" s="394"/>
      <c r="P113" s="394"/>
      <c r="Q113" s="240"/>
      <c r="R113" s="394"/>
      <c r="S113" s="394"/>
      <c r="T113" s="394"/>
      <c r="U113" s="394"/>
      <c r="V113" s="394"/>
      <c r="W113" s="394"/>
      <c r="X113" s="394">
        <v>1</v>
      </c>
      <c r="Y113" s="394">
        <v>1</v>
      </c>
      <c r="Z113" s="394">
        <v>1</v>
      </c>
      <c r="AA113" s="394">
        <v>1</v>
      </c>
      <c r="AB113" s="240"/>
      <c r="AC113" s="394">
        <v>1</v>
      </c>
      <c r="AD113" s="394"/>
      <c r="AE113" s="395"/>
      <c r="AF113" s="395"/>
      <c r="AG113" s="395"/>
      <c r="AH113" s="395"/>
      <c r="AI113" s="395"/>
      <c r="AJ113" s="395"/>
      <c r="AK113" s="395"/>
      <c r="AL113" s="395"/>
      <c r="AM113" s="395"/>
      <c r="AN113" s="395"/>
      <c r="AO113" s="395"/>
      <c r="AP113" s="395"/>
      <c r="AQ113" s="395"/>
      <c r="AR113" s="395"/>
      <c r="AS113" s="395"/>
      <c r="AT113" s="395"/>
      <c r="AU113" s="395"/>
      <c r="AV113" s="395"/>
      <c r="AW113" s="395"/>
      <c r="AX113" s="395"/>
      <c r="AY113" s="395"/>
      <c r="AZ113" s="395"/>
      <c r="BA113" s="395"/>
      <c r="BB113" s="395"/>
      <c r="BC113" s="395">
        <v>1</v>
      </c>
      <c r="BD113" s="395">
        <v>1</v>
      </c>
      <c r="BE113" s="395"/>
      <c r="BF113" s="225">
        <f t="shared" si="138"/>
        <v>0</v>
      </c>
      <c r="BG113" s="226" t="str">
        <f t="shared" si="139"/>
        <v>Non Applicabile</v>
      </c>
      <c r="BH113" s="226" t="s">
        <v>693</v>
      </c>
      <c r="BI113" s="228"/>
      <c r="BJ113" s="229"/>
      <c r="BK113" s="227"/>
      <c r="BL113" s="324" t="s">
        <v>1318</v>
      </c>
      <c r="BM113" s="324" t="s">
        <v>1319</v>
      </c>
      <c r="BN113" s="324" t="s">
        <v>1320</v>
      </c>
      <c r="BO113" s="330"/>
      <c r="BP113" s="385" t="str">
        <f>IF(G113="X",
   IF(BG113="Applicabile",
      IF(BJ113&lt;&gt;"",
         _xlfn.XLOOKUP($BJ113,Parametri_RA!$B:$B,Parametri_RA!$D:$D,0),
         0),
      ""),
   "")</f>
        <v/>
      </c>
      <c r="BQ113" s="385" t="str">
        <f>IF(H113="X",
   IF(BG113="Applicabile",
      IF(BJ113&lt;&gt;"",
         _xlfn.XLOOKUP($BJ113,Parametri_RA!$B:$B,Parametri_RA!$D:$D,0),
         0),
      ""),
   "")</f>
        <v/>
      </c>
      <c r="BR113" s="385" t="str">
        <f t="shared" si="94"/>
        <v/>
      </c>
      <c r="BS113" s="385" t="str">
        <f t="shared" si="95"/>
        <v/>
      </c>
      <c r="BT113" s="385" t="str">
        <f t="shared" si="96"/>
        <v/>
      </c>
      <c r="BU113" s="385" t="str">
        <f t="shared" si="97"/>
        <v/>
      </c>
      <c r="BV113" s="385" t="str">
        <f t="shared" si="98"/>
        <v/>
      </c>
      <c r="BW113" s="385" t="str">
        <f t="shared" si="99"/>
        <v/>
      </c>
      <c r="BX113" s="385" t="str">
        <f t="shared" si="100"/>
        <v/>
      </c>
      <c r="BY113" s="385" t="str">
        <f t="shared" si="101"/>
        <v/>
      </c>
      <c r="BZ113" s="385" t="str">
        <f t="shared" si="102"/>
        <v/>
      </c>
      <c r="CA113" s="385" t="str">
        <f t="shared" si="103"/>
        <v/>
      </c>
      <c r="CB113" s="385" t="str">
        <f t="shared" si="104"/>
        <v/>
      </c>
      <c r="CC113" s="385" t="str">
        <f t="shared" si="105"/>
        <v/>
      </c>
      <c r="CD113" s="385" t="str">
        <f t="shared" si="106"/>
        <v/>
      </c>
      <c r="CE113" s="385" t="str">
        <f t="shared" si="107"/>
        <v/>
      </c>
      <c r="CF113" s="385" t="str">
        <f t="shared" si="108"/>
        <v/>
      </c>
      <c r="CG113" s="385" t="str">
        <f t="shared" si="109"/>
        <v/>
      </c>
      <c r="CH113" s="385" t="str">
        <f t="shared" si="110"/>
        <v/>
      </c>
      <c r="CI113" s="385" t="str">
        <f t="shared" si="111"/>
        <v/>
      </c>
      <c r="CJ113" s="385" t="str">
        <f t="shared" si="112"/>
        <v/>
      </c>
      <c r="CK113" s="385" t="str">
        <f t="shared" si="113"/>
        <v/>
      </c>
      <c r="CL113" s="385" t="str">
        <f t="shared" si="114"/>
        <v/>
      </c>
      <c r="CM113" s="385" t="str">
        <f t="shared" si="115"/>
        <v/>
      </c>
      <c r="CN113" s="385" t="str">
        <f t="shared" si="116"/>
        <v/>
      </c>
      <c r="CO113" s="385" t="str">
        <f t="shared" si="117"/>
        <v/>
      </c>
      <c r="CP113" s="385" t="str">
        <f t="shared" si="118"/>
        <v/>
      </c>
      <c r="CQ113" s="385" t="str">
        <f t="shared" si="119"/>
        <v/>
      </c>
      <c r="CR113" s="385" t="str">
        <f t="shared" si="120"/>
        <v/>
      </c>
      <c r="CS113" s="385" t="str">
        <f t="shared" si="121"/>
        <v/>
      </c>
      <c r="CT113" s="385" t="str">
        <f t="shared" si="122"/>
        <v/>
      </c>
      <c r="CU113" s="385" t="str">
        <f t="shared" si="123"/>
        <v/>
      </c>
      <c r="CV113" s="385" t="str">
        <f t="shared" si="124"/>
        <v/>
      </c>
      <c r="CW113" s="385" t="str">
        <f t="shared" si="125"/>
        <v/>
      </c>
      <c r="CX113" s="385" t="str">
        <f t="shared" si="126"/>
        <v/>
      </c>
      <c r="CY113" s="385" t="str">
        <f t="shared" si="127"/>
        <v/>
      </c>
      <c r="CZ113" s="385" t="str">
        <f t="shared" si="128"/>
        <v/>
      </c>
      <c r="DA113" s="385" t="str">
        <f t="shared" si="129"/>
        <v/>
      </c>
      <c r="DB113" s="385" t="str">
        <f t="shared" si="130"/>
        <v/>
      </c>
      <c r="DC113" s="385" t="str">
        <f t="shared" si="131"/>
        <v/>
      </c>
      <c r="DD113" s="385" t="str">
        <f t="shared" si="132"/>
        <v/>
      </c>
      <c r="DE113" s="385" t="str">
        <f t="shared" si="133"/>
        <v/>
      </c>
      <c r="DF113" s="385" t="str">
        <f t="shared" si="134"/>
        <v/>
      </c>
      <c r="DG113" s="385" t="str">
        <f t="shared" si="135"/>
        <v/>
      </c>
      <c r="DH113" s="385" t="str">
        <f t="shared" si="136"/>
        <v/>
      </c>
      <c r="DI113" s="385" t="str">
        <f t="shared" si="137"/>
        <v/>
      </c>
    </row>
    <row r="114" spans="1:113" ht="66" x14ac:dyDescent="0.35">
      <c r="A114" s="21"/>
      <c r="B114" s="396">
        <f>'Appoggio_BIA Servizio'!$B$5</f>
        <v>0</v>
      </c>
      <c r="C114" s="392" t="s">
        <v>1286</v>
      </c>
      <c r="D114" s="392" t="s">
        <v>1321</v>
      </c>
      <c r="E114" s="393" t="s">
        <v>1322</v>
      </c>
      <c r="F114" s="240" t="s">
        <v>654</v>
      </c>
      <c r="G114" s="398"/>
      <c r="H114" s="240" t="s">
        <v>655</v>
      </c>
      <c r="I114" s="240"/>
      <c r="J114" s="240"/>
      <c r="K114" s="240"/>
      <c r="L114" s="240"/>
      <c r="M114" s="240"/>
      <c r="N114" s="240"/>
      <c r="O114" s="394"/>
      <c r="P114" s="394"/>
      <c r="Q114" s="240"/>
      <c r="R114" s="394"/>
      <c r="S114" s="394"/>
      <c r="T114" s="394"/>
      <c r="U114" s="394"/>
      <c r="V114" s="394"/>
      <c r="W114" s="394"/>
      <c r="X114" s="394">
        <v>0.7</v>
      </c>
      <c r="Y114" s="394">
        <v>0.7</v>
      </c>
      <c r="Z114" s="394">
        <v>0.7</v>
      </c>
      <c r="AA114" s="394">
        <v>0.7</v>
      </c>
      <c r="AB114" s="240"/>
      <c r="AC114" s="394">
        <v>1</v>
      </c>
      <c r="AD114" s="394"/>
      <c r="AE114" s="395"/>
      <c r="AF114" s="395"/>
      <c r="AG114" s="395"/>
      <c r="AH114" s="395"/>
      <c r="AI114" s="395"/>
      <c r="AJ114" s="395"/>
      <c r="AK114" s="395">
        <v>1</v>
      </c>
      <c r="AL114" s="395"/>
      <c r="AM114" s="395"/>
      <c r="AN114" s="395"/>
      <c r="AO114" s="395"/>
      <c r="AP114" s="395"/>
      <c r="AQ114" s="395"/>
      <c r="AR114" s="395"/>
      <c r="AS114" s="395"/>
      <c r="AT114" s="395"/>
      <c r="AU114" s="395"/>
      <c r="AV114" s="395"/>
      <c r="AW114" s="395"/>
      <c r="AX114" s="395"/>
      <c r="AY114" s="395"/>
      <c r="AZ114" s="395"/>
      <c r="BA114" s="395"/>
      <c r="BB114" s="395"/>
      <c r="BC114" s="395">
        <v>1</v>
      </c>
      <c r="BD114" s="395">
        <v>1</v>
      </c>
      <c r="BE114" s="395">
        <v>1</v>
      </c>
      <c r="BF114" s="225">
        <f t="shared" si="138"/>
        <v>0</v>
      </c>
      <c r="BG114" s="226" t="str">
        <f t="shared" si="139"/>
        <v>Non Applicabile</v>
      </c>
      <c r="BH114" s="226" t="s">
        <v>693</v>
      </c>
      <c r="BI114" s="325"/>
      <c r="BJ114" s="229"/>
      <c r="BK114" s="227"/>
      <c r="BL114" s="324" t="s">
        <v>1323</v>
      </c>
      <c r="BM114" s="324" t="s">
        <v>1324</v>
      </c>
      <c r="BN114" s="324" t="s">
        <v>1325</v>
      </c>
      <c r="BO114" s="330"/>
      <c r="BP114" s="385" t="str">
        <f>IF(G114="X",
   IF(BG114="Applicabile",
      IF(BJ114&lt;&gt;"",
         _xlfn.XLOOKUP($BJ114,Parametri_RA!$B:$B,Parametri_RA!$D:$D,0),
         0),
      ""),
   "")</f>
        <v/>
      </c>
      <c r="BQ114" s="385" t="str">
        <f>IF(H114="X",
   IF(BG114="Applicabile",
      IF(BJ114&lt;&gt;"",
         _xlfn.XLOOKUP($BJ114,Parametri_RA!$B:$B,Parametri_RA!$D:$D,0),
         0),
      ""),
   "")</f>
        <v/>
      </c>
      <c r="BR114" s="385" t="str">
        <f t="shared" si="94"/>
        <v/>
      </c>
      <c r="BS114" s="385" t="str">
        <f t="shared" si="95"/>
        <v/>
      </c>
      <c r="BT114" s="385" t="str">
        <f t="shared" si="96"/>
        <v/>
      </c>
      <c r="BU114" s="385" t="str">
        <f t="shared" si="97"/>
        <v/>
      </c>
      <c r="BV114" s="385" t="str">
        <f t="shared" si="98"/>
        <v/>
      </c>
      <c r="BW114" s="385" t="str">
        <f t="shared" si="99"/>
        <v/>
      </c>
      <c r="BX114" s="385" t="str">
        <f t="shared" si="100"/>
        <v/>
      </c>
      <c r="BY114" s="385" t="str">
        <f t="shared" si="101"/>
        <v/>
      </c>
      <c r="BZ114" s="385" t="str">
        <f t="shared" si="102"/>
        <v/>
      </c>
      <c r="CA114" s="385" t="str">
        <f t="shared" si="103"/>
        <v/>
      </c>
      <c r="CB114" s="385" t="str">
        <f t="shared" si="104"/>
        <v/>
      </c>
      <c r="CC114" s="385" t="str">
        <f t="shared" si="105"/>
        <v/>
      </c>
      <c r="CD114" s="385" t="str">
        <f t="shared" si="106"/>
        <v/>
      </c>
      <c r="CE114" s="385" t="str">
        <f t="shared" si="107"/>
        <v/>
      </c>
      <c r="CF114" s="385" t="str">
        <f t="shared" si="108"/>
        <v/>
      </c>
      <c r="CG114" s="385" t="str">
        <f t="shared" si="109"/>
        <v/>
      </c>
      <c r="CH114" s="385" t="str">
        <f t="shared" si="110"/>
        <v/>
      </c>
      <c r="CI114" s="385" t="str">
        <f t="shared" si="111"/>
        <v/>
      </c>
      <c r="CJ114" s="385" t="str">
        <f t="shared" si="112"/>
        <v/>
      </c>
      <c r="CK114" s="385" t="str">
        <f t="shared" si="113"/>
        <v/>
      </c>
      <c r="CL114" s="385" t="str">
        <f t="shared" si="114"/>
        <v/>
      </c>
      <c r="CM114" s="385" t="str">
        <f t="shared" si="115"/>
        <v/>
      </c>
      <c r="CN114" s="385" t="str">
        <f t="shared" si="116"/>
        <v/>
      </c>
      <c r="CO114" s="385" t="str">
        <f t="shared" si="117"/>
        <v/>
      </c>
      <c r="CP114" s="385" t="str">
        <f t="shared" si="118"/>
        <v/>
      </c>
      <c r="CQ114" s="385" t="str">
        <f t="shared" si="119"/>
        <v/>
      </c>
      <c r="CR114" s="385" t="str">
        <f t="shared" si="120"/>
        <v/>
      </c>
      <c r="CS114" s="385" t="str">
        <f t="shared" si="121"/>
        <v/>
      </c>
      <c r="CT114" s="385" t="str">
        <f t="shared" si="122"/>
        <v/>
      </c>
      <c r="CU114" s="385" t="str">
        <f t="shared" si="123"/>
        <v/>
      </c>
      <c r="CV114" s="385" t="str">
        <f t="shared" si="124"/>
        <v/>
      </c>
      <c r="CW114" s="385" t="str">
        <f t="shared" si="125"/>
        <v/>
      </c>
      <c r="CX114" s="385" t="str">
        <f t="shared" si="126"/>
        <v/>
      </c>
      <c r="CY114" s="385" t="str">
        <f t="shared" si="127"/>
        <v/>
      </c>
      <c r="CZ114" s="385" t="str">
        <f t="shared" si="128"/>
        <v/>
      </c>
      <c r="DA114" s="385" t="str">
        <f t="shared" si="129"/>
        <v/>
      </c>
      <c r="DB114" s="385" t="str">
        <f t="shared" si="130"/>
        <v/>
      </c>
      <c r="DC114" s="385" t="str">
        <f t="shared" si="131"/>
        <v/>
      </c>
      <c r="DD114" s="385" t="str">
        <f t="shared" si="132"/>
        <v/>
      </c>
      <c r="DE114" s="385" t="str">
        <f t="shared" si="133"/>
        <v/>
      </c>
      <c r="DF114" s="385" t="str">
        <f t="shared" si="134"/>
        <v/>
      </c>
      <c r="DG114" s="385" t="str">
        <f t="shared" si="135"/>
        <v/>
      </c>
      <c r="DH114" s="385" t="str">
        <f t="shared" si="136"/>
        <v/>
      </c>
      <c r="DI114" s="385" t="str">
        <f t="shared" si="137"/>
        <v/>
      </c>
    </row>
    <row r="115" spans="1:113" ht="66" x14ac:dyDescent="0.35">
      <c r="A115" s="21"/>
      <c r="B115" s="396">
        <f>'Appoggio_BIA Servizio'!$B$5</f>
        <v>0</v>
      </c>
      <c r="C115" s="392" t="s">
        <v>1286</v>
      </c>
      <c r="D115" s="392" t="s">
        <v>1326</v>
      </c>
      <c r="E115" s="393" t="s">
        <v>1327</v>
      </c>
      <c r="F115" s="240" t="s">
        <v>654</v>
      </c>
      <c r="G115" s="398"/>
      <c r="H115" s="240" t="s">
        <v>655</v>
      </c>
      <c r="I115" s="240"/>
      <c r="J115" s="240"/>
      <c r="K115" s="240"/>
      <c r="L115" s="240"/>
      <c r="M115" s="240"/>
      <c r="N115" s="240"/>
      <c r="O115" s="394"/>
      <c r="P115" s="394"/>
      <c r="Q115" s="240"/>
      <c r="R115" s="394"/>
      <c r="S115" s="394"/>
      <c r="T115" s="394"/>
      <c r="U115" s="394"/>
      <c r="V115" s="394"/>
      <c r="W115" s="394"/>
      <c r="X115" s="394">
        <v>1</v>
      </c>
      <c r="Y115" s="394">
        <v>1</v>
      </c>
      <c r="Z115" s="394"/>
      <c r="AA115" s="394"/>
      <c r="AB115" s="240">
        <v>1</v>
      </c>
      <c r="AC115" s="394"/>
      <c r="AD115" s="394"/>
      <c r="AE115" s="395"/>
      <c r="AF115" s="395"/>
      <c r="AG115" s="395"/>
      <c r="AH115" s="395"/>
      <c r="AI115" s="395"/>
      <c r="AJ115" s="395"/>
      <c r="AK115" s="395"/>
      <c r="AL115" s="395"/>
      <c r="AM115" s="395"/>
      <c r="AN115" s="395"/>
      <c r="AO115" s="395"/>
      <c r="AP115" s="395"/>
      <c r="AQ115" s="395"/>
      <c r="AR115" s="395"/>
      <c r="AS115" s="395"/>
      <c r="AT115" s="395"/>
      <c r="AU115" s="395"/>
      <c r="AV115" s="395"/>
      <c r="AW115" s="395"/>
      <c r="AX115" s="395"/>
      <c r="AY115" s="395"/>
      <c r="AZ115" s="395"/>
      <c r="BA115" s="395"/>
      <c r="BB115" s="395"/>
      <c r="BC115" s="395">
        <v>1</v>
      </c>
      <c r="BD115" s="395">
        <v>1</v>
      </c>
      <c r="BE115" s="395"/>
      <c r="BF115" s="225">
        <f t="shared" si="138"/>
        <v>0</v>
      </c>
      <c r="BG115" s="226" t="str">
        <f t="shared" si="139"/>
        <v>Non Applicabile</v>
      </c>
      <c r="BH115" s="226" t="s">
        <v>693</v>
      </c>
      <c r="BI115" s="325"/>
      <c r="BJ115" s="229"/>
      <c r="BK115" s="227"/>
      <c r="BL115" s="324" t="s">
        <v>1328</v>
      </c>
      <c r="BM115" s="324" t="s">
        <v>1329</v>
      </c>
      <c r="BN115" s="324" t="s">
        <v>1330</v>
      </c>
      <c r="BO115" s="330"/>
      <c r="BP115" s="385" t="str">
        <f>IF(G115="X",
   IF(BG115="Applicabile",
      IF(BJ115&lt;&gt;"",
         _xlfn.XLOOKUP($BJ115,Parametri_RA!$B:$B,Parametri_RA!$D:$D,0),
         0),
      ""),
   "")</f>
        <v/>
      </c>
      <c r="BQ115" s="385" t="str">
        <f>IF(H115="X",
   IF(BG115="Applicabile",
      IF(BJ115&lt;&gt;"",
         _xlfn.XLOOKUP($BJ115,Parametri_RA!$B:$B,Parametri_RA!$D:$D,0),
         0),
      ""),
   "")</f>
        <v/>
      </c>
      <c r="BR115" s="385" t="str">
        <f t="shared" si="94"/>
        <v/>
      </c>
      <c r="BS115" s="385" t="str">
        <f t="shared" si="95"/>
        <v/>
      </c>
      <c r="BT115" s="385" t="str">
        <f t="shared" si="96"/>
        <v/>
      </c>
      <c r="BU115" s="385" t="str">
        <f t="shared" si="97"/>
        <v/>
      </c>
      <c r="BV115" s="385" t="str">
        <f t="shared" si="98"/>
        <v/>
      </c>
      <c r="BW115" s="385" t="str">
        <f t="shared" si="99"/>
        <v/>
      </c>
      <c r="BX115" s="385" t="str">
        <f t="shared" si="100"/>
        <v/>
      </c>
      <c r="BY115" s="385" t="str">
        <f t="shared" si="101"/>
        <v/>
      </c>
      <c r="BZ115" s="385" t="str">
        <f t="shared" si="102"/>
        <v/>
      </c>
      <c r="CA115" s="385" t="str">
        <f t="shared" si="103"/>
        <v/>
      </c>
      <c r="CB115" s="385" t="str">
        <f t="shared" si="104"/>
        <v/>
      </c>
      <c r="CC115" s="385" t="str">
        <f t="shared" si="105"/>
        <v/>
      </c>
      <c r="CD115" s="385" t="str">
        <f t="shared" si="106"/>
        <v/>
      </c>
      <c r="CE115" s="385" t="str">
        <f t="shared" si="107"/>
        <v/>
      </c>
      <c r="CF115" s="385" t="str">
        <f t="shared" si="108"/>
        <v/>
      </c>
      <c r="CG115" s="385" t="str">
        <f t="shared" si="109"/>
        <v/>
      </c>
      <c r="CH115" s="385" t="str">
        <f t="shared" si="110"/>
        <v/>
      </c>
      <c r="CI115" s="385" t="str">
        <f t="shared" si="111"/>
        <v/>
      </c>
      <c r="CJ115" s="385" t="str">
        <f t="shared" si="112"/>
        <v/>
      </c>
      <c r="CK115" s="385" t="str">
        <f t="shared" si="113"/>
        <v/>
      </c>
      <c r="CL115" s="385" t="str">
        <f t="shared" si="114"/>
        <v/>
      </c>
      <c r="CM115" s="385" t="str">
        <f t="shared" si="115"/>
        <v/>
      </c>
      <c r="CN115" s="385" t="str">
        <f t="shared" si="116"/>
        <v/>
      </c>
      <c r="CO115" s="385" t="str">
        <f t="shared" si="117"/>
        <v/>
      </c>
      <c r="CP115" s="385" t="str">
        <f t="shared" si="118"/>
        <v/>
      </c>
      <c r="CQ115" s="385" t="str">
        <f t="shared" si="119"/>
        <v/>
      </c>
      <c r="CR115" s="385" t="str">
        <f t="shared" si="120"/>
        <v/>
      </c>
      <c r="CS115" s="385" t="str">
        <f t="shared" si="121"/>
        <v/>
      </c>
      <c r="CT115" s="385" t="str">
        <f t="shared" si="122"/>
        <v/>
      </c>
      <c r="CU115" s="385" t="str">
        <f t="shared" si="123"/>
        <v/>
      </c>
      <c r="CV115" s="385" t="str">
        <f t="shared" si="124"/>
        <v/>
      </c>
      <c r="CW115" s="385" t="str">
        <f t="shared" si="125"/>
        <v/>
      </c>
      <c r="CX115" s="385" t="str">
        <f t="shared" si="126"/>
        <v/>
      </c>
      <c r="CY115" s="385" t="str">
        <f t="shared" si="127"/>
        <v/>
      </c>
      <c r="CZ115" s="385" t="str">
        <f t="shared" si="128"/>
        <v/>
      </c>
      <c r="DA115" s="385" t="str">
        <f t="shared" si="129"/>
        <v/>
      </c>
      <c r="DB115" s="385" t="str">
        <f t="shared" si="130"/>
        <v/>
      </c>
      <c r="DC115" s="385" t="str">
        <f t="shared" si="131"/>
        <v/>
      </c>
      <c r="DD115" s="385" t="str">
        <f t="shared" si="132"/>
        <v/>
      </c>
      <c r="DE115" s="385" t="str">
        <f t="shared" si="133"/>
        <v/>
      </c>
      <c r="DF115" s="385" t="str">
        <f t="shared" si="134"/>
        <v/>
      </c>
      <c r="DG115" s="385" t="str">
        <f t="shared" si="135"/>
        <v/>
      </c>
      <c r="DH115" s="385" t="str">
        <f t="shared" si="136"/>
        <v/>
      </c>
      <c r="DI115" s="385" t="str">
        <f t="shared" si="137"/>
        <v/>
      </c>
    </row>
    <row r="116" spans="1:113" ht="85" x14ac:dyDescent="0.35">
      <c r="A116" s="21" t="s">
        <v>1331</v>
      </c>
      <c r="B116" s="396">
        <f>'Appoggio_BIA Servizio'!$B$5</f>
        <v>0</v>
      </c>
      <c r="C116" s="392" t="s">
        <v>1286</v>
      </c>
      <c r="D116" s="392" t="s">
        <v>1332</v>
      </c>
      <c r="E116" s="393" t="s">
        <v>1333</v>
      </c>
      <c r="F116" s="240" t="s">
        <v>654</v>
      </c>
      <c r="G116" s="398"/>
      <c r="H116" s="240" t="s">
        <v>655</v>
      </c>
      <c r="I116" s="240">
        <v>1</v>
      </c>
      <c r="J116" s="240">
        <v>1</v>
      </c>
      <c r="K116" s="240"/>
      <c r="L116" s="240"/>
      <c r="M116" s="240"/>
      <c r="N116" s="240">
        <v>1</v>
      </c>
      <c r="O116" s="394"/>
      <c r="P116" s="394"/>
      <c r="Q116" s="240">
        <v>1</v>
      </c>
      <c r="R116" s="394">
        <v>1</v>
      </c>
      <c r="S116" s="394">
        <v>0.7</v>
      </c>
      <c r="T116" s="394"/>
      <c r="U116" s="394">
        <v>0.7</v>
      </c>
      <c r="V116" s="394"/>
      <c r="W116" s="394"/>
      <c r="X116" s="394">
        <v>1</v>
      </c>
      <c r="Y116" s="394">
        <v>1</v>
      </c>
      <c r="Z116" s="394"/>
      <c r="AA116" s="394">
        <v>1</v>
      </c>
      <c r="AB116" s="240"/>
      <c r="AC116" s="394"/>
      <c r="AD116" s="394"/>
      <c r="AE116" s="395"/>
      <c r="AF116" s="395"/>
      <c r="AG116" s="395"/>
      <c r="AH116" s="395"/>
      <c r="AI116" s="395"/>
      <c r="AJ116" s="395"/>
      <c r="AK116" s="395"/>
      <c r="AL116" s="395"/>
      <c r="AM116" s="395"/>
      <c r="AN116" s="395"/>
      <c r="AO116" s="395"/>
      <c r="AP116" s="395"/>
      <c r="AQ116" s="395"/>
      <c r="AR116" s="395"/>
      <c r="AS116" s="395"/>
      <c r="AT116" s="395"/>
      <c r="AU116" s="395"/>
      <c r="AV116" s="395"/>
      <c r="AW116" s="395"/>
      <c r="AX116" s="395"/>
      <c r="AY116" s="395"/>
      <c r="AZ116" s="395"/>
      <c r="BA116" s="395"/>
      <c r="BB116" s="395"/>
      <c r="BC116" s="395">
        <v>1</v>
      </c>
      <c r="BD116" s="395">
        <v>1</v>
      </c>
      <c r="BE116" s="395"/>
      <c r="BF116" s="225">
        <f t="shared" si="138"/>
        <v>0</v>
      </c>
      <c r="BG116" s="226" t="str">
        <f t="shared" si="139"/>
        <v>Non Applicabile</v>
      </c>
      <c r="BH116" s="226" t="s">
        <v>693</v>
      </c>
      <c r="BI116" s="228"/>
      <c r="BJ116" s="229"/>
      <c r="BK116" s="227"/>
      <c r="BL116" s="324" t="s">
        <v>1334</v>
      </c>
      <c r="BM116" s="324" t="s">
        <v>1335</v>
      </c>
      <c r="BN116" s="324" t="s">
        <v>1336</v>
      </c>
      <c r="BO116" s="330"/>
      <c r="BP116" s="385" t="str">
        <f>IF(G116="X",
   IF(BG116="Applicabile",
      IF(BJ116&lt;&gt;"",
         _xlfn.XLOOKUP($BJ116,Parametri_RA!$B:$B,Parametri_RA!$D:$D,0),
         0),
      ""),
   "")</f>
        <v/>
      </c>
      <c r="BQ116" s="385" t="str">
        <f>IF(H116="X",
   IF(BG116="Applicabile",
      IF(BJ116&lt;&gt;"",
         _xlfn.XLOOKUP($BJ116,Parametri_RA!$B:$B,Parametri_RA!$D:$D,0),
         0),
      ""),
   "")</f>
        <v/>
      </c>
      <c r="BR116" s="385" t="str">
        <f t="shared" si="94"/>
        <v/>
      </c>
      <c r="BS116" s="385" t="str">
        <f t="shared" si="95"/>
        <v/>
      </c>
      <c r="BT116" s="385" t="str">
        <f t="shared" si="96"/>
        <v/>
      </c>
      <c r="BU116" s="385" t="str">
        <f t="shared" si="97"/>
        <v/>
      </c>
      <c r="BV116" s="385" t="str">
        <f t="shared" si="98"/>
        <v/>
      </c>
      <c r="BW116" s="385" t="str">
        <f t="shared" si="99"/>
        <v/>
      </c>
      <c r="BX116" s="385" t="str">
        <f t="shared" si="100"/>
        <v/>
      </c>
      <c r="BY116" s="385" t="str">
        <f t="shared" si="101"/>
        <v/>
      </c>
      <c r="BZ116" s="385" t="str">
        <f t="shared" si="102"/>
        <v/>
      </c>
      <c r="CA116" s="385" t="str">
        <f t="shared" si="103"/>
        <v/>
      </c>
      <c r="CB116" s="385" t="str">
        <f t="shared" si="104"/>
        <v/>
      </c>
      <c r="CC116" s="385" t="str">
        <f t="shared" si="105"/>
        <v/>
      </c>
      <c r="CD116" s="385" t="str">
        <f t="shared" si="106"/>
        <v/>
      </c>
      <c r="CE116" s="385" t="str">
        <f t="shared" si="107"/>
        <v/>
      </c>
      <c r="CF116" s="385" t="str">
        <f t="shared" si="108"/>
        <v/>
      </c>
      <c r="CG116" s="385" t="str">
        <f t="shared" si="109"/>
        <v/>
      </c>
      <c r="CH116" s="385" t="str">
        <f t="shared" si="110"/>
        <v/>
      </c>
      <c r="CI116" s="385" t="str">
        <f t="shared" si="111"/>
        <v/>
      </c>
      <c r="CJ116" s="385" t="str">
        <f t="shared" si="112"/>
        <v/>
      </c>
      <c r="CK116" s="385" t="str">
        <f t="shared" si="113"/>
        <v/>
      </c>
      <c r="CL116" s="385" t="str">
        <f t="shared" si="114"/>
        <v/>
      </c>
      <c r="CM116" s="385" t="str">
        <f t="shared" si="115"/>
        <v/>
      </c>
      <c r="CN116" s="385" t="str">
        <f t="shared" si="116"/>
        <v/>
      </c>
      <c r="CO116" s="385" t="str">
        <f t="shared" si="117"/>
        <v/>
      </c>
      <c r="CP116" s="385" t="str">
        <f t="shared" si="118"/>
        <v/>
      </c>
      <c r="CQ116" s="385" t="str">
        <f t="shared" si="119"/>
        <v/>
      </c>
      <c r="CR116" s="385" t="str">
        <f t="shared" si="120"/>
        <v/>
      </c>
      <c r="CS116" s="385" t="str">
        <f t="shared" si="121"/>
        <v/>
      </c>
      <c r="CT116" s="385" t="str">
        <f t="shared" si="122"/>
        <v/>
      </c>
      <c r="CU116" s="385" t="str">
        <f t="shared" si="123"/>
        <v/>
      </c>
      <c r="CV116" s="385" t="str">
        <f t="shared" si="124"/>
        <v/>
      </c>
      <c r="CW116" s="385" t="str">
        <f t="shared" si="125"/>
        <v/>
      </c>
      <c r="CX116" s="385" t="str">
        <f t="shared" si="126"/>
        <v/>
      </c>
      <c r="CY116" s="385" t="str">
        <f t="shared" si="127"/>
        <v/>
      </c>
      <c r="CZ116" s="385" t="str">
        <f t="shared" si="128"/>
        <v/>
      </c>
      <c r="DA116" s="385" t="str">
        <f t="shared" si="129"/>
        <v/>
      </c>
      <c r="DB116" s="385" t="str">
        <f t="shared" si="130"/>
        <v/>
      </c>
      <c r="DC116" s="385" t="str">
        <f t="shared" si="131"/>
        <v/>
      </c>
      <c r="DD116" s="385" t="str">
        <f t="shared" si="132"/>
        <v/>
      </c>
      <c r="DE116" s="385" t="str">
        <f t="shared" si="133"/>
        <v/>
      </c>
      <c r="DF116" s="385" t="str">
        <f t="shared" si="134"/>
        <v/>
      </c>
      <c r="DG116" s="385" t="str">
        <f t="shared" si="135"/>
        <v/>
      </c>
      <c r="DH116" s="385" t="str">
        <f t="shared" si="136"/>
        <v/>
      </c>
      <c r="DI116" s="385" t="str">
        <f t="shared" si="137"/>
        <v/>
      </c>
    </row>
    <row r="117" spans="1:113" ht="51" x14ac:dyDescent="0.35">
      <c r="A117" s="21" t="s">
        <v>1337</v>
      </c>
      <c r="B117" s="396">
        <f>'Appoggio_BIA Servizio'!$B$5</f>
        <v>0</v>
      </c>
      <c r="C117" s="392" t="s">
        <v>1286</v>
      </c>
      <c r="D117" s="392" t="s">
        <v>588</v>
      </c>
      <c r="E117" s="393" t="s">
        <v>1338</v>
      </c>
      <c r="F117" s="240" t="s">
        <v>654</v>
      </c>
      <c r="G117" s="398"/>
      <c r="H117" s="240" t="s">
        <v>655</v>
      </c>
      <c r="I117" s="240"/>
      <c r="J117" s="240"/>
      <c r="K117" s="240"/>
      <c r="L117" s="240"/>
      <c r="M117" s="240"/>
      <c r="N117" s="240"/>
      <c r="O117" s="394"/>
      <c r="P117" s="394"/>
      <c r="Q117" s="240"/>
      <c r="R117" s="394"/>
      <c r="S117" s="394"/>
      <c r="T117" s="394"/>
      <c r="U117" s="394"/>
      <c r="V117" s="394"/>
      <c r="W117" s="394"/>
      <c r="X117" s="394">
        <v>1</v>
      </c>
      <c r="Y117" s="394">
        <v>1</v>
      </c>
      <c r="Z117" s="394"/>
      <c r="AA117" s="394">
        <v>1</v>
      </c>
      <c r="AB117" s="240"/>
      <c r="AC117" s="394"/>
      <c r="AD117" s="394"/>
      <c r="AE117" s="395"/>
      <c r="AF117" s="395"/>
      <c r="AG117" s="395"/>
      <c r="AH117" s="395"/>
      <c r="AI117" s="395"/>
      <c r="AJ117" s="395"/>
      <c r="AK117" s="395"/>
      <c r="AL117" s="395"/>
      <c r="AM117" s="395"/>
      <c r="AN117" s="395"/>
      <c r="AO117" s="395"/>
      <c r="AP117" s="395"/>
      <c r="AQ117" s="395"/>
      <c r="AR117" s="395"/>
      <c r="AS117" s="395"/>
      <c r="AT117" s="395"/>
      <c r="AU117" s="395"/>
      <c r="AV117" s="395"/>
      <c r="AW117" s="395"/>
      <c r="AX117" s="395"/>
      <c r="AY117" s="395"/>
      <c r="AZ117" s="395"/>
      <c r="BA117" s="395"/>
      <c r="BB117" s="395"/>
      <c r="BC117" s="395">
        <v>1</v>
      </c>
      <c r="BD117" s="395">
        <v>1</v>
      </c>
      <c r="BE117" s="395"/>
      <c r="BF117" s="225">
        <f t="shared" si="138"/>
        <v>0</v>
      </c>
      <c r="BG117" s="226" t="str">
        <f t="shared" si="139"/>
        <v>Non Applicabile</v>
      </c>
      <c r="BH117" s="226" t="s">
        <v>693</v>
      </c>
      <c r="BI117" s="228"/>
      <c r="BJ117" s="229"/>
      <c r="BK117" s="227"/>
      <c r="BL117" s="324" t="s">
        <v>1339</v>
      </c>
      <c r="BM117" s="324" t="s">
        <v>1340</v>
      </c>
      <c r="BN117" s="324" t="s">
        <v>1330</v>
      </c>
      <c r="BO117" s="330"/>
      <c r="BP117" s="385" t="str">
        <f>IF(G117="X",
   IF(BG117="Applicabile",
      IF(BJ117&lt;&gt;"",
         _xlfn.XLOOKUP($BJ117,Parametri_RA!$B:$B,Parametri_RA!$D:$D,0),
         0),
      ""),
   "")</f>
        <v/>
      </c>
      <c r="BQ117" s="385" t="str">
        <f>IF(H117="X",
   IF(BG117="Applicabile",
      IF(BJ117&lt;&gt;"",
         _xlfn.XLOOKUP($BJ117,Parametri_RA!$B:$B,Parametri_RA!$D:$D,0),
         0),
      ""),
   "")</f>
        <v/>
      </c>
      <c r="BR117" s="385" t="str">
        <f t="shared" si="94"/>
        <v/>
      </c>
      <c r="BS117" s="385" t="str">
        <f t="shared" si="95"/>
        <v/>
      </c>
      <c r="BT117" s="385" t="str">
        <f t="shared" si="96"/>
        <v/>
      </c>
      <c r="BU117" s="385" t="str">
        <f t="shared" si="97"/>
        <v/>
      </c>
      <c r="BV117" s="385" t="str">
        <f t="shared" si="98"/>
        <v/>
      </c>
      <c r="BW117" s="385" t="str">
        <f t="shared" si="99"/>
        <v/>
      </c>
      <c r="BX117" s="385" t="str">
        <f t="shared" si="100"/>
        <v/>
      </c>
      <c r="BY117" s="385" t="str">
        <f t="shared" si="101"/>
        <v/>
      </c>
      <c r="BZ117" s="385" t="str">
        <f t="shared" si="102"/>
        <v/>
      </c>
      <c r="CA117" s="385" t="str">
        <f t="shared" si="103"/>
        <v/>
      </c>
      <c r="CB117" s="385" t="str">
        <f t="shared" si="104"/>
        <v/>
      </c>
      <c r="CC117" s="385" t="str">
        <f t="shared" si="105"/>
        <v/>
      </c>
      <c r="CD117" s="385" t="str">
        <f t="shared" si="106"/>
        <v/>
      </c>
      <c r="CE117" s="385" t="str">
        <f t="shared" si="107"/>
        <v/>
      </c>
      <c r="CF117" s="385" t="str">
        <f t="shared" si="108"/>
        <v/>
      </c>
      <c r="CG117" s="385" t="str">
        <f t="shared" si="109"/>
        <v/>
      </c>
      <c r="CH117" s="385" t="str">
        <f t="shared" si="110"/>
        <v/>
      </c>
      <c r="CI117" s="385" t="str">
        <f t="shared" si="111"/>
        <v/>
      </c>
      <c r="CJ117" s="385" t="str">
        <f t="shared" si="112"/>
        <v/>
      </c>
      <c r="CK117" s="385" t="str">
        <f t="shared" si="113"/>
        <v/>
      </c>
      <c r="CL117" s="385" t="str">
        <f t="shared" si="114"/>
        <v/>
      </c>
      <c r="CM117" s="385" t="str">
        <f t="shared" si="115"/>
        <v/>
      </c>
      <c r="CN117" s="385" t="str">
        <f t="shared" si="116"/>
        <v/>
      </c>
      <c r="CO117" s="385" t="str">
        <f t="shared" si="117"/>
        <v/>
      </c>
      <c r="CP117" s="385" t="str">
        <f t="shared" si="118"/>
        <v/>
      </c>
      <c r="CQ117" s="385" t="str">
        <f t="shared" si="119"/>
        <v/>
      </c>
      <c r="CR117" s="385" t="str">
        <f t="shared" si="120"/>
        <v/>
      </c>
      <c r="CS117" s="385" t="str">
        <f t="shared" si="121"/>
        <v/>
      </c>
      <c r="CT117" s="385" t="str">
        <f t="shared" si="122"/>
        <v/>
      </c>
      <c r="CU117" s="385" t="str">
        <f t="shared" si="123"/>
        <v/>
      </c>
      <c r="CV117" s="385" t="str">
        <f t="shared" si="124"/>
        <v/>
      </c>
      <c r="CW117" s="385" t="str">
        <f t="shared" si="125"/>
        <v/>
      </c>
      <c r="CX117" s="385" t="str">
        <f t="shared" si="126"/>
        <v/>
      </c>
      <c r="CY117" s="385" t="str">
        <f t="shared" si="127"/>
        <v/>
      </c>
      <c r="CZ117" s="385" t="str">
        <f t="shared" si="128"/>
        <v/>
      </c>
      <c r="DA117" s="385" t="str">
        <f t="shared" si="129"/>
        <v/>
      </c>
      <c r="DB117" s="385" t="str">
        <f t="shared" si="130"/>
        <v/>
      </c>
      <c r="DC117" s="385" t="str">
        <f t="shared" si="131"/>
        <v/>
      </c>
      <c r="DD117" s="385" t="str">
        <f t="shared" si="132"/>
        <v/>
      </c>
      <c r="DE117" s="385" t="str">
        <f t="shared" si="133"/>
        <v/>
      </c>
      <c r="DF117" s="385" t="str">
        <f t="shared" si="134"/>
        <v/>
      </c>
      <c r="DG117" s="385" t="str">
        <f t="shared" si="135"/>
        <v/>
      </c>
      <c r="DH117" s="385" t="str">
        <f t="shared" si="136"/>
        <v/>
      </c>
      <c r="DI117" s="385" t="str">
        <f t="shared" si="137"/>
        <v/>
      </c>
    </row>
    <row r="118" spans="1:113" ht="68" x14ac:dyDescent="0.35">
      <c r="A118" s="21" t="s">
        <v>1341</v>
      </c>
      <c r="B118" s="396">
        <f>'Appoggio_BIA Servizio'!$B$5</f>
        <v>0</v>
      </c>
      <c r="C118" s="392" t="s">
        <v>1286</v>
      </c>
      <c r="D118" s="392" t="s">
        <v>1342</v>
      </c>
      <c r="E118" s="393" t="s">
        <v>1343</v>
      </c>
      <c r="F118" s="240" t="s">
        <v>654</v>
      </c>
      <c r="G118" s="398"/>
      <c r="H118" s="240" t="s">
        <v>655</v>
      </c>
      <c r="I118" s="240"/>
      <c r="J118" s="240"/>
      <c r="K118" s="240"/>
      <c r="L118" s="240"/>
      <c r="M118" s="240"/>
      <c r="N118" s="240"/>
      <c r="O118" s="394"/>
      <c r="P118" s="394"/>
      <c r="Q118" s="240"/>
      <c r="R118" s="240">
        <v>1</v>
      </c>
      <c r="S118" s="394"/>
      <c r="T118" s="394"/>
      <c r="U118" s="394"/>
      <c r="V118" s="394"/>
      <c r="W118" s="394"/>
      <c r="X118" s="394">
        <v>1</v>
      </c>
      <c r="Y118" s="394">
        <v>1</v>
      </c>
      <c r="Z118" s="394">
        <v>1</v>
      </c>
      <c r="AA118" s="394">
        <v>1</v>
      </c>
      <c r="AB118" s="240"/>
      <c r="AC118" s="394"/>
      <c r="AD118" s="394"/>
      <c r="AE118" s="395"/>
      <c r="AF118" s="395"/>
      <c r="AG118" s="395"/>
      <c r="AH118" s="395"/>
      <c r="AI118" s="395"/>
      <c r="AJ118" s="395"/>
      <c r="AK118" s="395"/>
      <c r="AL118" s="395"/>
      <c r="AM118" s="395"/>
      <c r="AN118" s="395"/>
      <c r="AO118" s="395"/>
      <c r="AP118" s="395"/>
      <c r="AQ118" s="395"/>
      <c r="AR118" s="395"/>
      <c r="AS118" s="395"/>
      <c r="AT118" s="395"/>
      <c r="AU118" s="395"/>
      <c r="AV118" s="395"/>
      <c r="AW118" s="395"/>
      <c r="AX118" s="395"/>
      <c r="AY118" s="395"/>
      <c r="AZ118" s="395"/>
      <c r="BA118" s="395"/>
      <c r="BB118" s="395"/>
      <c r="BC118" s="395">
        <v>1</v>
      </c>
      <c r="BD118" s="395">
        <v>1</v>
      </c>
      <c r="BE118" s="395"/>
      <c r="BF118" s="225">
        <f t="shared" si="138"/>
        <v>0</v>
      </c>
      <c r="BG118" s="226" t="str">
        <f t="shared" si="139"/>
        <v>Non Applicabile</v>
      </c>
      <c r="BH118" s="226" t="s">
        <v>693</v>
      </c>
      <c r="BI118" s="228"/>
      <c r="BJ118" s="229"/>
      <c r="BK118" s="227"/>
      <c r="BL118" s="324" t="s">
        <v>1344</v>
      </c>
      <c r="BM118" s="324" t="s">
        <v>1345</v>
      </c>
      <c r="BN118" s="324" t="s">
        <v>1346</v>
      </c>
      <c r="BO118" s="330"/>
      <c r="BP118" s="385" t="str">
        <f>IF(G118="X",
   IF(BG118="Applicabile",
      IF(BJ118&lt;&gt;"",
         _xlfn.XLOOKUP($BJ118,Parametri_RA!$B:$B,Parametri_RA!$D:$D,0),
         0),
      ""),
   "")</f>
        <v/>
      </c>
      <c r="BQ118" s="385" t="str">
        <f>IF(H118="X",
   IF(BG118="Applicabile",
      IF(BJ118&lt;&gt;"",
         _xlfn.XLOOKUP($BJ118,Parametri_RA!$B:$B,Parametri_RA!$D:$D,0),
         0),
      ""),
   "")</f>
        <v/>
      </c>
      <c r="BR118" s="385" t="str">
        <f t="shared" si="94"/>
        <v/>
      </c>
      <c r="BS118" s="385" t="str">
        <f t="shared" si="95"/>
        <v/>
      </c>
      <c r="BT118" s="385" t="str">
        <f t="shared" si="96"/>
        <v/>
      </c>
      <c r="BU118" s="385" t="str">
        <f t="shared" si="97"/>
        <v/>
      </c>
      <c r="BV118" s="385" t="str">
        <f t="shared" si="98"/>
        <v/>
      </c>
      <c r="BW118" s="385" t="str">
        <f t="shared" si="99"/>
        <v/>
      </c>
      <c r="BX118" s="385" t="str">
        <f t="shared" si="100"/>
        <v/>
      </c>
      <c r="BY118" s="385" t="str">
        <f t="shared" si="101"/>
        <v/>
      </c>
      <c r="BZ118" s="385" t="str">
        <f t="shared" si="102"/>
        <v/>
      </c>
      <c r="CA118" s="385" t="str">
        <f t="shared" si="103"/>
        <v/>
      </c>
      <c r="CB118" s="385" t="str">
        <f t="shared" si="104"/>
        <v/>
      </c>
      <c r="CC118" s="385" t="str">
        <f t="shared" si="105"/>
        <v/>
      </c>
      <c r="CD118" s="385" t="str">
        <f t="shared" si="106"/>
        <v/>
      </c>
      <c r="CE118" s="385" t="str">
        <f t="shared" si="107"/>
        <v/>
      </c>
      <c r="CF118" s="385" t="str">
        <f t="shared" si="108"/>
        <v/>
      </c>
      <c r="CG118" s="385" t="str">
        <f t="shared" si="109"/>
        <v/>
      </c>
      <c r="CH118" s="385" t="str">
        <f t="shared" si="110"/>
        <v/>
      </c>
      <c r="CI118" s="385" t="str">
        <f t="shared" si="111"/>
        <v/>
      </c>
      <c r="CJ118" s="385" t="str">
        <f t="shared" si="112"/>
        <v/>
      </c>
      <c r="CK118" s="385" t="str">
        <f t="shared" si="113"/>
        <v/>
      </c>
      <c r="CL118" s="385" t="str">
        <f t="shared" si="114"/>
        <v/>
      </c>
      <c r="CM118" s="385" t="str">
        <f t="shared" si="115"/>
        <v/>
      </c>
      <c r="CN118" s="385" t="str">
        <f t="shared" si="116"/>
        <v/>
      </c>
      <c r="CO118" s="385" t="str">
        <f t="shared" si="117"/>
        <v/>
      </c>
      <c r="CP118" s="385" t="str">
        <f t="shared" si="118"/>
        <v/>
      </c>
      <c r="CQ118" s="385" t="str">
        <f t="shared" si="119"/>
        <v/>
      </c>
      <c r="CR118" s="385" t="str">
        <f t="shared" si="120"/>
        <v/>
      </c>
      <c r="CS118" s="385" t="str">
        <f t="shared" si="121"/>
        <v/>
      </c>
      <c r="CT118" s="385" t="str">
        <f t="shared" si="122"/>
        <v/>
      </c>
      <c r="CU118" s="385" t="str">
        <f t="shared" si="123"/>
        <v/>
      </c>
      <c r="CV118" s="385" t="str">
        <f t="shared" si="124"/>
        <v/>
      </c>
      <c r="CW118" s="385" t="str">
        <f t="shared" si="125"/>
        <v/>
      </c>
      <c r="CX118" s="385" t="str">
        <f t="shared" si="126"/>
        <v/>
      </c>
      <c r="CY118" s="385" t="str">
        <f t="shared" si="127"/>
        <v/>
      </c>
      <c r="CZ118" s="385" t="str">
        <f t="shared" si="128"/>
        <v/>
      </c>
      <c r="DA118" s="385" t="str">
        <f t="shared" si="129"/>
        <v/>
      </c>
      <c r="DB118" s="385" t="str">
        <f t="shared" si="130"/>
        <v/>
      </c>
      <c r="DC118" s="385" t="str">
        <f t="shared" si="131"/>
        <v/>
      </c>
      <c r="DD118" s="385" t="str">
        <f t="shared" si="132"/>
        <v/>
      </c>
      <c r="DE118" s="385" t="str">
        <f t="shared" si="133"/>
        <v/>
      </c>
      <c r="DF118" s="385" t="str">
        <f t="shared" si="134"/>
        <v/>
      </c>
      <c r="DG118" s="385" t="str">
        <f t="shared" si="135"/>
        <v/>
      </c>
      <c r="DH118" s="385" t="str">
        <f t="shared" si="136"/>
        <v/>
      </c>
      <c r="DI118" s="385" t="str">
        <f t="shared" si="137"/>
        <v/>
      </c>
    </row>
    <row r="119" spans="1:113" ht="66" x14ac:dyDescent="0.35">
      <c r="A119" s="21" t="s">
        <v>1347</v>
      </c>
      <c r="B119" s="396">
        <f>'Appoggio_BIA Servizio'!$B$5</f>
        <v>0</v>
      </c>
      <c r="C119" s="392" t="s">
        <v>1286</v>
      </c>
      <c r="D119" s="392" t="s">
        <v>1348</v>
      </c>
      <c r="E119" s="393" t="s">
        <v>1349</v>
      </c>
      <c r="F119" s="240" t="s">
        <v>654</v>
      </c>
      <c r="G119" s="240"/>
      <c r="H119" s="240" t="s">
        <v>655</v>
      </c>
      <c r="I119" s="240">
        <v>1</v>
      </c>
      <c r="J119" s="240">
        <v>1</v>
      </c>
      <c r="K119" s="240"/>
      <c r="L119" s="240"/>
      <c r="M119" s="240"/>
      <c r="N119" s="240">
        <v>1</v>
      </c>
      <c r="O119" s="394"/>
      <c r="P119" s="394"/>
      <c r="Q119" s="240">
        <v>1</v>
      </c>
      <c r="R119" s="240">
        <v>1</v>
      </c>
      <c r="S119" s="394"/>
      <c r="T119" s="394"/>
      <c r="U119" s="394">
        <v>1</v>
      </c>
      <c r="V119" s="394"/>
      <c r="W119" s="394"/>
      <c r="X119" s="394">
        <v>1</v>
      </c>
      <c r="Y119" s="394">
        <v>1</v>
      </c>
      <c r="Z119" s="394">
        <v>1</v>
      </c>
      <c r="AA119" s="394">
        <v>1</v>
      </c>
      <c r="AB119" s="240">
        <v>1</v>
      </c>
      <c r="AC119" s="394">
        <v>1</v>
      </c>
      <c r="AD119" s="394"/>
      <c r="AE119" s="395"/>
      <c r="AF119" s="395"/>
      <c r="AG119" s="395"/>
      <c r="AH119" s="395"/>
      <c r="AI119" s="395"/>
      <c r="AJ119" s="395"/>
      <c r="AK119" s="395"/>
      <c r="AL119" s="395"/>
      <c r="AM119" s="395"/>
      <c r="AN119" s="395"/>
      <c r="AO119" s="395"/>
      <c r="AP119" s="395"/>
      <c r="AQ119" s="395"/>
      <c r="AR119" s="395"/>
      <c r="AS119" s="395"/>
      <c r="AT119" s="395"/>
      <c r="AU119" s="395"/>
      <c r="AV119" s="395"/>
      <c r="AW119" s="395"/>
      <c r="AX119" s="395"/>
      <c r="AY119" s="395"/>
      <c r="AZ119" s="395"/>
      <c r="BA119" s="395"/>
      <c r="BB119" s="395"/>
      <c r="BC119" s="395">
        <v>1</v>
      </c>
      <c r="BD119" s="395">
        <v>1</v>
      </c>
      <c r="BE119" s="395"/>
      <c r="BF119" s="225">
        <f t="shared" si="138"/>
        <v>0</v>
      </c>
      <c r="BG119" s="226" t="str">
        <f t="shared" si="139"/>
        <v>Non Applicabile</v>
      </c>
      <c r="BH119" s="226" t="s">
        <v>693</v>
      </c>
      <c r="BI119" s="228"/>
      <c r="BJ119" s="229"/>
      <c r="BK119" s="227"/>
      <c r="BL119" s="324" t="s">
        <v>1350</v>
      </c>
      <c r="BM119" s="324" t="s">
        <v>1351</v>
      </c>
      <c r="BN119" s="324" t="s">
        <v>1352</v>
      </c>
      <c r="BO119" s="330"/>
      <c r="BP119" s="385" t="str">
        <f>IF(G119="X",
   IF(BG119="Applicabile",
      IF(BJ119&lt;&gt;"",
         _xlfn.XLOOKUP($BJ119,Parametri_RA!$B:$B,Parametri_RA!$D:$D,0),
         0),
      ""),
   "")</f>
        <v/>
      </c>
      <c r="BQ119" s="385" t="str">
        <f>IF(H119="X",
   IF(BG119="Applicabile",
      IF(BJ119&lt;&gt;"",
         _xlfn.XLOOKUP($BJ119,Parametri_RA!$B:$B,Parametri_RA!$D:$D,0),
         0),
      ""),
   "")</f>
        <v/>
      </c>
      <c r="BR119" s="385" t="str">
        <f t="shared" si="94"/>
        <v/>
      </c>
      <c r="BS119" s="385" t="str">
        <f t="shared" si="95"/>
        <v/>
      </c>
      <c r="BT119" s="385" t="str">
        <f t="shared" si="96"/>
        <v/>
      </c>
      <c r="BU119" s="385" t="str">
        <f t="shared" si="97"/>
        <v/>
      </c>
      <c r="BV119" s="385" t="str">
        <f t="shared" si="98"/>
        <v/>
      </c>
      <c r="BW119" s="385" t="str">
        <f t="shared" si="99"/>
        <v/>
      </c>
      <c r="BX119" s="385" t="str">
        <f t="shared" si="100"/>
        <v/>
      </c>
      <c r="BY119" s="385" t="str">
        <f t="shared" si="101"/>
        <v/>
      </c>
      <c r="BZ119" s="385" t="str">
        <f t="shared" si="102"/>
        <v/>
      </c>
      <c r="CA119" s="385" t="str">
        <f t="shared" si="103"/>
        <v/>
      </c>
      <c r="CB119" s="385" t="str">
        <f t="shared" si="104"/>
        <v/>
      </c>
      <c r="CC119" s="385" t="str">
        <f t="shared" si="105"/>
        <v/>
      </c>
      <c r="CD119" s="385" t="str">
        <f t="shared" si="106"/>
        <v/>
      </c>
      <c r="CE119" s="385" t="str">
        <f t="shared" si="107"/>
        <v/>
      </c>
      <c r="CF119" s="385" t="str">
        <f t="shared" si="108"/>
        <v/>
      </c>
      <c r="CG119" s="385" t="str">
        <f t="shared" si="109"/>
        <v/>
      </c>
      <c r="CH119" s="385" t="str">
        <f t="shared" si="110"/>
        <v/>
      </c>
      <c r="CI119" s="385" t="str">
        <f t="shared" si="111"/>
        <v/>
      </c>
      <c r="CJ119" s="385" t="str">
        <f t="shared" si="112"/>
        <v/>
      </c>
      <c r="CK119" s="385" t="str">
        <f t="shared" si="113"/>
        <v/>
      </c>
      <c r="CL119" s="385" t="str">
        <f t="shared" si="114"/>
        <v/>
      </c>
      <c r="CM119" s="385" t="str">
        <f t="shared" si="115"/>
        <v/>
      </c>
      <c r="CN119" s="385" t="str">
        <f t="shared" si="116"/>
        <v/>
      </c>
      <c r="CO119" s="385" t="str">
        <f t="shared" si="117"/>
        <v/>
      </c>
      <c r="CP119" s="385" t="str">
        <f t="shared" si="118"/>
        <v/>
      </c>
      <c r="CQ119" s="385" t="str">
        <f t="shared" si="119"/>
        <v/>
      </c>
      <c r="CR119" s="385" t="str">
        <f t="shared" si="120"/>
        <v/>
      </c>
      <c r="CS119" s="385" t="str">
        <f t="shared" si="121"/>
        <v/>
      </c>
      <c r="CT119" s="385" t="str">
        <f t="shared" si="122"/>
        <v/>
      </c>
      <c r="CU119" s="385" t="str">
        <f t="shared" si="123"/>
        <v/>
      </c>
      <c r="CV119" s="385" t="str">
        <f t="shared" si="124"/>
        <v/>
      </c>
      <c r="CW119" s="385" t="str">
        <f t="shared" si="125"/>
        <v/>
      </c>
      <c r="CX119" s="385" t="str">
        <f t="shared" si="126"/>
        <v/>
      </c>
      <c r="CY119" s="385" t="str">
        <f t="shared" si="127"/>
        <v/>
      </c>
      <c r="CZ119" s="385" t="str">
        <f t="shared" si="128"/>
        <v/>
      </c>
      <c r="DA119" s="385" t="str">
        <f t="shared" si="129"/>
        <v/>
      </c>
      <c r="DB119" s="385" t="str">
        <f t="shared" si="130"/>
        <v/>
      </c>
      <c r="DC119" s="385" t="str">
        <f t="shared" si="131"/>
        <v/>
      </c>
      <c r="DD119" s="385" t="str">
        <f t="shared" si="132"/>
        <v/>
      </c>
      <c r="DE119" s="385" t="str">
        <f t="shared" si="133"/>
        <v/>
      </c>
      <c r="DF119" s="385" t="str">
        <f t="shared" si="134"/>
        <v/>
      </c>
      <c r="DG119" s="385" t="str">
        <f t="shared" si="135"/>
        <v/>
      </c>
      <c r="DH119" s="385" t="str">
        <f t="shared" si="136"/>
        <v/>
      </c>
      <c r="DI119" s="385" t="str">
        <f t="shared" si="137"/>
        <v/>
      </c>
    </row>
    <row r="120" spans="1:113" ht="51" x14ac:dyDescent="0.35">
      <c r="A120" s="21" t="s">
        <v>1353</v>
      </c>
      <c r="B120" s="396">
        <f>'Appoggio_BIA Servizio'!$B$5</f>
        <v>0</v>
      </c>
      <c r="C120" s="392" t="s">
        <v>1286</v>
      </c>
      <c r="D120" s="392" t="s">
        <v>1354</v>
      </c>
      <c r="E120" s="393" t="s">
        <v>1355</v>
      </c>
      <c r="F120" s="240" t="s">
        <v>654</v>
      </c>
      <c r="G120" s="240" t="s">
        <v>655</v>
      </c>
      <c r="H120" s="240" t="s">
        <v>655</v>
      </c>
      <c r="I120" s="240"/>
      <c r="J120" s="240"/>
      <c r="K120" s="240">
        <v>1</v>
      </c>
      <c r="L120" s="240"/>
      <c r="M120" s="240"/>
      <c r="N120" s="240"/>
      <c r="O120" s="394"/>
      <c r="P120" s="394"/>
      <c r="Q120" s="240"/>
      <c r="R120" s="394"/>
      <c r="S120" s="394"/>
      <c r="T120" s="394"/>
      <c r="U120" s="394"/>
      <c r="V120" s="394"/>
      <c r="W120" s="394"/>
      <c r="X120" s="394"/>
      <c r="Y120" s="394"/>
      <c r="Z120" s="394"/>
      <c r="AA120" s="394"/>
      <c r="AB120" s="240"/>
      <c r="AC120" s="394">
        <v>1</v>
      </c>
      <c r="AD120" s="394"/>
      <c r="AE120" s="395">
        <v>1</v>
      </c>
      <c r="AF120" s="395"/>
      <c r="AG120" s="395"/>
      <c r="AH120" s="395"/>
      <c r="AI120" s="395">
        <v>1</v>
      </c>
      <c r="AJ120" s="395"/>
      <c r="AK120" s="395">
        <v>1</v>
      </c>
      <c r="AL120" s="395"/>
      <c r="AM120" s="395">
        <v>1</v>
      </c>
      <c r="AN120" s="395">
        <v>1</v>
      </c>
      <c r="AO120" s="395">
        <v>1</v>
      </c>
      <c r="AP120" s="395">
        <v>1</v>
      </c>
      <c r="AQ120" s="395">
        <v>1</v>
      </c>
      <c r="AR120" s="395">
        <v>1</v>
      </c>
      <c r="AS120" s="395">
        <v>1</v>
      </c>
      <c r="AT120" s="395">
        <v>1</v>
      </c>
      <c r="AU120" s="395">
        <v>1</v>
      </c>
      <c r="AV120" s="395">
        <v>1</v>
      </c>
      <c r="AW120" s="395">
        <v>1</v>
      </c>
      <c r="AX120" s="395">
        <v>1</v>
      </c>
      <c r="AY120" s="395">
        <v>1</v>
      </c>
      <c r="AZ120" s="395">
        <v>1</v>
      </c>
      <c r="BA120" s="395">
        <v>1</v>
      </c>
      <c r="BB120" s="395">
        <v>1</v>
      </c>
      <c r="BC120" s="395">
        <v>1</v>
      </c>
      <c r="BD120" s="395">
        <v>1</v>
      </c>
      <c r="BE120" s="395"/>
      <c r="BF120" s="225">
        <f t="shared" si="138"/>
        <v>0</v>
      </c>
      <c r="BG120" s="226" t="str">
        <f t="shared" si="139"/>
        <v>Non Applicabile</v>
      </c>
      <c r="BH120" s="226" t="s">
        <v>693</v>
      </c>
      <c r="BI120" s="228"/>
      <c r="BJ120" s="229"/>
      <c r="BK120" s="227"/>
      <c r="BL120" s="324" t="s">
        <v>1356</v>
      </c>
      <c r="BM120" s="324" t="s">
        <v>1357</v>
      </c>
      <c r="BN120" s="324" t="s">
        <v>1358</v>
      </c>
      <c r="BO120" s="330"/>
      <c r="BP120" s="385" t="str">
        <f>IF(G120="X",
   IF(BG120="Applicabile",
      IF(BJ120&lt;&gt;"",
         _xlfn.XLOOKUP($BJ120,Parametri_RA!$B:$B,Parametri_RA!$D:$D,0),
         0),
      ""),
   "")</f>
        <v/>
      </c>
      <c r="BQ120" s="385" t="str">
        <f>IF(H120="X",
   IF(BG120="Applicabile",
      IF(BJ120&lt;&gt;"",
         _xlfn.XLOOKUP($BJ120,Parametri_RA!$B:$B,Parametri_RA!$D:$D,0),
         0),
      ""),
   "")</f>
        <v/>
      </c>
      <c r="BR120" s="385" t="str">
        <f t="shared" si="94"/>
        <v/>
      </c>
      <c r="BS120" s="385" t="str">
        <f t="shared" si="95"/>
        <v/>
      </c>
      <c r="BT120" s="385" t="str">
        <f t="shared" si="96"/>
        <v/>
      </c>
      <c r="BU120" s="385" t="str">
        <f t="shared" si="97"/>
        <v/>
      </c>
      <c r="BV120" s="385" t="str">
        <f t="shared" si="98"/>
        <v/>
      </c>
      <c r="BW120" s="385" t="str">
        <f t="shared" si="99"/>
        <v/>
      </c>
      <c r="BX120" s="385" t="str">
        <f t="shared" si="100"/>
        <v/>
      </c>
      <c r="BY120" s="385" t="str">
        <f t="shared" si="101"/>
        <v/>
      </c>
      <c r="BZ120" s="385" t="str">
        <f t="shared" si="102"/>
        <v/>
      </c>
      <c r="CA120" s="385" t="str">
        <f t="shared" si="103"/>
        <v/>
      </c>
      <c r="CB120" s="385" t="str">
        <f t="shared" si="104"/>
        <v/>
      </c>
      <c r="CC120" s="385" t="str">
        <f t="shared" si="105"/>
        <v/>
      </c>
      <c r="CD120" s="385" t="str">
        <f t="shared" si="106"/>
        <v/>
      </c>
      <c r="CE120" s="385" t="str">
        <f t="shared" si="107"/>
        <v/>
      </c>
      <c r="CF120" s="385" t="str">
        <f t="shared" si="108"/>
        <v/>
      </c>
      <c r="CG120" s="385" t="str">
        <f t="shared" si="109"/>
        <v/>
      </c>
      <c r="CH120" s="385" t="str">
        <f t="shared" si="110"/>
        <v/>
      </c>
      <c r="CI120" s="385" t="str">
        <f t="shared" si="111"/>
        <v/>
      </c>
      <c r="CJ120" s="385" t="str">
        <f t="shared" si="112"/>
        <v/>
      </c>
      <c r="CK120" s="385" t="str">
        <f t="shared" si="113"/>
        <v/>
      </c>
      <c r="CL120" s="385" t="str">
        <f t="shared" si="114"/>
        <v/>
      </c>
      <c r="CM120" s="385" t="str">
        <f t="shared" si="115"/>
        <v/>
      </c>
      <c r="CN120" s="385" t="str">
        <f t="shared" si="116"/>
        <v/>
      </c>
      <c r="CO120" s="385" t="str">
        <f t="shared" si="117"/>
        <v/>
      </c>
      <c r="CP120" s="385" t="str">
        <f t="shared" si="118"/>
        <v/>
      </c>
      <c r="CQ120" s="385" t="str">
        <f t="shared" si="119"/>
        <v/>
      </c>
      <c r="CR120" s="385" t="str">
        <f t="shared" si="120"/>
        <v/>
      </c>
      <c r="CS120" s="385" t="str">
        <f t="shared" si="121"/>
        <v/>
      </c>
      <c r="CT120" s="385" t="str">
        <f t="shared" si="122"/>
        <v/>
      </c>
      <c r="CU120" s="385" t="str">
        <f t="shared" si="123"/>
        <v/>
      </c>
      <c r="CV120" s="385" t="str">
        <f t="shared" si="124"/>
        <v/>
      </c>
      <c r="CW120" s="385" t="str">
        <f t="shared" si="125"/>
        <v/>
      </c>
      <c r="CX120" s="385" t="str">
        <f t="shared" si="126"/>
        <v/>
      </c>
      <c r="CY120" s="385" t="str">
        <f t="shared" si="127"/>
        <v/>
      </c>
      <c r="CZ120" s="385" t="str">
        <f t="shared" si="128"/>
        <v/>
      </c>
      <c r="DA120" s="385" t="str">
        <f t="shared" si="129"/>
        <v/>
      </c>
      <c r="DB120" s="385" t="str">
        <f t="shared" si="130"/>
        <v/>
      </c>
      <c r="DC120" s="385" t="str">
        <f t="shared" si="131"/>
        <v/>
      </c>
      <c r="DD120" s="385" t="str">
        <f t="shared" si="132"/>
        <v/>
      </c>
      <c r="DE120" s="385" t="str">
        <f t="shared" si="133"/>
        <v/>
      </c>
      <c r="DF120" s="385" t="str">
        <f t="shared" si="134"/>
        <v/>
      </c>
      <c r="DG120" s="385" t="str">
        <f t="shared" si="135"/>
        <v/>
      </c>
      <c r="DH120" s="385" t="str">
        <f t="shared" si="136"/>
        <v/>
      </c>
      <c r="DI120" s="385" t="str">
        <f t="shared" si="137"/>
        <v/>
      </c>
    </row>
    <row r="121" spans="1:113" ht="82.5" x14ac:dyDescent="0.35">
      <c r="A121" s="21" t="s">
        <v>1359</v>
      </c>
      <c r="B121" s="396">
        <f>'Appoggio_BIA Servizio'!$B$5</f>
        <v>0</v>
      </c>
      <c r="C121" s="392" t="s">
        <v>1286</v>
      </c>
      <c r="D121" s="392" t="s">
        <v>1360</v>
      </c>
      <c r="E121" s="393" t="s">
        <v>1361</v>
      </c>
      <c r="F121" s="240" t="s">
        <v>654</v>
      </c>
      <c r="G121" s="398"/>
      <c r="H121" s="240" t="s">
        <v>655</v>
      </c>
      <c r="I121" s="240">
        <v>1</v>
      </c>
      <c r="J121" s="240">
        <v>1</v>
      </c>
      <c r="K121" s="240"/>
      <c r="L121" s="240"/>
      <c r="M121" s="240"/>
      <c r="N121" s="240"/>
      <c r="O121" s="394"/>
      <c r="P121" s="394"/>
      <c r="Q121" s="240"/>
      <c r="R121" s="394">
        <v>0.7</v>
      </c>
      <c r="S121" s="394">
        <v>0.7</v>
      </c>
      <c r="T121" s="394"/>
      <c r="U121" s="394">
        <v>0.7</v>
      </c>
      <c r="V121" s="394"/>
      <c r="W121" s="394"/>
      <c r="X121" s="394">
        <v>1</v>
      </c>
      <c r="Y121" s="394">
        <v>1</v>
      </c>
      <c r="Z121" s="394">
        <v>1</v>
      </c>
      <c r="AA121" s="394">
        <v>1</v>
      </c>
      <c r="AB121" s="240">
        <v>1</v>
      </c>
      <c r="AC121" s="394">
        <v>1</v>
      </c>
      <c r="AD121" s="394"/>
      <c r="AE121" s="395"/>
      <c r="AF121" s="395"/>
      <c r="AG121" s="395"/>
      <c r="AH121" s="395"/>
      <c r="AI121" s="395"/>
      <c r="AJ121" s="395"/>
      <c r="AK121" s="395"/>
      <c r="AL121" s="395"/>
      <c r="AM121" s="395"/>
      <c r="AN121" s="395"/>
      <c r="AO121" s="395"/>
      <c r="AP121" s="395"/>
      <c r="AQ121" s="395"/>
      <c r="AR121" s="395"/>
      <c r="AS121" s="395"/>
      <c r="AT121" s="395"/>
      <c r="AU121" s="395"/>
      <c r="AV121" s="395"/>
      <c r="AW121" s="395"/>
      <c r="AX121" s="395"/>
      <c r="AY121" s="395"/>
      <c r="AZ121" s="395"/>
      <c r="BA121" s="395"/>
      <c r="BB121" s="395"/>
      <c r="BC121" s="395">
        <v>1</v>
      </c>
      <c r="BD121" s="395">
        <v>1</v>
      </c>
      <c r="BE121" s="395"/>
      <c r="BF121" s="225">
        <f t="shared" si="138"/>
        <v>0</v>
      </c>
      <c r="BG121" s="226" t="str">
        <f t="shared" si="139"/>
        <v>Non Applicabile</v>
      </c>
      <c r="BH121" s="226" t="s">
        <v>693</v>
      </c>
      <c r="BI121" s="228"/>
      <c r="BJ121" s="229"/>
      <c r="BK121" s="227"/>
      <c r="BL121" s="324" t="s">
        <v>1362</v>
      </c>
      <c r="BM121" s="324" t="s">
        <v>1363</v>
      </c>
      <c r="BN121" s="324" t="s">
        <v>1364</v>
      </c>
      <c r="BO121" s="330"/>
      <c r="BP121" s="385" t="str">
        <f>IF(G121="X",
   IF(BG121="Applicabile",
      IF(BJ121&lt;&gt;"",
         _xlfn.XLOOKUP($BJ121,Parametri_RA!$B:$B,Parametri_RA!$D:$D,0),
         0),
      ""),
   "")</f>
        <v/>
      </c>
      <c r="BQ121" s="385" t="str">
        <f>IF(H121="X",
   IF(BG121="Applicabile",
      IF(BJ121&lt;&gt;"",
         _xlfn.XLOOKUP($BJ121,Parametri_RA!$B:$B,Parametri_RA!$D:$D,0),
         0),
      ""),
   "")</f>
        <v/>
      </c>
      <c r="BR121" s="385" t="str">
        <f t="shared" si="94"/>
        <v/>
      </c>
      <c r="BS121" s="385" t="str">
        <f t="shared" si="95"/>
        <v/>
      </c>
      <c r="BT121" s="385" t="str">
        <f t="shared" si="96"/>
        <v/>
      </c>
      <c r="BU121" s="385" t="str">
        <f t="shared" si="97"/>
        <v/>
      </c>
      <c r="BV121" s="385" t="str">
        <f t="shared" si="98"/>
        <v/>
      </c>
      <c r="BW121" s="385" t="str">
        <f t="shared" si="99"/>
        <v/>
      </c>
      <c r="BX121" s="385" t="str">
        <f t="shared" si="100"/>
        <v/>
      </c>
      <c r="BY121" s="385" t="str">
        <f t="shared" si="101"/>
        <v/>
      </c>
      <c r="BZ121" s="385" t="str">
        <f t="shared" si="102"/>
        <v/>
      </c>
      <c r="CA121" s="385" t="str">
        <f t="shared" si="103"/>
        <v/>
      </c>
      <c r="CB121" s="385" t="str">
        <f t="shared" si="104"/>
        <v/>
      </c>
      <c r="CC121" s="385" t="str">
        <f t="shared" si="105"/>
        <v/>
      </c>
      <c r="CD121" s="385" t="str">
        <f t="shared" si="106"/>
        <v/>
      </c>
      <c r="CE121" s="385" t="str">
        <f t="shared" si="107"/>
        <v/>
      </c>
      <c r="CF121" s="385" t="str">
        <f t="shared" si="108"/>
        <v/>
      </c>
      <c r="CG121" s="385" t="str">
        <f t="shared" si="109"/>
        <v/>
      </c>
      <c r="CH121" s="385" t="str">
        <f t="shared" si="110"/>
        <v/>
      </c>
      <c r="CI121" s="385" t="str">
        <f t="shared" si="111"/>
        <v/>
      </c>
      <c r="CJ121" s="385" t="str">
        <f t="shared" si="112"/>
        <v/>
      </c>
      <c r="CK121" s="385" t="str">
        <f t="shared" si="113"/>
        <v/>
      </c>
      <c r="CL121" s="385" t="str">
        <f t="shared" si="114"/>
        <v/>
      </c>
      <c r="CM121" s="385" t="str">
        <f t="shared" si="115"/>
        <v/>
      </c>
      <c r="CN121" s="385" t="str">
        <f t="shared" si="116"/>
        <v/>
      </c>
      <c r="CO121" s="385" t="str">
        <f t="shared" si="117"/>
        <v/>
      </c>
      <c r="CP121" s="385" t="str">
        <f t="shared" si="118"/>
        <v/>
      </c>
      <c r="CQ121" s="385" t="str">
        <f t="shared" si="119"/>
        <v/>
      </c>
      <c r="CR121" s="385" t="str">
        <f t="shared" si="120"/>
        <v/>
      </c>
      <c r="CS121" s="385" t="str">
        <f t="shared" si="121"/>
        <v/>
      </c>
      <c r="CT121" s="385" t="str">
        <f t="shared" si="122"/>
        <v/>
      </c>
      <c r="CU121" s="385" t="str">
        <f t="shared" si="123"/>
        <v/>
      </c>
      <c r="CV121" s="385" t="str">
        <f t="shared" si="124"/>
        <v/>
      </c>
      <c r="CW121" s="385" t="str">
        <f t="shared" si="125"/>
        <v/>
      </c>
      <c r="CX121" s="385" t="str">
        <f t="shared" si="126"/>
        <v/>
      </c>
      <c r="CY121" s="385" t="str">
        <f t="shared" si="127"/>
        <v/>
      </c>
      <c r="CZ121" s="385" t="str">
        <f t="shared" si="128"/>
        <v/>
      </c>
      <c r="DA121" s="385" t="str">
        <f t="shared" si="129"/>
        <v/>
      </c>
      <c r="DB121" s="385" t="str">
        <f t="shared" si="130"/>
        <v/>
      </c>
      <c r="DC121" s="385" t="str">
        <f t="shared" si="131"/>
        <v/>
      </c>
      <c r="DD121" s="385" t="str">
        <f t="shared" si="132"/>
        <v/>
      </c>
      <c r="DE121" s="385" t="str">
        <f t="shared" si="133"/>
        <v/>
      </c>
      <c r="DF121" s="385" t="str">
        <f t="shared" si="134"/>
        <v/>
      </c>
      <c r="DG121" s="385" t="str">
        <f t="shared" si="135"/>
        <v/>
      </c>
      <c r="DH121" s="385" t="str">
        <f t="shared" si="136"/>
        <v/>
      </c>
      <c r="DI121" s="385" t="str">
        <f t="shared" si="137"/>
        <v/>
      </c>
    </row>
    <row r="122" spans="1:113" ht="51" x14ac:dyDescent="0.35">
      <c r="A122" s="21"/>
      <c r="B122" s="396">
        <f>'Appoggio_BIA Servizio'!$B$5</f>
        <v>0</v>
      </c>
      <c r="C122" s="392" t="s">
        <v>1286</v>
      </c>
      <c r="D122" s="392" t="s">
        <v>1365</v>
      </c>
      <c r="E122" s="393" t="s">
        <v>1366</v>
      </c>
      <c r="F122" s="240" t="s">
        <v>671</v>
      </c>
      <c r="G122" s="240" t="s">
        <v>655</v>
      </c>
      <c r="H122" s="240" t="s">
        <v>655</v>
      </c>
      <c r="I122" s="394">
        <v>0.4</v>
      </c>
      <c r="J122" s="394">
        <v>0.4</v>
      </c>
      <c r="K122" s="394">
        <v>0.4</v>
      </c>
      <c r="L122" s="394">
        <v>0.4</v>
      </c>
      <c r="M122" s="394">
        <v>0.4</v>
      </c>
      <c r="N122" s="394">
        <v>0.4</v>
      </c>
      <c r="O122" s="394">
        <v>0.4</v>
      </c>
      <c r="P122" s="394">
        <v>0.4</v>
      </c>
      <c r="Q122" s="394">
        <v>0.4</v>
      </c>
      <c r="R122" s="394">
        <v>0.4</v>
      </c>
      <c r="S122" s="394">
        <v>0.4</v>
      </c>
      <c r="T122" s="394">
        <v>0.4</v>
      </c>
      <c r="U122" s="394">
        <v>0.4</v>
      </c>
      <c r="V122" s="394">
        <v>0.4</v>
      </c>
      <c r="W122" s="394">
        <v>0.4</v>
      </c>
      <c r="X122" s="394">
        <v>0.4</v>
      </c>
      <c r="Y122" s="394">
        <v>0.4</v>
      </c>
      <c r="Z122" s="394">
        <v>0.4</v>
      </c>
      <c r="AA122" s="394">
        <v>0.4</v>
      </c>
      <c r="AB122" s="394">
        <v>0.4</v>
      </c>
      <c r="AC122" s="394">
        <v>0.4</v>
      </c>
      <c r="AD122" s="394">
        <v>0.4</v>
      </c>
      <c r="AE122" s="395">
        <v>1</v>
      </c>
      <c r="AF122" s="395"/>
      <c r="AG122" s="395"/>
      <c r="AH122" s="395"/>
      <c r="AI122" s="395">
        <v>1</v>
      </c>
      <c r="AJ122" s="395"/>
      <c r="AK122" s="395">
        <v>1</v>
      </c>
      <c r="AL122" s="395">
        <v>1</v>
      </c>
      <c r="AM122" s="395">
        <v>1</v>
      </c>
      <c r="AN122" s="395">
        <v>1</v>
      </c>
      <c r="AO122" s="395">
        <v>1</v>
      </c>
      <c r="AP122" s="395">
        <v>1</v>
      </c>
      <c r="AQ122" s="395">
        <v>1</v>
      </c>
      <c r="AR122" s="395">
        <v>1</v>
      </c>
      <c r="AS122" s="395">
        <v>1</v>
      </c>
      <c r="AT122" s="395">
        <v>1</v>
      </c>
      <c r="AU122" s="395">
        <v>1</v>
      </c>
      <c r="AV122" s="395">
        <v>1</v>
      </c>
      <c r="AW122" s="395">
        <v>1</v>
      </c>
      <c r="AX122" s="395">
        <v>1</v>
      </c>
      <c r="AY122" s="395">
        <v>1</v>
      </c>
      <c r="AZ122" s="395">
        <v>1</v>
      </c>
      <c r="BA122" s="395">
        <v>1</v>
      </c>
      <c r="BB122" s="395">
        <v>1</v>
      </c>
      <c r="BC122" s="395">
        <v>1</v>
      </c>
      <c r="BD122" s="395">
        <v>1</v>
      </c>
      <c r="BE122" s="395"/>
      <c r="BF122" s="225">
        <f t="shared" si="138"/>
        <v>0</v>
      </c>
      <c r="BG122" s="226" t="str">
        <f t="shared" si="139"/>
        <v>Non Applicabile</v>
      </c>
      <c r="BH122" s="226" t="s">
        <v>693</v>
      </c>
      <c r="BI122" s="325"/>
      <c r="BJ122" s="229"/>
      <c r="BK122" s="227"/>
      <c r="BL122" s="324" t="s">
        <v>1367</v>
      </c>
      <c r="BM122" s="324" t="s">
        <v>1368</v>
      </c>
      <c r="BN122" s="324" t="s">
        <v>1369</v>
      </c>
      <c r="BO122" s="330"/>
      <c r="BP122" s="385" t="str">
        <f>IF(G122="X",
   IF(BG122="Applicabile",
      IF(BJ122&lt;&gt;"",
         _xlfn.XLOOKUP($BJ122,Parametri_RA!$B:$B,Parametri_RA!$D:$D,0),
         0),
      ""),
   "")</f>
        <v/>
      </c>
      <c r="BQ122" s="385" t="str">
        <f>IF(H122="X",
   IF(BG122="Applicabile",
      IF(BJ122&lt;&gt;"",
         _xlfn.XLOOKUP($BJ122,Parametri_RA!$B:$B,Parametri_RA!$D:$D,0),
         0),
      ""),
   "")</f>
        <v/>
      </c>
      <c r="BR122" s="385" t="str">
        <f t="shared" si="94"/>
        <v/>
      </c>
      <c r="BS122" s="385" t="str">
        <f t="shared" si="95"/>
        <v/>
      </c>
      <c r="BT122" s="385" t="str">
        <f t="shared" si="96"/>
        <v/>
      </c>
      <c r="BU122" s="385" t="str">
        <f t="shared" si="97"/>
        <v/>
      </c>
      <c r="BV122" s="385" t="str">
        <f t="shared" si="98"/>
        <v/>
      </c>
      <c r="BW122" s="385" t="str">
        <f t="shared" si="99"/>
        <v/>
      </c>
      <c r="BX122" s="385" t="str">
        <f t="shared" si="100"/>
        <v/>
      </c>
      <c r="BY122" s="385" t="str">
        <f t="shared" si="101"/>
        <v/>
      </c>
      <c r="BZ122" s="385" t="str">
        <f t="shared" si="102"/>
        <v/>
      </c>
      <c r="CA122" s="385" t="str">
        <f t="shared" si="103"/>
        <v/>
      </c>
      <c r="CB122" s="385" t="str">
        <f t="shared" si="104"/>
        <v/>
      </c>
      <c r="CC122" s="385" t="str">
        <f t="shared" si="105"/>
        <v/>
      </c>
      <c r="CD122" s="385" t="str">
        <f t="shared" si="106"/>
        <v/>
      </c>
      <c r="CE122" s="385" t="str">
        <f t="shared" si="107"/>
        <v/>
      </c>
      <c r="CF122" s="385" t="str">
        <f t="shared" si="108"/>
        <v/>
      </c>
      <c r="CG122" s="385" t="str">
        <f t="shared" si="109"/>
        <v/>
      </c>
      <c r="CH122" s="385" t="str">
        <f t="shared" si="110"/>
        <v/>
      </c>
      <c r="CI122" s="385" t="str">
        <f t="shared" si="111"/>
        <v/>
      </c>
      <c r="CJ122" s="385" t="str">
        <f t="shared" si="112"/>
        <v/>
      </c>
      <c r="CK122" s="385" t="str">
        <f t="shared" si="113"/>
        <v/>
      </c>
      <c r="CL122" s="385" t="str">
        <f t="shared" si="114"/>
        <v/>
      </c>
      <c r="CM122" s="385" t="str">
        <f t="shared" si="115"/>
        <v/>
      </c>
      <c r="CN122" s="385" t="str">
        <f t="shared" si="116"/>
        <v/>
      </c>
      <c r="CO122" s="385" t="str">
        <f t="shared" si="117"/>
        <v/>
      </c>
      <c r="CP122" s="385" t="str">
        <f t="shared" si="118"/>
        <v/>
      </c>
      <c r="CQ122" s="385" t="str">
        <f t="shared" si="119"/>
        <v/>
      </c>
      <c r="CR122" s="385" t="str">
        <f t="shared" si="120"/>
        <v/>
      </c>
      <c r="CS122" s="385" t="str">
        <f t="shared" si="121"/>
        <v/>
      </c>
      <c r="CT122" s="385" t="str">
        <f t="shared" si="122"/>
        <v/>
      </c>
      <c r="CU122" s="385" t="str">
        <f t="shared" si="123"/>
        <v/>
      </c>
      <c r="CV122" s="385" t="str">
        <f t="shared" si="124"/>
        <v/>
      </c>
      <c r="CW122" s="385" t="str">
        <f t="shared" si="125"/>
        <v/>
      </c>
      <c r="CX122" s="385" t="str">
        <f t="shared" si="126"/>
        <v/>
      </c>
      <c r="CY122" s="385" t="str">
        <f t="shared" si="127"/>
        <v/>
      </c>
      <c r="CZ122" s="385" t="str">
        <f t="shared" si="128"/>
        <v/>
      </c>
      <c r="DA122" s="385" t="str">
        <f t="shared" si="129"/>
        <v/>
      </c>
      <c r="DB122" s="385" t="str">
        <f t="shared" si="130"/>
        <v/>
      </c>
      <c r="DC122" s="385" t="str">
        <f t="shared" si="131"/>
        <v/>
      </c>
      <c r="DD122" s="385" t="str">
        <f t="shared" si="132"/>
        <v/>
      </c>
      <c r="DE122" s="385" t="str">
        <f t="shared" si="133"/>
        <v/>
      </c>
      <c r="DF122" s="385" t="str">
        <f t="shared" si="134"/>
        <v/>
      </c>
      <c r="DG122" s="385" t="str">
        <f t="shared" si="135"/>
        <v/>
      </c>
      <c r="DH122" s="385" t="str">
        <f t="shared" si="136"/>
        <v/>
      </c>
      <c r="DI122" s="385" t="str">
        <f t="shared" si="137"/>
        <v/>
      </c>
    </row>
    <row r="123" spans="1:113" ht="85" x14ac:dyDescent="0.35">
      <c r="A123" s="21"/>
      <c r="B123" s="396">
        <f>'Appoggio_BIA Servizio'!$B$5</f>
        <v>0</v>
      </c>
      <c r="C123" s="392" t="s">
        <v>1286</v>
      </c>
      <c r="D123" s="392" t="s">
        <v>1370</v>
      </c>
      <c r="E123" s="393" t="s">
        <v>1371</v>
      </c>
      <c r="F123" s="240" t="s">
        <v>654</v>
      </c>
      <c r="G123" s="398"/>
      <c r="H123" s="240" t="s">
        <v>655</v>
      </c>
      <c r="I123" s="240">
        <v>1</v>
      </c>
      <c r="J123" s="240">
        <v>1</v>
      </c>
      <c r="K123" s="240">
        <v>1</v>
      </c>
      <c r="L123" s="240"/>
      <c r="M123" s="240"/>
      <c r="N123" s="240"/>
      <c r="O123" s="394"/>
      <c r="P123" s="394"/>
      <c r="Q123" s="240">
        <v>1</v>
      </c>
      <c r="R123" s="240">
        <v>1</v>
      </c>
      <c r="S123" s="394"/>
      <c r="T123" s="394"/>
      <c r="U123" s="394">
        <v>1</v>
      </c>
      <c r="V123" s="394"/>
      <c r="W123" s="394">
        <v>0.7</v>
      </c>
      <c r="X123" s="394">
        <v>1</v>
      </c>
      <c r="Y123" s="394">
        <v>1</v>
      </c>
      <c r="Z123" s="394">
        <v>1</v>
      </c>
      <c r="AA123" s="394">
        <v>1</v>
      </c>
      <c r="AB123" s="240">
        <v>1</v>
      </c>
      <c r="AC123" s="394">
        <v>1</v>
      </c>
      <c r="AD123" s="394"/>
      <c r="AE123" s="395"/>
      <c r="AF123" s="395"/>
      <c r="AG123" s="395"/>
      <c r="AH123" s="395"/>
      <c r="AI123" s="395"/>
      <c r="AJ123" s="395"/>
      <c r="AK123" s="395"/>
      <c r="AL123" s="395"/>
      <c r="AM123" s="395"/>
      <c r="AN123" s="395"/>
      <c r="AO123" s="395"/>
      <c r="AP123" s="395"/>
      <c r="AQ123" s="395"/>
      <c r="AR123" s="395"/>
      <c r="AS123" s="395"/>
      <c r="AT123" s="395"/>
      <c r="AU123" s="395"/>
      <c r="AV123" s="395"/>
      <c r="AW123" s="395"/>
      <c r="AX123" s="395"/>
      <c r="AY123" s="395"/>
      <c r="AZ123" s="395"/>
      <c r="BA123" s="395"/>
      <c r="BB123" s="395"/>
      <c r="BC123" s="395">
        <v>1</v>
      </c>
      <c r="BD123" s="395">
        <v>1</v>
      </c>
      <c r="BE123" s="395"/>
      <c r="BF123" s="225">
        <f t="shared" si="138"/>
        <v>0</v>
      </c>
      <c r="BG123" s="226" t="str">
        <f t="shared" si="139"/>
        <v>Non Applicabile</v>
      </c>
      <c r="BH123" s="226" t="s">
        <v>693</v>
      </c>
      <c r="BI123" s="325"/>
      <c r="BJ123" s="229"/>
      <c r="BK123" s="227"/>
      <c r="BL123" s="324" t="s">
        <v>1372</v>
      </c>
      <c r="BM123" s="324" t="s">
        <v>1373</v>
      </c>
      <c r="BN123" s="324" t="s">
        <v>1374</v>
      </c>
      <c r="BO123" s="330"/>
      <c r="BP123" s="385" t="str">
        <f>IF(G123="X",
   IF(BG123="Applicabile",
      IF(BJ123&lt;&gt;"",
         _xlfn.XLOOKUP($BJ123,Parametri_RA!$B:$B,Parametri_RA!$D:$D,0),
         0),
      ""),
   "")</f>
        <v/>
      </c>
      <c r="BQ123" s="385" t="str">
        <f>IF(H123="X",
   IF(BG123="Applicabile",
      IF(BJ123&lt;&gt;"",
         _xlfn.XLOOKUP($BJ123,Parametri_RA!$B:$B,Parametri_RA!$D:$D,0),
         0),
      ""),
   "")</f>
        <v/>
      </c>
      <c r="BR123" s="385" t="str">
        <f t="shared" si="94"/>
        <v/>
      </c>
      <c r="BS123" s="385" t="str">
        <f t="shared" si="95"/>
        <v/>
      </c>
      <c r="BT123" s="385" t="str">
        <f t="shared" si="96"/>
        <v/>
      </c>
      <c r="BU123" s="385" t="str">
        <f t="shared" si="97"/>
        <v/>
      </c>
      <c r="BV123" s="385" t="str">
        <f t="shared" si="98"/>
        <v/>
      </c>
      <c r="BW123" s="385" t="str">
        <f t="shared" si="99"/>
        <v/>
      </c>
      <c r="BX123" s="385" t="str">
        <f t="shared" si="100"/>
        <v/>
      </c>
      <c r="BY123" s="385" t="str">
        <f t="shared" si="101"/>
        <v/>
      </c>
      <c r="BZ123" s="385" t="str">
        <f t="shared" si="102"/>
        <v/>
      </c>
      <c r="CA123" s="385" t="str">
        <f t="shared" si="103"/>
        <v/>
      </c>
      <c r="CB123" s="385" t="str">
        <f t="shared" si="104"/>
        <v/>
      </c>
      <c r="CC123" s="385" t="str">
        <f t="shared" si="105"/>
        <v/>
      </c>
      <c r="CD123" s="385" t="str">
        <f t="shared" si="106"/>
        <v/>
      </c>
      <c r="CE123" s="385" t="str">
        <f t="shared" si="107"/>
        <v/>
      </c>
      <c r="CF123" s="385" t="str">
        <f t="shared" si="108"/>
        <v/>
      </c>
      <c r="CG123" s="385" t="str">
        <f t="shared" si="109"/>
        <v/>
      </c>
      <c r="CH123" s="385" t="str">
        <f t="shared" si="110"/>
        <v/>
      </c>
      <c r="CI123" s="385" t="str">
        <f t="shared" si="111"/>
        <v/>
      </c>
      <c r="CJ123" s="385" t="str">
        <f t="shared" si="112"/>
        <v/>
      </c>
      <c r="CK123" s="385" t="str">
        <f t="shared" si="113"/>
        <v/>
      </c>
      <c r="CL123" s="385" t="str">
        <f t="shared" si="114"/>
        <v/>
      </c>
      <c r="CM123" s="385" t="str">
        <f t="shared" si="115"/>
        <v/>
      </c>
      <c r="CN123" s="385" t="str">
        <f t="shared" si="116"/>
        <v/>
      </c>
      <c r="CO123" s="385" t="str">
        <f t="shared" si="117"/>
        <v/>
      </c>
      <c r="CP123" s="385" t="str">
        <f t="shared" si="118"/>
        <v/>
      </c>
      <c r="CQ123" s="385" t="str">
        <f t="shared" si="119"/>
        <v/>
      </c>
      <c r="CR123" s="385" t="str">
        <f t="shared" si="120"/>
        <v/>
      </c>
      <c r="CS123" s="385" t="str">
        <f t="shared" si="121"/>
        <v/>
      </c>
      <c r="CT123" s="385" t="str">
        <f t="shared" si="122"/>
        <v/>
      </c>
      <c r="CU123" s="385" t="str">
        <f t="shared" si="123"/>
        <v/>
      </c>
      <c r="CV123" s="385" t="str">
        <f t="shared" si="124"/>
        <v/>
      </c>
      <c r="CW123" s="385" t="str">
        <f t="shared" si="125"/>
        <v/>
      </c>
      <c r="CX123" s="385" t="str">
        <f t="shared" si="126"/>
        <v/>
      </c>
      <c r="CY123" s="385" t="str">
        <f t="shared" si="127"/>
        <v/>
      </c>
      <c r="CZ123" s="385" t="str">
        <f t="shared" si="128"/>
        <v/>
      </c>
      <c r="DA123" s="385" t="str">
        <f t="shared" si="129"/>
        <v/>
      </c>
      <c r="DB123" s="385" t="str">
        <f t="shared" si="130"/>
        <v/>
      </c>
      <c r="DC123" s="385" t="str">
        <f t="shared" si="131"/>
        <v/>
      </c>
      <c r="DD123" s="385" t="str">
        <f t="shared" si="132"/>
        <v/>
      </c>
      <c r="DE123" s="385" t="str">
        <f t="shared" si="133"/>
        <v/>
      </c>
      <c r="DF123" s="385" t="str">
        <f t="shared" si="134"/>
        <v/>
      </c>
      <c r="DG123" s="385" t="str">
        <f t="shared" si="135"/>
        <v/>
      </c>
      <c r="DH123" s="385" t="str">
        <f t="shared" si="136"/>
        <v/>
      </c>
      <c r="DI123" s="385" t="str">
        <f t="shared" si="137"/>
        <v/>
      </c>
    </row>
    <row r="124" spans="1:113" ht="66" x14ac:dyDescent="0.35">
      <c r="A124" s="21"/>
      <c r="B124" s="396">
        <f>'Appoggio_BIA Servizio'!$B$5</f>
        <v>0</v>
      </c>
      <c r="C124" s="392" t="s">
        <v>1286</v>
      </c>
      <c r="D124" s="392" t="s">
        <v>1375</v>
      </c>
      <c r="E124" s="393" t="s">
        <v>1376</v>
      </c>
      <c r="F124" s="240" t="s">
        <v>671</v>
      </c>
      <c r="G124" s="240" t="s">
        <v>655</v>
      </c>
      <c r="H124" s="240" t="s">
        <v>655</v>
      </c>
      <c r="I124" s="240">
        <v>0.7</v>
      </c>
      <c r="J124" s="240">
        <v>0.7</v>
      </c>
      <c r="K124" s="240">
        <v>0.7</v>
      </c>
      <c r="L124" s="240"/>
      <c r="M124" s="240"/>
      <c r="N124" s="240"/>
      <c r="O124" s="394"/>
      <c r="P124" s="394"/>
      <c r="Q124" s="240">
        <v>0.7</v>
      </c>
      <c r="R124" s="240">
        <v>0.7</v>
      </c>
      <c r="S124" s="394"/>
      <c r="T124" s="394"/>
      <c r="U124" s="394">
        <v>0.7</v>
      </c>
      <c r="V124" s="394"/>
      <c r="W124" s="394"/>
      <c r="X124" s="394">
        <v>1</v>
      </c>
      <c r="Y124" s="394">
        <v>1</v>
      </c>
      <c r="Z124" s="394">
        <v>1</v>
      </c>
      <c r="AA124" s="394">
        <v>1</v>
      </c>
      <c r="AB124" s="240">
        <v>0.7</v>
      </c>
      <c r="AC124" s="394">
        <v>0.7</v>
      </c>
      <c r="AD124" s="394"/>
      <c r="AE124" s="395"/>
      <c r="AF124" s="395"/>
      <c r="AG124" s="395"/>
      <c r="AH124" s="395"/>
      <c r="AI124" s="395"/>
      <c r="AJ124" s="395"/>
      <c r="AK124" s="395"/>
      <c r="AL124" s="395"/>
      <c r="AM124" s="395"/>
      <c r="AN124" s="395"/>
      <c r="AO124" s="395"/>
      <c r="AP124" s="395"/>
      <c r="AQ124" s="395"/>
      <c r="AR124" s="395"/>
      <c r="AS124" s="395"/>
      <c r="AT124" s="395"/>
      <c r="AU124" s="395"/>
      <c r="AV124" s="395"/>
      <c r="AW124" s="395"/>
      <c r="AX124" s="395"/>
      <c r="AY124" s="395"/>
      <c r="AZ124" s="395"/>
      <c r="BA124" s="395"/>
      <c r="BB124" s="395"/>
      <c r="BC124" s="395">
        <v>1</v>
      </c>
      <c r="BD124" s="395">
        <v>1</v>
      </c>
      <c r="BE124" s="395"/>
      <c r="BF124" s="225">
        <f t="shared" si="138"/>
        <v>0</v>
      </c>
      <c r="BG124" s="226" t="str">
        <f t="shared" si="139"/>
        <v>Non Applicabile</v>
      </c>
      <c r="BH124" s="226" t="s">
        <v>693</v>
      </c>
      <c r="BI124" s="325"/>
      <c r="BJ124" s="229"/>
      <c r="BK124" s="227"/>
      <c r="BL124" s="324" t="s">
        <v>1377</v>
      </c>
      <c r="BM124" s="324" t="s">
        <v>1378</v>
      </c>
      <c r="BN124" s="324" t="s">
        <v>1379</v>
      </c>
      <c r="BO124" s="330"/>
      <c r="BP124" s="385" t="str">
        <f>IF(G124="X",
   IF(BG124="Applicabile",
      IF(BJ124&lt;&gt;"",
         _xlfn.XLOOKUP($BJ124,Parametri_RA!$B:$B,Parametri_RA!$D:$D,0),
         0),
      ""),
   "")</f>
        <v/>
      </c>
      <c r="BQ124" s="385" t="str">
        <f>IF(H124="X",
   IF(BG124="Applicabile",
      IF(BJ124&lt;&gt;"",
         _xlfn.XLOOKUP($BJ124,Parametri_RA!$B:$B,Parametri_RA!$D:$D,0),
         0),
      ""),
   "")</f>
        <v/>
      </c>
      <c r="BR124" s="385" t="str">
        <f t="shared" si="94"/>
        <v/>
      </c>
      <c r="BS124" s="385" t="str">
        <f t="shared" si="95"/>
        <v/>
      </c>
      <c r="BT124" s="385" t="str">
        <f t="shared" si="96"/>
        <v/>
      </c>
      <c r="BU124" s="385" t="str">
        <f t="shared" si="97"/>
        <v/>
      </c>
      <c r="BV124" s="385" t="str">
        <f t="shared" si="98"/>
        <v/>
      </c>
      <c r="BW124" s="385" t="str">
        <f t="shared" si="99"/>
        <v/>
      </c>
      <c r="BX124" s="385" t="str">
        <f t="shared" si="100"/>
        <v/>
      </c>
      <c r="BY124" s="385" t="str">
        <f t="shared" si="101"/>
        <v/>
      </c>
      <c r="BZ124" s="385" t="str">
        <f t="shared" si="102"/>
        <v/>
      </c>
      <c r="CA124" s="385" t="str">
        <f t="shared" si="103"/>
        <v/>
      </c>
      <c r="CB124" s="385" t="str">
        <f t="shared" si="104"/>
        <v/>
      </c>
      <c r="CC124" s="385" t="str">
        <f t="shared" si="105"/>
        <v/>
      </c>
      <c r="CD124" s="385" t="str">
        <f t="shared" si="106"/>
        <v/>
      </c>
      <c r="CE124" s="385" t="str">
        <f t="shared" si="107"/>
        <v/>
      </c>
      <c r="CF124" s="385" t="str">
        <f t="shared" si="108"/>
        <v/>
      </c>
      <c r="CG124" s="385" t="str">
        <f t="shared" si="109"/>
        <v/>
      </c>
      <c r="CH124" s="385" t="str">
        <f t="shared" si="110"/>
        <v/>
      </c>
      <c r="CI124" s="385" t="str">
        <f t="shared" si="111"/>
        <v/>
      </c>
      <c r="CJ124" s="385" t="str">
        <f t="shared" si="112"/>
        <v/>
      </c>
      <c r="CK124" s="385" t="str">
        <f t="shared" si="113"/>
        <v/>
      </c>
      <c r="CL124" s="385" t="str">
        <f t="shared" si="114"/>
        <v/>
      </c>
      <c r="CM124" s="385" t="str">
        <f t="shared" si="115"/>
        <v/>
      </c>
      <c r="CN124" s="385" t="str">
        <f t="shared" si="116"/>
        <v/>
      </c>
      <c r="CO124" s="385" t="str">
        <f t="shared" si="117"/>
        <v/>
      </c>
      <c r="CP124" s="385" t="str">
        <f t="shared" si="118"/>
        <v/>
      </c>
      <c r="CQ124" s="385" t="str">
        <f t="shared" si="119"/>
        <v/>
      </c>
      <c r="CR124" s="385" t="str">
        <f t="shared" si="120"/>
        <v/>
      </c>
      <c r="CS124" s="385" t="str">
        <f t="shared" si="121"/>
        <v/>
      </c>
      <c r="CT124" s="385" t="str">
        <f t="shared" si="122"/>
        <v/>
      </c>
      <c r="CU124" s="385" t="str">
        <f t="shared" si="123"/>
        <v/>
      </c>
      <c r="CV124" s="385" t="str">
        <f t="shared" si="124"/>
        <v/>
      </c>
      <c r="CW124" s="385" t="str">
        <f t="shared" si="125"/>
        <v/>
      </c>
      <c r="CX124" s="385" t="str">
        <f t="shared" si="126"/>
        <v/>
      </c>
      <c r="CY124" s="385" t="str">
        <f t="shared" si="127"/>
        <v/>
      </c>
      <c r="CZ124" s="385" t="str">
        <f t="shared" si="128"/>
        <v/>
      </c>
      <c r="DA124" s="385" t="str">
        <f t="shared" si="129"/>
        <v/>
      </c>
      <c r="DB124" s="385" t="str">
        <f t="shared" si="130"/>
        <v/>
      </c>
      <c r="DC124" s="385" t="str">
        <f t="shared" si="131"/>
        <v/>
      </c>
      <c r="DD124" s="385" t="str">
        <f t="shared" si="132"/>
        <v/>
      </c>
      <c r="DE124" s="385" t="str">
        <f t="shared" si="133"/>
        <v/>
      </c>
      <c r="DF124" s="385" t="str">
        <f t="shared" si="134"/>
        <v/>
      </c>
      <c r="DG124" s="385" t="str">
        <f t="shared" si="135"/>
        <v/>
      </c>
      <c r="DH124" s="385" t="str">
        <f t="shared" si="136"/>
        <v/>
      </c>
      <c r="DI124" s="385" t="str">
        <f t="shared" si="137"/>
        <v/>
      </c>
    </row>
    <row r="125" spans="1:113" ht="34" x14ac:dyDescent="0.35">
      <c r="A125" s="21" t="s">
        <v>1380</v>
      </c>
      <c r="B125" s="396">
        <f>'Appoggio_BIA Servizio'!$B$5</f>
        <v>0</v>
      </c>
      <c r="C125" s="392" t="s">
        <v>1381</v>
      </c>
      <c r="D125" s="392" t="s">
        <v>1382</v>
      </c>
      <c r="E125" s="393" t="s">
        <v>1383</v>
      </c>
      <c r="F125" s="240" t="s">
        <v>663</v>
      </c>
      <c r="G125" s="240" t="s">
        <v>655</v>
      </c>
      <c r="H125" s="240"/>
      <c r="I125" s="240"/>
      <c r="J125" s="240"/>
      <c r="K125" s="240"/>
      <c r="L125" s="240"/>
      <c r="M125" s="240"/>
      <c r="N125" s="240"/>
      <c r="O125" s="394">
        <v>0.4</v>
      </c>
      <c r="P125" s="394"/>
      <c r="Q125" s="240"/>
      <c r="R125" s="394"/>
      <c r="S125" s="394"/>
      <c r="T125" s="394"/>
      <c r="U125" s="394"/>
      <c r="V125" s="394">
        <v>0.4</v>
      </c>
      <c r="W125" s="394"/>
      <c r="X125" s="394"/>
      <c r="Y125" s="394"/>
      <c r="Z125" s="394"/>
      <c r="AA125" s="394">
        <v>0.4</v>
      </c>
      <c r="AB125" s="240"/>
      <c r="AC125" s="394"/>
      <c r="AD125" s="394">
        <v>1</v>
      </c>
      <c r="AE125" s="395"/>
      <c r="AF125" s="395"/>
      <c r="AG125" s="395"/>
      <c r="AH125" s="395"/>
      <c r="AI125" s="395"/>
      <c r="AJ125" s="395"/>
      <c r="AK125" s="395">
        <v>1</v>
      </c>
      <c r="AL125" s="395"/>
      <c r="AM125" s="395"/>
      <c r="AN125" s="395"/>
      <c r="AO125" s="395"/>
      <c r="AP125" s="395"/>
      <c r="AQ125" s="395"/>
      <c r="AR125" s="395"/>
      <c r="AS125" s="395"/>
      <c r="AT125" s="395"/>
      <c r="AU125" s="395"/>
      <c r="AV125" s="395"/>
      <c r="AW125" s="395"/>
      <c r="AX125" s="395"/>
      <c r="AY125" s="395"/>
      <c r="AZ125" s="395"/>
      <c r="BA125" s="395"/>
      <c r="BB125" s="395"/>
      <c r="BC125" s="395"/>
      <c r="BD125" s="395"/>
      <c r="BE125" s="395">
        <v>1</v>
      </c>
      <c r="BF125" s="225">
        <f t="shared" si="138"/>
        <v>0</v>
      </c>
      <c r="BG125" s="226" t="str">
        <f t="shared" si="139"/>
        <v>Non Applicabile</v>
      </c>
      <c r="BH125" s="226" t="s">
        <v>693</v>
      </c>
      <c r="BI125" s="228"/>
      <c r="BJ125" s="229"/>
      <c r="BK125" s="227"/>
      <c r="BL125" s="324" t="s">
        <v>1384</v>
      </c>
      <c r="BM125" s="324" t="s">
        <v>1385</v>
      </c>
      <c r="BN125" s="324" t="s">
        <v>1386</v>
      </c>
      <c r="BO125" s="330"/>
      <c r="BP125" s="385" t="str">
        <f>IF(G125="X",
   IF(BG125="Applicabile",
      IF(BJ125&lt;&gt;"",
         _xlfn.XLOOKUP($BJ125,Parametri_RA!$B:$B,Parametri_RA!$D:$D,0),
         0),
      ""),
   "")</f>
        <v/>
      </c>
      <c r="BQ125" s="385" t="str">
        <f>IF(H125="X",
   IF(BG125="Applicabile",
      IF(BJ125&lt;&gt;"",
         _xlfn.XLOOKUP($BJ125,Parametri_RA!$B:$B,Parametri_RA!$D:$D,0),
         0),
      ""),
   "")</f>
        <v/>
      </c>
      <c r="BR125" s="385" t="str">
        <f t="shared" si="94"/>
        <v/>
      </c>
      <c r="BS125" s="385" t="str">
        <f t="shared" si="95"/>
        <v/>
      </c>
      <c r="BT125" s="385" t="str">
        <f t="shared" si="96"/>
        <v/>
      </c>
      <c r="BU125" s="385" t="str">
        <f t="shared" si="97"/>
        <v/>
      </c>
      <c r="BV125" s="385" t="str">
        <f t="shared" si="98"/>
        <v/>
      </c>
      <c r="BW125" s="385" t="str">
        <f t="shared" si="99"/>
        <v/>
      </c>
      <c r="BX125" s="385" t="str">
        <f t="shared" si="100"/>
        <v/>
      </c>
      <c r="BY125" s="385" t="str">
        <f t="shared" si="101"/>
        <v/>
      </c>
      <c r="BZ125" s="385" t="str">
        <f t="shared" si="102"/>
        <v/>
      </c>
      <c r="CA125" s="385" t="str">
        <f t="shared" si="103"/>
        <v/>
      </c>
      <c r="CB125" s="385" t="str">
        <f t="shared" si="104"/>
        <v/>
      </c>
      <c r="CC125" s="385" t="str">
        <f t="shared" si="105"/>
        <v/>
      </c>
      <c r="CD125" s="385" t="str">
        <f t="shared" si="106"/>
        <v/>
      </c>
      <c r="CE125" s="385" t="str">
        <f t="shared" si="107"/>
        <v/>
      </c>
      <c r="CF125" s="385" t="str">
        <f t="shared" si="108"/>
        <v/>
      </c>
      <c r="CG125" s="385" t="str">
        <f t="shared" si="109"/>
        <v/>
      </c>
      <c r="CH125" s="385" t="str">
        <f t="shared" si="110"/>
        <v/>
      </c>
      <c r="CI125" s="385" t="str">
        <f t="shared" si="111"/>
        <v/>
      </c>
      <c r="CJ125" s="385" t="str">
        <f t="shared" si="112"/>
        <v/>
      </c>
      <c r="CK125" s="385" t="str">
        <f t="shared" si="113"/>
        <v/>
      </c>
      <c r="CL125" s="385" t="str">
        <f t="shared" si="114"/>
        <v/>
      </c>
      <c r="CM125" s="385" t="str">
        <f t="shared" si="115"/>
        <v/>
      </c>
      <c r="CN125" s="385" t="str">
        <f t="shared" si="116"/>
        <v/>
      </c>
      <c r="CO125" s="385" t="str">
        <f t="shared" si="117"/>
        <v/>
      </c>
      <c r="CP125" s="385" t="str">
        <f t="shared" si="118"/>
        <v/>
      </c>
      <c r="CQ125" s="385" t="str">
        <f t="shared" si="119"/>
        <v/>
      </c>
      <c r="CR125" s="385" t="str">
        <f t="shared" si="120"/>
        <v/>
      </c>
      <c r="CS125" s="385" t="str">
        <f t="shared" si="121"/>
        <v/>
      </c>
      <c r="CT125" s="385" t="str">
        <f t="shared" si="122"/>
        <v/>
      </c>
      <c r="CU125" s="385" t="str">
        <f t="shared" si="123"/>
        <v/>
      </c>
      <c r="CV125" s="385" t="str">
        <f t="shared" si="124"/>
        <v/>
      </c>
      <c r="CW125" s="385" t="str">
        <f t="shared" si="125"/>
        <v/>
      </c>
      <c r="CX125" s="385" t="str">
        <f t="shared" si="126"/>
        <v/>
      </c>
      <c r="CY125" s="385" t="str">
        <f t="shared" si="127"/>
        <v/>
      </c>
      <c r="CZ125" s="385" t="str">
        <f t="shared" si="128"/>
        <v/>
      </c>
      <c r="DA125" s="385" t="str">
        <f t="shared" si="129"/>
        <v/>
      </c>
      <c r="DB125" s="385" t="str">
        <f t="shared" si="130"/>
        <v/>
      </c>
      <c r="DC125" s="385" t="str">
        <f t="shared" si="131"/>
        <v/>
      </c>
      <c r="DD125" s="385" t="str">
        <f t="shared" si="132"/>
        <v/>
      </c>
      <c r="DE125" s="385" t="str">
        <f t="shared" si="133"/>
        <v/>
      </c>
      <c r="DF125" s="385" t="str">
        <f t="shared" si="134"/>
        <v/>
      </c>
      <c r="DG125" s="385" t="str">
        <f t="shared" si="135"/>
        <v/>
      </c>
      <c r="DH125" s="385" t="str">
        <f t="shared" si="136"/>
        <v/>
      </c>
      <c r="DI125" s="385" t="str">
        <f t="shared" si="137"/>
        <v/>
      </c>
    </row>
    <row r="126" spans="1:113" ht="34" x14ac:dyDescent="0.35">
      <c r="A126" s="21" t="s">
        <v>1387</v>
      </c>
      <c r="B126" s="396">
        <f>'Appoggio_BIA Servizio'!$B$5</f>
        <v>0</v>
      </c>
      <c r="C126" s="392" t="s">
        <v>1381</v>
      </c>
      <c r="D126" s="392" t="s">
        <v>1388</v>
      </c>
      <c r="E126" s="393" t="s">
        <v>1389</v>
      </c>
      <c r="F126" s="240" t="s">
        <v>663</v>
      </c>
      <c r="G126" s="240" t="s">
        <v>655</v>
      </c>
      <c r="H126" s="240"/>
      <c r="I126" s="240"/>
      <c r="J126" s="240"/>
      <c r="K126" s="240"/>
      <c r="L126" s="240"/>
      <c r="M126" s="240"/>
      <c r="N126" s="240"/>
      <c r="O126" s="394"/>
      <c r="P126" s="394"/>
      <c r="Q126" s="240"/>
      <c r="R126" s="394"/>
      <c r="S126" s="394"/>
      <c r="T126" s="394"/>
      <c r="U126" s="394"/>
      <c r="V126" s="394">
        <v>0.7</v>
      </c>
      <c r="W126" s="394"/>
      <c r="X126" s="394"/>
      <c r="Y126" s="394"/>
      <c r="Z126" s="394"/>
      <c r="AA126" s="394">
        <v>0.7</v>
      </c>
      <c r="AB126" s="240"/>
      <c r="AC126" s="394"/>
      <c r="AD126" s="394">
        <v>1</v>
      </c>
      <c r="AE126" s="395"/>
      <c r="AF126" s="395"/>
      <c r="AG126" s="395"/>
      <c r="AH126" s="395"/>
      <c r="AI126" s="395"/>
      <c r="AJ126" s="395"/>
      <c r="AK126" s="395">
        <v>1</v>
      </c>
      <c r="AL126" s="395"/>
      <c r="AM126" s="395"/>
      <c r="AN126" s="395"/>
      <c r="AO126" s="395"/>
      <c r="AP126" s="395"/>
      <c r="AQ126" s="395"/>
      <c r="AR126" s="395"/>
      <c r="AS126" s="395"/>
      <c r="AT126" s="395"/>
      <c r="AU126" s="395"/>
      <c r="AV126" s="395"/>
      <c r="AW126" s="395"/>
      <c r="AX126" s="395"/>
      <c r="AY126" s="395"/>
      <c r="AZ126" s="395"/>
      <c r="BA126" s="395"/>
      <c r="BB126" s="395"/>
      <c r="BC126" s="395"/>
      <c r="BD126" s="395"/>
      <c r="BE126" s="395">
        <v>1</v>
      </c>
      <c r="BF126" s="225">
        <f t="shared" si="138"/>
        <v>0</v>
      </c>
      <c r="BG126" s="226" t="str">
        <f t="shared" si="139"/>
        <v>Non Applicabile</v>
      </c>
      <c r="BH126" s="226" t="s">
        <v>693</v>
      </c>
      <c r="BI126" s="228"/>
      <c r="BJ126" s="229"/>
      <c r="BK126" s="227"/>
      <c r="BL126" s="324" t="s">
        <v>1384</v>
      </c>
      <c r="BM126" s="324" t="s">
        <v>1385</v>
      </c>
      <c r="BN126" s="324" t="s">
        <v>1386</v>
      </c>
      <c r="BO126" s="330"/>
      <c r="BP126" s="385" t="str">
        <f>IF(G126="X",
   IF(BG126="Applicabile",
      IF(BJ126&lt;&gt;"",
         _xlfn.XLOOKUP($BJ126,Parametri_RA!$B:$B,Parametri_RA!$D:$D,0),
         0),
      ""),
   "")</f>
        <v/>
      </c>
      <c r="BQ126" s="385" t="str">
        <f>IF(H126="X",
   IF(BG126="Applicabile",
      IF(BJ126&lt;&gt;"",
         _xlfn.XLOOKUP($BJ126,Parametri_RA!$B:$B,Parametri_RA!$D:$D,0),
         0),
      ""),
   "")</f>
        <v/>
      </c>
      <c r="BR126" s="385" t="str">
        <f t="shared" si="94"/>
        <v/>
      </c>
      <c r="BS126" s="385" t="str">
        <f t="shared" si="95"/>
        <v/>
      </c>
      <c r="BT126" s="385" t="str">
        <f t="shared" si="96"/>
        <v/>
      </c>
      <c r="BU126" s="385" t="str">
        <f t="shared" si="97"/>
        <v/>
      </c>
      <c r="BV126" s="385" t="str">
        <f t="shared" si="98"/>
        <v/>
      </c>
      <c r="BW126" s="385" t="str">
        <f t="shared" si="99"/>
        <v/>
      </c>
      <c r="BX126" s="385" t="str">
        <f t="shared" si="100"/>
        <v/>
      </c>
      <c r="BY126" s="385" t="str">
        <f t="shared" si="101"/>
        <v/>
      </c>
      <c r="BZ126" s="385" t="str">
        <f t="shared" si="102"/>
        <v/>
      </c>
      <c r="CA126" s="385" t="str">
        <f t="shared" si="103"/>
        <v/>
      </c>
      <c r="CB126" s="385" t="str">
        <f t="shared" si="104"/>
        <v/>
      </c>
      <c r="CC126" s="385" t="str">
        <f t="shared" si="105"/>
        <v/>
      </c>
      <c r="CD126" s="385" t="str">
        <f t="shared" si="106"/>
        <v/>
      </c>
      <c r="CE126" s="385" t="str">
        <f t="shared" si="107"/>
        <v/>
      </c>
      <c r="CF126" s="385" t="str">
        <f t="shared" si="108"/>
        <v/>
      </c>
      <c r="CG126" s="385" t="str">
        <f t="shared" si="109"/>
        <v/>
      </c>
      <c r="CH126" s="385" t="str">
        <f t="shared" si="110"/>
        <v/>
      </c>
      <c r="CI126" s="385" t="str">
        <f t="shared" si="111"/>
        <v/>
      </c>
      <c r="CJ126" s="385" t="str">
        <f t="shared" si="112"/>
        <v/>
      </c>
      <c r="CK126" s="385" t="str">
        <f t="shared" si="113"/>
        <v/>
      </c>
      <c r="CL126" s="385" t="str">
        <f t="shared" si="114"/>
        <v/>
      </c>
      <c r="CM126" s="385" t="str">
        <f t="shared" si="115"/>
        <v/>
      </c>
      <c r="CN126" s="385" t="str">
        <f t="shared" si="116"/>
        <v/>
      </c>
      <c r="CO126" s="385" t="str">
        <f t="shared" si="117"/>
        <v/>
      </c>
      <c r="CP126" s="385" t="str">
        <f t="shared" si="118"/>
        <v/>
      </c>
      <c r="CQ126" s="385" t="str">
        <f t="shared" si="119"/>
        <v/>
      </c>
      <c r="CR126" s="385" t="str">
        <f t="shared" si="120"/>
        <v/>
      </c>
      <c r="CS126" s="385" t="str">
        <f t="shared" si="121"/>
        <v/>
      </c>
      <c r="CT126" s="385" t="str">
        <f t="shared" si="122"/>
        <v/>
      </c>
      <c r="CU126" s="385" t="str">
        <f t="shared" si="123"/>
        <v/>
      </c>
      <c r="CV126" s="385" t="str">
        <f t="shared" si="124"/>
        <v/>
      </c>
      <c r="CW126" s="385" t="str">
        <f t="shared" si="125"/>
        <v/>
      </c>
      <c r="CX126" s="385" t="str">
        <f t="shared" si="126"/>
        <v/>
      </c>
      <c r="CY126" s="385" t="str">
        <f t="shared" si="127"/>
        <v/>
      </c>
      <c r="CZ126" s="385" t="str">
        <f t="shared" si="128"/>
        <v/>
      </c>
      <c r="DA126" s="385" t="str">
        <f t="shared" si="129"/>
        <v/>
      </c>
      <c r="DB126" s="385" t="str">
        <f t="shared" si="130"/>
        <v/>
      </c>
      <c r="DC126" s="385" t="str">
        <f t="shared" si="131"/>
        <v/>
      </c>
      <c r="DD126" s="385" t="str">
        <f t="shared" si="132"/>
        <v/>
      </c>
      <c r="DE126" s="385" t="str">
        <f t="shared" si="133"/>
        <v/>
      </c>
      <c r="DF126" s="385" t="str">
        <f t="shared" si="134"/>
        <v/>
      </c>
      <c r="DG126" s="385" t="str">
        <f t="shared" si="135"/>
        <v/>
      </c>
      <c r="DH126" s="385" t="str">
        <f t="shared" si="136"/>
        <v/>
      </c>
      <c r="DI126" s="385" t="str">
        <f t="shared" si="137"/>
        <v/>
      </c>
    </row>
    <row r="127" spans="1:113" ht="49.5" x14ac:dyDescent="0.35">
      <c r="A127" s="21" t="s">
        <v>1390</v>
      </c>
      <c r="B127" s="396">
        <f>'Appoggio_BIA Servizio'!$B$5</f>
        <v>0</v>
      </c>
      <c r="C127" s="392" t="s">
        <v>1381</v>
      </c>
      <c r="D127" s="392" t="s">
        <v>1391</v>
      </c>
      <c r="E127" s="393" t="s">
        <v>1392</v>
      </c>
      <c r="F127" s="240" t="s">
        <v>654</v>
      </c>
      <c r="G127" s="240" t="s">
        <v>655</v>
      </c>
      <c r="H127" s="240"/>
      <c r="I127" s="240"/>
      <c r="J127" s="240"/>
      <c r="K127" s="240"/>
      <c r="L127" s="240"/>
      <c r="M127" s="240"/>
      <c r="N127" s="240"/>
      <c r="O127" s="394"/>
      <c r="P127" s="394"/>
      <c r="Q127" s="240"/>
      <c r="R127" s="394"/>
      <c r="S127" s="394"/>
      <c r="T127" s="394"/>
      <c r="U127" s="394"/>
      <c r="V127" s="394">
        <v>0.7</v>
      </c>
      <c r="W127" s="394"/>
      <c r="X127" s="394"/>
      <c r="Y127" s="394"/>
      <c r="Z127" s="394"/>
      <c r="AA127" s="394">
        <v>1</v>
      </c>
      <c r="AB127" s="240"/>
      <c r="AC127" s="394"/>
      <c r="AD127" s="394">
        <v>1</v>
      </c>
      <c r="AE127" s="395"/>
      <c r="AF127" s="395"/>
      <c r="AG127" s="395"/>
      <c r="AH127" s="395"/>
      <c r="AI127" s="395"/>
      <c r="AJ127" s="395"/>
      <c r="AK127" s="395">
        <v>1</v>
      </c>
      <c r="AL127" s="395"/>
      <c r="AM127" s="395"/>
      <c r="AN127" s="395"/>
      <c r="AO127" s="395"/>
      <c r="AP127" s="395"/>
      <c r="AQ127" s="395"/>
      <c r="AR127" s="395"/>
      <c r="AS127" s="395"/>
      <c r="AT127" s="395"/>
      <c r="AU127" s="395"/>
      <c r="AV127" s="395"/>
      <c r="AW127" s="395"/>
      <c r="AX127" s="395"/>
      <c r="AY127" s="395"/>
      <c r="AZ127" s="395"/>
      <c r="BA127" s="395"/>
      <c r="BB127" s="395"/>
      <c r="BC127" s="395"/>
      <c r="BD127" s="395"/>
      <c r="BE127" s="395">
        <v>1</v>
      </c>
      <c r="BF127" s="225">
        <f t="shared" si="138"/>
        <v>0</v>
      </c>
      <c r="BG127" s="226" t="str">
        <f t="shared" si="139"/>
        <v>Non Applicabile</v>
      </c>
      <c r="BH127" s="226" t="s">
        <v>693</v>
      </c>
      <c r="BI127" s="228"/>
      <c r="BJ127" s="229"/>
      <c r="BK127" s="227"/>
      <c r="BL127" s="324" t="s">
        <v>1393</v>
      </c>
      <c r="BM127" s="324" t="s">
        <v>1394</v>
      </c>
      <c r="BN127" s="324" t="s">
        <v>1386</v>
      </c>
      <c r="BO127" s="330"/>
      <c r="BP127" s="385" t="str">
        <f>IF(G127="X",
   IF(BG127="Applicabile",
      IF(BJ127&lt;&gt;"",
         _xlfn.XLOOKUP($BJ127,Parametri_RA!$B:$B,Parametri_RA!$D:$D,0),
         0),
      ""),
   "")</f>
        <v/>
      </c>
      <c r="BQ127" s="385" t="str">
        <f>IF(H127="X",
   IF(BG127="Applicabile",
      IF(BJ127&lt;&gt;"",
         _xlfn.XLOOKUP($BJ127,Parametri_RA!$B:$B,Parametri_RA!$D:$D,0),
         0),
      ""),
   "")</f>
        <v/>
      </c>
      <c r="BR127" s="385" t="str">
        <f t="shared" si="94"/>
        <v/>
      </c>
      <c r="BS127" s="385" t="str">
        <f t="shared" si="95"/>
        <v/>
      </c>
      <c r="BT127" s="385" t="str">
        <f t="shared" si="96"/>
        <v/>
      </c>
      <c r="BU127" s="385" t="str">
        <f t="shared" si="97"/>
        <v/>
      </c>
      <c r="BV127" s="385" t="str">
        <f t="shared" si="98"/>
        <v/>
      </c>
      <c r="BW127" s="385" t="str">
        <f t="shared" si="99"/>
        <v/>
      </c>
      <c r="BX127" s="385" t="str">
        <f t="shared" si="100"/>
        <v/>
      </c>
      <c r="BY127" s="385" t="str">
        <f t="shared" si="101"/>
        <v/>
      </c>
      <c r="BZ127" s="385" t="str">
        <f t="shared" si="102"/>
        <v/>
      </c>
      <c r="CA127" s="385" t="str">
        <f t="shared" si="103"/>
        <v/>
      </c>
      <c r="CB127" s="385" t="str">
        <f t="shared" si="104"/>
        <v/>
      </c>
      <c r="CC127" s="385" t="str">
        <f t="shared" si="105"/>
        <v/>
      </c>
      <c r="CD127" s="385" t="str">
        <f t="shared" si="106"/>
        <v/>
      </c>
      <c r="CE127" s="385" t="str">
        <f t="shared" si="107"/>
        <v/>
      </c>
      <c r="CF127" s="385" t="str">
        <f t="shared" si="108"/>
        <v/>
      </c>
      <c r="CG127" s="385" t="str">
        <f t="shared" si="109"/>
        <v/>
      </c>
      <c r="CH127" s="385" t="str">
        <f t="shared" si="110"/>
        <v/>
      </c>
      <c r="CI127" s="385" t="str">
        <f t="shared" si="111"/>
        <v/>
      </c>
      <c r="CJ127" s="385" t="str">
        <f t="shared" si="112"/>
        <v/>
      </c>
      <c r="CK127" s="385" t="str">
        <f t="shared" si="113"/>
        <v/>
      </c>
      <c r="CL127" s="385" t="str">
        <f t="shared" si="114"/>
        <v/>
      </c>
      <c r="CM127" s="385" t="str">
        <f t="shared" si="115"/>
        <v/>
      </c>
      <c r="CN127" s="385" t="str">
        <f t="shared" si="116"/>
        <v/>
      </c>
      <c r="CO127" s="385" t="str">
        <f t="shared" si="117"/>
        <v/>
      </c>
      <c r="CP127" s="385" t="str">
        <f t="shared" si="118"/>
        <v/>
      </c>
      <c r="CQ127" s="385" t="str">
        <f t="shared" si="119"/>
        <v/>
      </c>
      <c r="CR127" s="385" t="str">
        <f t="shared" si="120"/>
        <v/>
      </c>
      <c r="CS127" s="385" t="str">
        <f t="shared" si="121"/>
        <v/>
      </c>
      <c r="CT127" s="385" t="str">
        <f t="shared" si="122"/>
        <v/>
      </c>
      <c r="CU127" s="385" t="str">
        <f t="shared" si="123"/>
        <v/>
      </c>
      <c r="CV127" s="385" t="str">
        <f t="shared" si="124"/>
        <v/>
      </c>
      <c r="CW127" s="385" t="str">
        <f t="shared" si="125"/>
        <v/>
      </c>
      <c r="CX127" s="385" t="str">
        <f t="shared" si="126"/>
        <v/>
      </c>
      <c r="CY127" s="385" t="str">
        <f t="shared" si="127"/>
        <v/>
      </c>
      <c r="CZ127" s="385" t="str">
        <f t="shared" si="128"/>
        <v/>
      </c>
      <c r="DA127" s="385" t="str">
        <f t="shared" si="129"/>
        <v/>
      </c>
      <c r="DB127" s="385" t="str">
        <f t="shared" si="130"/>
        <v/>
      </c>
      <c r="DC127" s="385" t="str">
        <f t="shared" si="131"/>
        <v/>
      </c>
      <c r="DD127" s="385" t="str">
        <f t="shared" si="132"/>
        <v/>
      </c>
      <c r="DE127" s="385" t="str">
        <f t="shared" si="133"/>
        <v/>
      </c>
      <c r="DF127" s="385" t="str">
        <f t="shared" si="134"/>
        <v/>
      </c>
      <c r="DG127" s="385" t="str">
        <f t="shared" si="135"/>
        <v/>
      </c>
      <c r="DH127" s="385" t="str">
        <f t="shared" si="136"/>
        <v/>
      </c>
      <c r="DI127" s="385" t="str">
        <f t="shared" si="137"/>
        <v/>
      </c>
    </row>
    <row r="128" spans="1:113" ht="34" x14ac:dyDescent="0.35">
      <c r="A128" s="21" t="s">
        <v>1395</v>
      </c>
      <c r="B128" s="396">
        <f>'Appoggio_BIA Servizio'!$B$5</f>
        <v>0</v>
      </c>
      <c r="C128" s="392" t="s">
        <v>1381</v>
      </c>
      <c r="D128" s="392" t="s">
        <v>1396</v>
      </c>
      <c r="E128" s="393" t="s">
        <v>1397</v>
      </c>
      <c r="F128" s="240" t="s">
        <v>671</v>
      </c>
      <c r="G128" s="240" t="s">
        <v>655</v>
      </c>
      <c r="H128" s="240"/>
      <c r="I128" s="240"/>
      <c r="J128" s="240"/>
      <c r="K128" s="240"/>
      <c r="L128" s="240"/>
      <c r="M128" s="240"/>
      <c r="N128" s="240"/>
      <c r="O128" s="394"/>
      <c r="P128" s="394"/>
      <c r="Q128" s="240"/>
      <c r="R128" s="394"/>
      <c r="S128" s="394"/>
      <c r="T128" s="394"/>
      <c r="U128" s="394"/>
      <c r="V128" s="394">
        <v>0.7</v>
      </c>
      <c r="W128" s="394"/>
      <c r="X128" s="394"/>
      <c r="Y128" s="394"/>
      <c r="Z128" s="394"/>
      <c r="AA128" s="394">
        <v>1</v>
      </c>
      <c r="AB128" s="240"/>
      <c r="AC128" s="394"/>
      <c r="AD128" s="394">
        <v>1</v>
      </c>
      <c r="AE128" s="395"/>
      <c r="AF128" s="395"/>
      <c r="AG128" s="395"/>
      <c r="AH128" s="395"/>
      <c r="AI128" s="395"/>
      <c r="AJ128" s="395"/>
      <c r="AK128" s="395">
        <v>1</v>
      </c>
      <c r="AL128" s="395"/>
      <c r="AM128" s="395"/>
      <c r="AN128" s="395"/>
      <c r="AO128" s="395"/>
      <c r="AP128" s="395"/>
      <c r="AQ128" s="395"/>
      <c r="AR128" s="395"/>
      <c r="AS128" s="395"/>
      <c r="AT128" s="395"/>
      <c r="AU128" s="395"/>
      <c r="AV128" s="395"/>
      <c r="AW128" s="395"/>
      <c r="AX128" s="395"/>
      <c r="AY128" s="395"/>
      <c r="AZ128" s="395"/>
      <c r="BA128" s="395"/>
      <c r="BB128" s="395"/>
      <c r="BC128" s="395"/>
      <c r="BD128" s="395"/>
      <c r="BE128" s="395">
        <v>1</v>
      </c>
      <c r="BF128" s="225">
        <f t="shared" si="138"/>
        <v>0</v>
      </c>
      <c r="BG128" s="226" t="str">
        <f t="shared" si="139"/>
        <v>Non Applicabile</v>
      </c>
      <c r="BH128" s="226" t="s">
        <v>693</v>
      </c>
      <c r="BI128" s="228"/>
      <c r="BJ128" s="229"/>
      <c r="BK128" s="227"/>
      <c r="BL128" s="324" t="s">
        <v>1398</v>
      </c>
      <c r="BM128" s="324" t="s">
        <v>1399</v>
      </c>
      <c r="BN128" s="324" t="s">
        <v>1386</v>
      </c>
      <c r="BO128" s="330"/>
      <c r="BP128" s="385" t="str">
        <f>IF(G128="X",
   IF(BG128="Applicabile",
      IF(BJ128&lt;&gt;"",
         _xlfn.XLOOKUP($BJ128,Parametri_RA!$B:$B,Parametri_RA!$D:$D,0),
         0),
      ""),
   "")</f>
        <v/>
      </c>
      <c r="BQ128" s="385" t="str">
        <f>IF(H128="X",
   IF(BG128="Applicabile",
      IF(BJ128&lt;&gt;"",
         _xlfn.XLOOKUP($BJ128,Parametri_RA!$B:$B,Parametri_RA!$D:$D,0),
         0),
      ""),
   "")</f>
        <v/>
      </c>
      <c r="BR128" s="385" t="str">
        <f t="shared" si="94"/>
        <v/>
      </c>
      <c r="BS128" s="385" t="str">
        <f t="shared" si="95"/>
        <v/>
      </c>
      <c r="BT128" s="385" t="str">
        <f t="shared" si="96"/>
        <v/>
      </c>
      <c r="BU128" s="385" t="str">
        <f t="shared" si="97"/>
        <v/>
      </c>
      <c r="BV128" s="385" t="str">
        <f t="shared" si="98"/>
        <v/>
      </c>
      <c r="BW128" s="385" t="str">
        <f t="shared" si="99"/>
        <v/>
      </c>
      <c r="BX128" s="385" t="str">
        <f t="shared" si="100"/>
        <v/>
      </c>
      <c r="BY128" s="385" t="str">
        <f t="shared" si="101"/>
        <v/>
      </c>
      <c r="BZ128" s="385" t="str">
        <f t="shared" si="102"/>
        <v/>
      </c>
      <c r="CA128" s="385" t="str">
        <f t="shared" si="103"/>
        <v/>
      </c>
      <c r="CB128" s="385" t="str">
        <f t="shared" si="104"/>
        <v/>
      </c>
      <c r="CC128" s="385" t="str">
        <f t="shared" si="105"/>
        <v/>
      </c>
      <c r="CD128" s="385" t="str">
        <f t="shared" si="106"/>
        <v/>
      </c>
      <c r="CE128" s="385" t="str">
        <f t="shared" si="107"/>
        <v/>
      </c>
      <c r="CF128" s="385" t="str">
        <f t="shared" si="108"/>
        <v/>
      </c>
      <c r="CG128" s="385" t="str">
        <f t="shared" si="109"/>
        <v/>
      </c>
      <c r="CH128" s="385" t="str">
        <f t="shared" si="110"/>
        <v/>
      </c>
      <c r="CI128" s="385" t="str">
        <f t="shared" si="111"/>
        <v/>
      </c>
      <c r="CJ128" s="385" t="str">
        <f t="shared" si="112"/>
        <v/>
      </c>
      <c r="CK128" s="385" t="str">
        <f t="shared" si="113"/>
        <v/>
      </c>
      <c r="CL128" s="385" t="str">
        <f t="shared" si="114"/>
        <v/>
      </c>
      <c r="CM128" s="385" t="str">
        <f t="shared" si="115"/>
        <v/>
      </c>
      <c r="CN128" s="385" t="str">
        <f t="shared" si="116"/>
        <v/>
      </c>
      <c r="CO128" s="385" t="str">
        <f t="shared" si="117"/>
        <v/>
      </c>
      <c r="CP128" s="385" t="str">
        <f t="shared" si="118"/>
        <v/>
      </c>
      <c r="CQ128" s="385" t="str">
        <f t="shared" si="119"/>
        <v/>
      </c>
      <c r="CR128" s="385" t="str">
        <f t="shared" si="120"/>
        <v/>
      </c>
      <c r="CS128" s="385" t="str">
        <f t="shared" si="121"/>
        <v/>
      </c>
      <c r="CT128" s="385" t="str">
        <f t="shared" si="122"/>
        <v/>
      </c>
      <c r="CU128" s="385" t="str">
        <f t="shared" si="123"/>
        <v/>
      </c>
      <c r="CV128" s="385" t="str">
        <f t="shared" si="124"/>
        <v/>
      </c>
      <c r="CW128" s="385" t="str">
        <f t="shared" si="125"/>
        <v/>
      </c>
      <c r="CX128" s="385" t="str">
        <f t="shared" si="126"/>
        <v/>
      </c>
      <c r="CY128" s="385" t="str">
        <f t="shared" si="127"/>
        <v/>
      </c>
      <c r="CZ128" s="385" t="str">
        <f t="shared" si="128"/>
        <v/>
      </c>
      <c r="DA128" s="385" t="str">
        <f t="shared" si="129"/>
        <v/>
      </c>
      <c r="DB128" s="385" t="str">
        <f t="shared" si="130"/>
        <v/>
      </c>
      <c r="DC128" s="385" t="str">
        <f t="shared" si="131"/>
        <v/>
      </c>
      <c r="DD128" s="385" t="str">
        <f t="shared" si="132"/>
        <v/>
      </c>
      <c r="DE128" s="385" t="str">
        <f t="shared" si="133"/>
        <v/>
      </c>
      <c r="DF128" s="385" t="str">
        <f t="shared" si="134"/>
        <v/>
      </c>
      <c r="DG128" s="385" t="str">
        <f t="shared" si="135"/>
        <v/>
      </c>
      <c r="DH128" s="385" t="str">
        <f t="shared" si="136"/>
        <v/>
      </c>
      <c r="DI128" s="385" t="str">
        <f t="shared" si="137"/>
        <v/>
      </c>
    </row>
    <row r="129" spans="1:114" ht="34" x14ac:dyDescent="0.35">
      <c r="A129" s="21"/>
      <c r="B129" s="396">
        <f>'Appoggio_BIA Servizio'!$B$5</f>
        <v>0</v>
      </c>
      <c r="C129" s="392" t="s">
        <v>1381</v>
      </c>
      <c r="D129" s="392" t="s">
        <v>1400</v>
      </c>
      <c r="E129" s="393" t="s">
        <v>1401</v>
      </c>
      <c r="F129" s="240" t="s">
        <v>671</v>
      </c>
      <c r="G129" s="240" t="s">
        <v>655</v>
      </c>
      <c r="H129" s="240" t="s">
        <v>655</v>
      </c>
      <c r="I129" s="240"/>
      <c r="J129" s="240"/>
      <c r="K129" s="240"/>
      <c r="L129" s="240"/>
      <c r="M129" s="240"/>
      <c r="N129" s="240"/>
      <c r="O129" s="394"/>
      <c r="P129" s="394"/>
      <c r="Q129" s="240"/>
      <c r="R129" s="394"/>
      <c r="S129" s="394"/>
      <c r="T129" s="394"/>
      <c r="U129" s="394"/>
      <c r="V129" s="394"/>
      <c r="W129" s="394"/>
      <c r="X129" s="394"/>
      <c r="Y129" s="394">
        <v>0.7</v>
      </c>
      <c r="Z129" s="394"/>
      <c r="AA129" s="394">
        <v>1</v>
      </c>
      <c r="AB129" s="240"/>
      <c r="AC129" s="394"/>
      <c r="AD129" s="394">
        <v>1</v>
      </c>
      <c r="AE129" s="395"/>
      <c r="AF129" s="395"/>
      <c r="AG129" s="395"/>
      <c r="AH129" s="395"/>
      <c r="AI129" s="395"/>
      <c r="AJ129" s="395"/>
      <c r="AK129" s="395">
        <v>1</v>
      </c>
      <c r="AL129" s="395"/>
      <c r="AM129" s="395"/>
      <c r="AN129" s="395"/>
      <c r="AO129" s="395"/>
      <c r="AP129" s="395"/>
      <c r="AQ129" s="395"/>
      <c r="AR129" s="395"/>
      <c r="AS129" s="395"/>
      <c r="AT129" s="395"/>
      <c r="AU129" s="395"/>
      <c r="AV129" s="395"/>
      <c r="AW129" s="395"/>
      <c r="AX129" s="395"/>
      <c r="AY129" s="395"/>
      <c r="AZ129" s="395"/>
      <c r="BA129" s="395"/>
      <c r="BB129" s="395"/>
      <c r="BC129" s="395"/>
      <c r="BD129" s="395"/>
      <c r="BE129" s="395">
        <v>1</v>
      </c>
      <c r="BF129" s="225">
        <f t="shared" si="138"/>
        <v>0</v>
      </c>
      <c r="BG129" s="226" t="str">
        <f t="shared" si="139"/>
        <v>Non Applicabile</v>
      </c>
      <c r="BH129" s="226" t="s">
        <v>693</v>
      </c>
      <c r="BI129" s="325"/>
      <c r="BJ129" s="229"/>
      <c r="BK129" s="227"/>
      <c r="BL129" s="324" t="s">
        <v>1402</v>
      </c>
      <c r="BM129" s="324" t="s">
        <v>1403</v>
      </c>
      <c r="BN129" s="324" t="s">
        <v>1404</v>
      </c>
      <c r="BO129" s="330"/>
      <c r="BP129" s="385" t="str">
        <f>IF(G129="X",
   IF(BG129="Applicabile",
      IF(BJ129&lt;&gt;"",
         _xlfn.XLOOKUP($BJ129,Parametri_RA!$B:$B,Parametri_RA!$D:$D,0),
         0),
      ""),
   "")</f>
        <v/>
      </c>
      <c r="BQ129" s="385" t="str">
        <f>IF(H129="X",
   IF(BG129="Applicabile",
      IF(BJ129&lt;&gt;"",
         _xlfn.XLOOKUP($BJ129,Parametri_RA!$B:$B,Parametri_RA!$D:$D,0),
         0),
      ""),
   "")</f>
        <v/>
      </c>
      <c r="BR129" s="385" t="str">
        <f t="shared" si="94"/>
        <v/>
      </c>
      <c r="BS129" s="385" t="str">
        <f t="shared" si="95"/>
        <v/>
      </c>
      <c r="BT129" s="385" t="str">
        <f t="shared" si="96"/>
        <v/>
      </c>
      <c r="BU129" s="385" t="str">
        <f t="shared" si="97"/>
        <v/>
      </c>
      <c r="BV129" s="385" t="str">
        <f t="shared" si="98"/>
        <v/>
      </c>
      <c r="BW129" s="385" t="str">
        <f t="shared" si="99"/>
        <v/>
      </c>
      <c r="BX129" s="385" t="str">
        <f t="shared" si="100"/>
        <v/>
      </c>
      <c r="BY129" s="385" t="str">
        <f t="shared" si="101"/>
        <v/>
      </c>
      <c r="BZ129" s="385" t="str">
        <f t="shared" si="102"/>
        <v/>
      </c>
      <c r="CA129" s="385" t="str">
        <f t="shared" si="103"/>
        <v/>
      </c>
      <c r="CB129" s="385" t="str">
        <f t="shared" si="104"/>
        <v/>
      </c>
      <c r="CC129" s="385" t="str">
        <f t="shared" si="105"/>
        <v/>
      </c>
      <c r="CD129" s="385" t="str">
        <f t="shared" si="106"/>
        <v/>
      </c>
      <c r="CE129" s="385" t="str">
        <f t="shared" si="107"/>
        <v/>
      </c>
      <c r="CF129" s="385" t="str">
        <f t="shared" si="108"/>
        <v/>
      </c>
      <c r="CG129" s="385" t="str">
        <f t="shared" si="109"/>
        <v/>
      </c>
      <c r="CH129" s="385" t="str">
        <f t="shared" si="110"/>
        <v/>
      </c>
      <c r="CI129" s="385" t="str">
        <f t="shared" si="111"/>
        <v/>
      </c>
      <c r="CJ129" s="385" t="str">
        <f t="shared" si="112"/>
        <v/>
      </c>
      <c r="CK129" s="385" t="str">
        <f t="shared" si="113"/>
        <v/>
      </c>
      <c r="CL129" s="385" t="str">
        <f t="shared" si="114"/>
        <v/>
      </c>
      <c r="CM129" s="385" t="str">
        <f t="shared" si="115"/>
        <v/>
      </c>
      <c r="CN129" s="385" t="str">
        <f t="shared" si="116"/>
        <v/>
      </c>
      <c r="CO129" s="385" t="str">
        <f t="shared" si="117"/>
        <v/>
      </c>
      <c r="CP129" s="385" t="str">
        <f t="shared" si="118"/>
        <v/>
      </c>
      <c r="CQ129" s="385" t="str">
        <f t="shared" si="119"/>
        <v/>
      </c>
      <c r="CR129" s="385" t="str">
        <f t="shared" si="120"/>
        <v/>
      </c>
      <c r="CS129" s="385" t="str">
        <f t="shared" si="121"/>
        <v/>
      </c>
      <c r="CT129" s="385" t="str">
        <f t="shared" si="122"/>
        <v/>
      </c>
      <c r="CU129" s="385" t="str">
        <f t="shared" si="123"/>
        <v/>
      </c>
      <c r="CV129" s="385" t="str">
        <f t="shared" si="124"/>
        <v/>
      </c>
      <c r="CW129" s="385" t="str">
        <f t="shared" si="125"/>
        <v/>
      </c>
      <c r="CX129" s="385" t="str">
        <f t="shared" si="126"/>
        <v/>
      </c>
      <c r="CY129" s="385" t="str">
        <f t="shared" si="127"/>
        <v/>
      </c>
      <c r="CZ129" s="385" t="str">
        <f t="shared" si="128"/>
        <v/>
      </c>
      <c r="DA129" s="385" t="str">
        <f t="shared" si="129"/>
        <v/>
      </c>
      <c r="DB129" s="385" t="str">
        <f t="shared" si="130"/>
        <v/>
      </c>
      <c r="DC129" s="385" t="str">
        <f t="shared" si="131"/>
        <v/>
      </c>
      <c r="DD129" s="385" t="str">
        <f t="shared" si="132"/>
        <v/>
      </c>
      <c r="DE129" s="385" t="str">
        <f t="shared" si="133"/>
        <v/>
      </c>
      <c r="DF129" s="385" t="str">
        <f t="shared" si="134"/>
        <v/>
      </c>
      <c r="DG129" s="385" t="str">
        <f t="shared" si="135"/>
        <v/>
      </c>
      <c r="DH129" s="385" t="str">
        <f t="shared" si="136"/>
        <v/>
      </c>
      <c r="DI129" s="385" t="str">
        <f t="shared" si="137"/>
        <v/>
      </c>
    </row>
    <row r="130" spans="1:114" ht="66" x14ac:dyDescent="0.35">
      <c r="A130" s="21" t="s">
        <v>1405</v>
      </c>
      <c r="B130" s="396">
        <f>'Appoggio_BIA Servizio'!$B$5</f>
        <v>0</v>
      </c>
      <c r="C130" s="392" t="s">
        <v>1406</v>
      </c>
      <c r="D130" s="392" t="s">
        <v>1407</v>
      </c>
      <c r="E130" s="393" t="s">
        <v>1408</v>
      </c>
      <c r="F130" s="240" t="s">
        <v>663</v>
      </c>
      <c r="G130" s="240" t="s">
        <v>655</v>
      </c>
      <c r="H130" s="240"/>
      <c r="I130" s="240"/>
      <c r="J130" s="240"/>
      <c r="K130" s="240"/>
      <c r="L130" s="240"/>
      <c r="M130" s="240"/>
      <c r="N130" s="240"/>
      <c r="O130" s="394"/>
      <c r="P130" s="394"/>
      <c r="Q130" s="240"/>
      <c r="R130" s="394"/>
      <c r="S130" s="394"/>
      <c r="T130" s="394"/>
      <c r="U130" s="394"/>
      <c r="V130" s="394"/>
      <c r="W130" s="394"/>
      <c r="X130" s="394">
        <v>0.7</v>
      </c>
      <c r="Y130" s="394">
        <v>0.7</v>
      </c>
      <c r="Z130" s="394"/>
      <c r="AA130" s="394">
        <v>0.4</v>
      </c>
      <c r="AB130" s="240"/>
      <c r="AC130" s="394"/>
      <c r="AD130" s="394">
        <v>0.7</v>
      </c>
      <c r="AE130" s="395"/>
      <c r="AF130" s="395"/>
      <c r="AG130" s="395"/>
      <c r="AH130" s="395"/>
      <c r="AI130" s="395"/>
      <c r="AJ130" s="395"/>
      <c r="AK130" s="395">
        <v>1</v>
      </c>
      <c r="AL130" s="395"/>
      <c r="AM130" s="395"/>
      <c r="AN130" s="395"/>
      <c r="AO130" s="395"/>
      <c r="AP130" s="395"/>
      <c r="AQ130" s="395"/>
      <c r="AR130" s="395"/>
      <c r="AS130" s="395"/>
      <c r="AT130" s="395"/>
      <c r="AU130" s="395"/>
      <c r="AV130" s="395"/>
      <c r="AW130" s="395"/>
      <c r="AX130" s="395"/>
      <c r="AY130" s="395"/>
      <c r="AZ130" s="395"/>
      <c r="BA130" s="395"/>
      <c r="BB130" s="395"/>
      <c r="BC130" s="395"/>
      <c r="BD130" s="395"/>
      <c r="BE130" s="395">
        <v>1</v>
      </c>
      <c r="BF130" s="225">
        <f t="shared" si="138"/>
        <v>0</v>
      </c>
      <c r="BG130" s="226" t="str">
        <f t="shared" si="139"/>
        <v>Non Applicabile</v>
      </c>
      <c r="BH130" s="226" t="s">
        <v>693</v>
      </c>
      <c r="BI130" s="226"/>
      <c r="BJ130" s="229"/>
      <c r="BK130" s="227"/>
      <c r="BL130" s="324" t="s">
        <v>1409</v>
      </c>
      <c r="BM130" s="324" t="s">
        <v>1410</v>
      </c>
      <c r="BN130" s="324" t="s">
        <v>1411</v>
      </c>
      <c r="BO130" s="330"/>
      <c r="BP130" s="385" t="str">
        <f>IF(G130="X",
   IF(BG130="Applicabile",
      IF(BJ130&lt;&gt;"",
         _xlfn.XLOOKUP($BJ130,Parametri_RA!$B:$B,Parametri_RA!$D:$D,0),
         0),
      ""),
   "")</f>
        <v/>
      </c>
      <c r="BQ130" s="385" t="str">
        <f>IF(H130="X",
   IF(BG130="Applicabile",
      IF(BJ130&lt;&gt;"",
         _xlfn.XLOOKUP($BJ130,Parametri_RA!$B:$B,Parametri_RA!$D:$D,0),
         0),
      ""),
   "")</f>
        <v/>
      </c>
      <c r="BR130" s="385" t="str">
        <f t="shared" si="94"/>
        <v/>
      </c>
      <c r="BS130" s="385" t="str">
        <f t="shared" si="95"/>
        <v/>
      </c>
      <c r="BT130" s="385" t="str">
        <f t="shared" si="96"/>
        <v/>
      </c>
      <c r="BU130" s="385" t="str">
        <f t="shared" si="97"/>
        <v/>
      </c>
      <c r="BV130" s="385" t="str">
        <f t="shared" si="98"/>
        <v/>
      </c>
      <c r="BW130" s="385" t="str">
        <f t="shared" si="99"/>
        <v/>
      </c>
      <c r="BX130" s="385" t="str">
        <f t="shared" si="100"/>
        <v/>
      </c>
      <c r="BY130" s="385" t="str">
        <f t="shared" si="101"/>
        <v/>
      </c>
      <c r="BZ130" s="385" t="str">
        <f t="shared" si="102"/>
        <v/>
      </c>
      <c r="CA130" s="385" t="str">
        <f t="shared" si="103"/>
        <v/>
      </c>
      <c r="CB130" s="385" t="str">
        <f t="shared" si="104"/>
        <v/>
      </c>
      <c r="CC130" s="385" t="str">
        <f t="shared" si="105"/>
        <v/>
      </c>
      <c r="CD130" s="385" t="str">
        <f t="shared" si="106"/>
        <v/>
      </c>
      <c r="CE130" s="385" t="str">
        <f t="shared" si="107"/>
        <v/>
      </c>
      <c r="CF130" s="385" t="str">
        <f t="shared" si="108"/>
        <v/>
      </c>
      <c r="CG130" s="385" t="str">
        <f t="shared" si="109"/>
        <v/>
      </c>
      <c r="CH130" s="385" t="str">
        <f t="shared" si="110"/>
        <v/>
      </c>
      <c r="CI130" s="385" t="str">
        <f t="shared" si="111"/>
        <v/>
      </c>
      <c r="CJ130" s="385" t="str">
        <f t="shared" si="112"/>
        <v/>
      </c>
      <c r="CK130" s="385" t="str">
        <f t="shared" si="113"/>
        <v/>
      </c>
      <c r="CL130" s="385" t="str">
        <f t="shared" si="114"/>
        <v/>
      </c>
      <c r="CM130" s="385" t="str">
        <f t="shared" si="115"/>
        <v/>
      </c>
      <c r="CN130" s="385" t="str">
        <f t="shared" si="116"/>
        <v/>
      </c>
      <c r="CO130" s="385" t="str">
        <f t="shared" si="117"/>
        <v/>
      </c>
      <c r="CP130" s="385" t="str">
        <f t="shared" si="118"/>
        <v/>
      </c>
      <c r="CQ130" s="385" t="str">
        <f t="shared" si="119"/>
        <v/>
      </c>
      <c r="CR130" s="385" t="str">
        <f t="shared" si="120"/>
        <v/>
      </c>
      <c r="CS130" s="385" t="str">
        <f t="shared" si="121"/>
        <v/>
      </c>
      <c r="CT130" s="385" t="str">
        <f t="shared" si="122"/>
        <v/>
      </c>
      <c r="CU130" s="385" t="str">
        <f t="shared" si="123"/>
        <v/>
      </c>
      <c r="CV130" s="385" t="str">
        <f t="shared" si="124"/>
        <v/>
      </c>
      <c r="CW130" s="385" t="str">
        <f t="shared" si="125"/>
        <v/>
      </c>
      <c r="CX130" s="385" t="str">
        <f t="shared" si="126"/>
        <v/>
      </c>
      <c r="CY130" s="385" t="str">
        <f t="shared" si="127"/>
        <v/>
      </c>
      <c r="CZ130" s="385" t="str">
        <f t="shared" si="128"/>
        <v/>
      </c>
      <c r="DA130" s="385" t="str">
        <f t="shared" si="129"/>
        <v/>
      </c>
      <c r="DB130" s="385" t="str">
        <f t="shared" si="130"/>
        <v/>
      </c>
      <c r="DC130" s="385" t="str">
        <f t="shared" si="131"/>
        <v/>
      </c>
      <c r="DD130" s="385" t="str">
        <f t="shared" si="132"/>
        <v/>
      </c>
      <c r="DE130" s="385" t="str">
        <f t="shared" si="133"/>
        <v/>
      </c>
      <c r="DF130" s="385" t="str">
        <f t="shared" si="134"/>
        <v/>
      </c>
      <c r="DG130" s="385" t="str">
        <f t="shared" si="135"/>
        <v/>
      </c>
      <c r="DH130" s="385" t="str">
        <f t="shared" si="136"/>
        <v/>
      </c>
      <c r="DI130" s="385" t="str">
        <f t="shared" si="137"/>
        <v/>
      </c>
    </row>
    <row r="131" spans="1:114" ht="51" x14ac:dyDescent="0.35">
      <c r="A131" s="21" t="s">
        <v>1412</v>
      </c>
      <c r="B131" s="396">
        <f>'Appoggio_BIA Servizio'!$B$5</f>
        <v>0</v>
      </c>
      <c r="C131" s="392" t="s">
        <v>1406</v>
      </c>
      <c r="D131" s="392" t="s">
        <v>1413</v>
      </c>
      <c r="E131" s="393" t="s">
        <v>1414</v>
      </c>
      <c r="F131" s="240" t="s">
        <v>671</v>
      </c>
      <c r="G131" s="240" t="s">
        <v>655</v>
      </c>
      <c r="H131" s="240" t="s">
        <v>655</v>
      </c>
      <c r="I131" s="240"/>
      <c r="J131" s="240"/>
      <c r="K131" s="240"/>
      <c r="L131" s="240"/>
      <c r="M131" s="240"/>
      <c r="N131" s="240"/>
      <c r="O131" s="394"/>
      <c r="P131" s="394"/>
      <c r="Q131" s="240"/>
      <c r="R131" s="394"/>
      <c r="S131" s="394"/>
      <c r="T131" s="394"/>
      <c r="U131" s="394"/>
      <c r="V131" s="394"/>
      <c r="W131" s="394"/>
      <c r="X131" s="394">
        <v>0.7</v>
      </c>
      <c r="Y131" s="394">
        <v>0.7</v>
      </c>
      <c r="Z131" s="394"/>
      <c r="AA131" s="394">
        <v>0.7</v>
      </c>
      <c r="AB131" s="240"/>
      <c r="AC131" s="394"/>
      <c r="AD131" s="394">
        <v>1</v>
      </c>
      <c r="AE131" s="395"/>
      <c r="AF131" s="395"/>
      <c r="AG131" s="395"/>
      <c r="AH131" s="395"/>
      <c r="AI131" s="395"/>
      <c r="AJ131" s="395"/>
      <c r="AK131" s="395">
        <v>1</v>
      </c>
      <c r="AL131" s="395"/>
      <c r="AM131" s="395"/>
      <c r="AN131" s="395"/>
      <c r="AO131" s="395"/>
      <c r="AP131" s="395"/>
      <c r="AQ131" s="395"/>
      <c r="AR131" s="395"/>
      <c r="AS131" s="395"/>
      <c r="AT131" s="395"/>
      <c r="AU131" s="395"/>
      <c r="AV131" s="395"/>
      <c r="AW131" s="395"/>
      <c r="AX131" s="395"/>
      <c r="AY131" s="395"/>
      <c r="AZ131" s="395"/>
      <c r="BA131" s="395"/>
      <c r="BB131" s="395"/>
      <c r="BC131" s="395"/>
      <c r="BD131" s="395"/>
      <c r="BE131" s="395">
        <v>1</v>
      </c>
      <c r="BF131" s="225">
        <f t="shared" si="138"/>
        <v>0</v>
      </c>
      <c r="BG131" s="226" t="str">
        <f t="shared" si="139"/>
        <v>Non Applicabile</v>
      </c>
      <c r="BH131" s="226" t="s">
        <v>693</v>
      </c>
      <c r="BI131" s="226"/>
      <c r="BJ131" s="229"/>
      <c r="BK131" s="227"/>
      <c r="BL131" s="324" t="s">
        <v>1415</v>
      </c>
      <c r="BM131" s="324" t="s">
        <v>1416</v>
      </c>
      <c r="BN131" s="324" t="s">
        <v>1417</v>
      </c>
      <c r="BO131" s="330"/>
      <c r="BP131" s="385" t="str">
        <f>IF(G131="X",
   IF(BG131="Applicabile",
      IF(BJ131&lt;&gt;"",
         _xlfn.XLOOKUP($BJ131,Parametri_RA!$B:$B,Parametri_RA!$D:$D,0),
         0),
      ""),
   "")</f>
        <v/>
      </c>
      <c r="BQ131" s="385" t="str">
        <f>IF(H131="X",
   IF(BG131="Applicabile",
      IF(BJ131&lt;&gt;"",
         _xlfn.XLOOKUP($BJ131,Parametri_RA!$B:$B,Parametri_RA!$D:$D,0),
         0),
      ""),
   "")</f>
        <v/>
      </c>
      <c r="BR131" s="385" t="str">
        <f t="shared" si="94"/>
        <v/>
      </c>
      <c r="BS131" s="385" t="str">
        <f t="shared" si="95"/>
        <v/>
      </c>
      <c r="BT131" s="385" t="str">
        <f t="shared" si="96"/>
        <v/>
      </c>
      <c r="BU131" s="385" t="str">
        <f t="shared" si="97"/>
        <v/>
      </c>
      <c r="BV131" s="385" t="str">
        <f t="shared" si="98"/>
        <v/>
      </c>
      <c r="BW131" s="385" t="str">
        <f t="shared" si="99"/>
        <v/>
      </c>
      <c r="BX131" s="385" t="str">
        <f t="shared" si="100"/>
        <v/>
      </c>
      <c r="BY131" s="385" t="str">
        <f t="shared" si="101"/>
        <v/>
      </c>
      <c r="BZ131" s="385" t="str">
        <f t="shared" si="102"/>
        <v/>
      </c>
      <c r="CA131" s="385" t="str">
        <f t="shared" si="103"/>
        <v/>
      </c>
      <c r="CB131" s="385" t="str">
        <f t="shared" si="104"/>
        <v/>
      </c>
      <c r="CC131" s="385" t="str">
        <f t="shared" si="105"/>
        <v/>
      </c>
      <c r="CD131" s="385" t="str">
        <f t="shared" si="106"/>
        <v/>
      </c>
      <c r="CE131" s="385" t="str">
        <f t="shared" si="107"/>
        <v/>
      </c>
      <c r="CF131" s="385" t="str">
        <f t="shared" si="108"/>
        <v/>
      </c>
      <c r="CG131" s="385" t="str">
        <f t="shared" si="109"/>
        <v/>
      </c>
      <c r="CH131" s="385" t="str">
        <f t="shared" si="110"/>
        <v/>
      </c>
      <c r="CI131" s="385" t="str">
        <f t="shared" si="111"/>
        <v/>
      </c>
      <c r="CJ131" s="385" t="str">
        <f t="shared" si="112"/>
        <v/>
      </c>
      <c r="CK131" s="385" t="str">
        <f t="shared" si="113"/>
        <v/>
      </c>
      <c r="CL131" s="385" t="str">
        <f t="shared" si="114"/>
        <v/>
      </c>
      <c r="CM131" s="385" t="str">
        <f t="shared" si="115"/>
        <v/>
      </c>
      <c r="CN131" s="385" t="str">
        <f t="shared" si="116"/>
        <v/>
      </c>
      <c r="CO131" s="385" t="str">
        <f t="shared" si="117"/>
        <v/>
      </c>
      <c r="CP131" s="385" t="str">
        <f t="shared" si="118"/>
        <v/>
      </c>
      <c r="CQ131" s="385" t="str">
        <f t="shared" si="119"/>
        <v/>
      </c>
      <c r="CR131" s="385" t="str">
        <f t="shared" si="120"/>
        <v/>
      </c>
      <c r="CS131" s="385" t="str">
        <f t="shared" si="121"/>
        <v/>
      </c>
      <c r="CT131" s="385" t="str">
        <f t="shared" si="122"/>
        <v/>
      </c>
      <c r="CU131" s="385" t="str">
        <f t="shared" si="123"/>
        <v/>
      </c>
      <c r="CV131" s="385" t="str">
        <f t="shared" si="124"/>
        <v/>
      </c>
      <c r="CW131" s="385" t="str">
        <f t="shared" si="125"/>
        <v/>
      </c>
      <c r="CX131" s="385" t="str">
        <f t="shared" si="126"/>
        <v/>
      </c>
      <c r="CY131" s="385" t="str">
        <f t="shared" si="127"/>
        <v/>
      </c>
      <c r="CZ131" s="385" t="str">
        <f t="shared" si="128"/>
        <v/>
      </c>
      <c r="DA131" s="385" t="str">
        <f t="shared" si="129"/>
        <v/>
      </c>
      <c r="DB131" s="385" t="str">
        <f t="shared" si="130"/>
        <v/>
      </c>
      <c r="DC131" s="385" t="str">
        <f t="shared" si="131"/>
        <v/>
      </c>
      <c r="DD131" s="385" t="str">
        <f t="shared" si="132"/>
        <v/>
      </c>
      <c r="DE131" s="385" t="str">
        <f t="shared" si="133"/>
        <v/>
      </c>
      <c r="DF131" s="385" t="str">
        <f t="shared" si="134"/>
        <v/>
      </c>
      <c r="DG131" s="385" t="str">
        <f t="shared" si="135"/>
        <v/>
      </c>
      <c r="DH131" s="385" t="str">
        <f t="shared" si="136"/>
        <v/>
      </c>
      <c r="DI131" s="385" t="str">
        <f t="shared" si="137"/>
        <v/>
      </c>
    </row>
    <row r="132" spans="1:114" ht="82.5" x14ac:dyDescent="0.35">
      <c r="A132" s="21" t="s">
        <v>1418</v>
      </c>
      <c r="B132" s="396">
        <f>'Appoggio_BIA Servizio'!$B$5</f>
        <v>0</v>
      </c>
      <c r="C132" s="392" t="s">
        <v>1406</v>
      </c>
      <c r="D132" s="392" t="s">
        <v>1419</v>
      </c>
      <c r="E132" s="393" t="s">
        <v>1420</v>
      </c>
      <c r="F132" s="240" t="s">
        <v>671</v>
      </c>
      <c r="G132" s="240" t="s">
        <v>655</v>
      </c>
      <c r="H132" s="240" t="s">
        <v>655</v>
      </c>
      <c r="I132" s="240"/>
      <c r="J132" s="240"/>
      <c r="K132" s="240"/>
      <c r="L132" s="240"/>
      <c r="M132" s="240"/>
      <c r="N132" s="240"/>
      <c r="O132" s="394"/>
      <c r="P132" s="394"/>
      <c r="Q132" s="240"/>
      <c r="R132" s="394"/>
      <c r="S132" s="394"/>
      <c r="T132" s="394"/>
      <c r="U132" s="394"/>
      <c r="V132" s="394">
        <v>1</v>
      </c>
      <c r="W132" s="394"/>
      <c r="X132" s="394">
        <v>0.7</v>
      </c>
      <c r="Y132" s="394">
        <v>1</v>
      </c>
      <c r="Z132" s="394">
        <v>0.7</v>
      </c>
      <c r="AA132" s="394">
        <v>1</v>
      </c>
      <c r="AB132" s="240"/>
      <c r="AC132" s="394"/>
      <c r="AD132" s="394">
        <v>1</v>
      </c>
      <c r="AE132" s="395"/>
      <c r="AF132" s="395"/>
      <c r="AG132" s="395"/>
      <c r="AH132" s="395"/>
      <c r="AI132" s="395"/>
      <c r="AJ132" s="395"/>
      <c r="AK132" s="395">
        <v>1</v>
      </c>
      <c r="AL132" s="395"/>
      <c r="AM132" s="395"/>
      <c r="AN132" s="395"/>
      <c r="AO132" s="395"/>
      <c r="AP132" s="395"/>
      <c r="AQ132" s="395"/>
      <c r="AR132" s="395"/>
      <c r="AS132" s="395"/>
      <c r="AT132" s="395"/>
      <c r="AU132" s="395"/>
      <c r="AV132" s="395"/>
      <c r="AW132" s="395"/>
      <c r="AX132" s="395"/>
      <c r="AY132" s="395"/>
      <c r="AZ132" s="395"/>
      <c r="BA132" s="395"/>
      <c r="BB132" s="395"/>
      <c r="BC132" s="395"/>
      <c r="BD132" s="395"/>
      <c r="BE132" s="395">
        <v>1</v>
      </c>
      <c r="BF132" s="225">
        <f t="shared" si="138"/>
        <v>0</v>
      </c>
      <c r="BG132" s="226" t="str">
        <f t="shared" si="139"/>
        <v>Non Applicabile</v>
      </c>
      <c r="BH132" s="226" t="s">
        <v>693</v>
      </c>
      <c r="BI132" s="226"/>
      <c r="BJ132" s="229"/>
      <c r="BK132" s="227"/>
      <c r="BL132" s="324" t="s">
        <v>1421</v>
      </c>
      <c r="BM132" s="324" t="s">
        <v>1422</v>
      </c>
      <c r="BN132" s="324" t="s">
        <v>1423</v>
      </c>
      <c r="BO132" s="330"/>
      <c r="BP132" s="385" t="str">
        <f>IF(G132="X",
   IF(BG132="Applicabile",
      IF(BJ132&lt;&gt;"",
         _xlfn.XLOOKUP($BJ132,Parametri_RA!$B:$B,Parametri_RA!$D:$D,0),
         0),
      ""),
   "")</f>
        <v/>
      </c>
      <c r="BQ132" s="385" t="str">
        <f>IF(H132="X",
   IF(BG132="Applicabile",
      IF(BJ132&lt;&gt;"",
         _xlfn.XLOOKUP($BJ132,Parametri_RA!$B:$B,Parametri_RA!$D:$D,0),
         0),
      ""),
   "")</f>
        <v/>
      </c>
      <c r="BR132" s="385" t="str">
        <f t="shared" si="94"/>
        <v/>
      </c>
      <c r="BS132" s="385" t="str">
        <f t="shared" si="95"/>
        <v/>
      </c>
      <c r="BT132" s="385" t="str">
        <f t="shared" si="96"/>
        <v/>
      </c>
      <c r="BU132" s="385" t="str">
        <f t="shared" si="97"/>
        <v/>
      </c>
      <c r="BV132" s="385" t="str">
        <f t="shared" si="98"/>
        <v/>
      </c>
      <c r="BW132" s="385" t="str">
        <f t="shared" si="99"/>
        <v/>
      </c>
      <c r="BX132" s="385" t="str">
        <f t="shared" si="100"/>
        <v/>
      </c>
      <c r="BY132" s="385" t="str">
        <f t="shared" si="101"/>
        <v/>
      </c>
      <c r="BZ132" s="385" t="str">
        <f t="shared" si="102"/>
        <v/>
      </c>
      <c r="CA132" s="385" t="str">
        <f t="shared" si="103"/>
        <v/>
      </c>
      <c r="CB132" s="385" t="str">
        <f t="shared" si="104"/>
        <v/>
      </c>
      <c r="CC132" s="385" t="str">
        <f t="shared" si="105"/>
        <v/>
      </c>
      <c r="CD132" s="385" t="str">
        <f t="shared" si="106"/>
        <v/>
      </c>
      <c r="CE132" s="385" t="str">
        <f t="shared" si="107"/>
        <v/>
      </c>
      <c r="CF132" s="385" t="str">
        <f t="shared" si="108"/>
        <v/>
      </c>
      <c r="CG132" s="385" t="str">
        <f t="shared" si="109"/>
        <v/>
      </c>
      <c r="CH132" s="385" t="str">
        <f t="shared" si="110"/>
        <v/>
      </c>
      <c r="CI132" s="385" t="str">
        <f t="shared" si="111"/>
        <v/>
      </c>
      <c r="CJ132" s="385" t="str">
        <f t="shared" si="112"/>
        <v/>
      </c>
      <c r="CK132" s="385" t="str">
        <f t="shared" si="113"/>
        <v/>
      </c>
      <c r="CL132" s="385" t="str">
        <f t="shared" si="114"/>
        <v/>
      </c>
      <c r="CM132" s="385" t="str">
        <f t="shared" si="115"/>
        <v/>
      </c>
      <c r="CN132" s="385" t="str">
        <f t="shared" si="116"/>
        <v/>
      </c>
      <c r="CO132" s="385" t="str">
        <f t="shared" si="117"/>
        <v/>
      </c>
      <c r="CP132" s="385" t="str">
        <f t="shared" si="118"/>
        <v/>
      </c>
      <c r="CQ132" s="385" t="str">
        <f t="shared" si="119"/>
        <v/>
      </c>
      <c r="CR132" s="385" t="str">
        <f t="shared" si="120"/>
        <v/>
      </c>
      <c r="CS132" s="385" t="str">
        <f t="shared" si="121"/>
        <v/>
      </c>
      <c r="CT132" s="385" t="str">
        <f t="shared" si="122"/>
        <v/>
      </c>
      <c r="CU132" s="385" t="str">
        <f t="shared" si="123"/>
        <v/>
      </c>
      <c r="CV132" s="385" t="str">
        <f t="shared" si="124"/>
        <v/>
      </c>
      <c r="CW132" s="385" t="str">
        <f t="shared" si="125"/>
        <v/>
      </c>
      <c r="CX132" s="385" t="str">
        <f t="shared" si="126"/>
        <v/>
      </c>
      <c r="CY132" s="385" t="str">
        <f t="shared" si="127"/>
        <v/>
      </c>
      <c r="CZ132" s="385" t="str">
        <f t="shared" si="128"/>
        <v/>
      </c>
      <c r="DA132" s="385" t="str">
        <f t="shared" si="129"/>
        <v/>
      </c>
      <c r="DB132" s="385" t="str">
        <f t="shared" si="130"/>
        <v/>
      </c>
      <c r="DC132" s="385" t="str">
        <f t="shared" si="131"/>
        <v/>
      </c>
      <c r="DD132" s="385" t="str">
        <f t="shared" si="132"/>
        <v/>
      </c>
      <c r="DE132" s="385" t="str">
        <f t="shared" si="133"/>
        <v/>
      </c>
      <c r="DF132" s="385" t="str">
        <f t="shared" si="134"/>
        <v/>
      </c>
      <c r="DG132" s="385" t="str">
        <f t="shared" si="135"/>
        <v/>
      </c>
      <c r="DH132" s="385" t="str">
        <f t="shared" si="136"/>
        <v/>
      </c>
      <c r="DI132" s="385" t="str">
        <f t="shared" si="137"/>
        <v/>
      </c>
    </row>
    <row r="133" spans="1:114" ht="85" x14ac:dyDescent="0.35">
      <c r="A133" s="21" t="s">
        <v>1424</v>
      </c>
      <c r="B133" s="396">
        <f>'Appoggio_BIA Servizio'!$B$5</f>
        <v>0</v>
      </c>
      <c r="C133" s="392" t="s">
        <v>1406</v>
      </c>
      <c r="D133" s="392" t="s">
        <v>1425</v>
      </c>
      <c r="E133" s="393" t="s">
        <v>1426</v>
      </c>
      <c r="F133" s="240" t="s">
        <v>671</v>
      </c>
      <c r="G133" s="240" t="s">
        <v>655</v>
      </c>
      <c r="H133" s="240" t="s">
        <v>655</v>
      </c>
      <c r="I133" s="240"/>
      <c r="J133" s="394">
        <v>0.7</v>
      </c>
      <c r="K133" s="240"/>
      <c r="L133" s="240">
        <v>1</v>
      </c>
      <c r="M133" s="394">
        <v>0.4</v>
      </c>
      <c r="N133" s="240"/>
      <c r="O133" s="394">
        <v>0.4</v>
      </c>
      <c r="P133" s="397"/>
      <c r="Q133" s="240"/>
      <c r="R133" s="397"/>
      <c r="S133" s="397"/>
      <c r="T133" s="394">
        <v>0.4</v>
      </c>
      <c r="U133" s="397"/>
      <c r="V133" s="397"/>
      <c r="W133" s="397"/>
      <c r="X133" s="397"/>
      <c r="Y133" s="397"/>
      <c r="Z133" s="397"/>
      <c r="AA133" s="397"/>
      <c r="AB133" s="240"/>
      <c r="AC133" s="397"/>
      <c r="AD133" s="397"/>
      <c r="AE133" s="395"/>
      <c r="AF133" s="395"/>
      <c r="AG133" s="395"/>
      <c r="AH133" s="395"/>
      <c r="AI133" s="395"/>
      <c r="AJ133" s="395"/>
      <c r="AK133" s="395"/>
      <c r="AL133" s="395"/>
      <c r="AM133" s="395"/>
      <c r="AN133" s="395"/>
      <c r="AO133" s="395"/>
      <c r="AP133" s="395"/>
      <c r="AQ133" s="395"/>
      <c r="AR133" s="395"/>
      <c r="AS133" s="395"/>
      <c r="AT133" s="395"/>
      <c r="AU133" s="395">
        <v>1</v>
      </c>
      <c r="AV133" s="395">
        <v>1</v>
      </c>
      <c r="AW133" s="395"/>
      <c r="AX133" s="395"/>
      <c r="AY133" s="395">
        <v>1</v>
      </c>
      <c r="AZ133" s="395"/>
      <c r="BA133" s="395"/>
      <c r="BB133" s="395"/>
      <c r="BC133" s="395"/>
      <c r="BD133" s="395"/>
      <c r="BE133" s="395"/>
      <c r="BF133" s="225">
        <f t="shared" si="138"/>
        <v>0</v>
      </c>
      <c r="BG133" s="226" t="str">
        <f t="shared" si="139"/>
        <v>Non Applicabile</v>
      </c>
      <c r="BH133" s="226" t="s">
        <v>693</v>
      </c>
      <c r="BI133" s="226"/>
      <c r="BJ133" s="229"/>
      <c r="BK133" s="227"/>
      <c r="BL133" s="324" t="s">
        <v>1427</v>
      </c>
      <c r="BM133" s="324" t="s">
        <v>1428</v>
      </c>
      <c r="BN133" s="324" t="s">
        <v>1429</v>
      </c>
      <c r="BO133" s="330"/>
      <c r="BP133" s="385" t="str">
        <f>IF(G133="X",
   IF(BG133="Applicabile",
      IF(BJ133&lt;&gt;"",
         _xlfn.XLOOKUP($BJ133,Parametri_RA!$B:$B,Parametri_RA!$D:$D,0),
         0),
      ""),
   "")</f>
        <v/>
      </c>
      <c r="BQ133" s="385" t="str">
        <f>IF(H133="X",
   IF(BG133="Applicabile",
      IF(BJ133&lt;&gt;"",
         _xlfn.XLOOKUP($BJ133,Parametri_RA!$B:$B,Parametri_RA!$D:$D,0),
         0),
      ""),
   "")</f>
        <v/>
      </c>
      <c r="BR133" s="385" t="str">
        <f t="shared" si="94"/>
        <v/>
      </c>
      <c r="BS133" s="385" t="str">
        <f t="shared" si="95"/>
        <v/>
      </c>
      <c r="BT133" s="385" t="str">
        <f t="shared" si="96"/>
        <v/>
      </c>
      <c r="BU133" s="385" t="str">
        <f t="shared" si="97"/>
        <v/>
      </c>
      <c r="BV133" s="385" t="str">
        <f t="shared" si="98"/>
        <v/>
      </c>
      <c r="BW133" s="385" t="str">
        <f t="shared" si="99"/>
        <v/>
      </c>
      <c r="BX133" s="385" t="str">
        <f t="shared" si="100"/>
        <v/>
      </c>
      <c r="BY133" s="385" t="str">
        <f t="shared" si="101"/>
        <v/>
      </c>
      <c r="BZ133" s="385" t="str">
        <f t="shared" si="102"/>
        <v/>
      </c>
      <c r="CA133" s="385" t="str">
        <f t="shared" si="103"/>
        <v/>
      </c>
      <c r="CB133" s="385" t="str">
        <f t="shared" si="104"/>
        <v/>
      </c>
      <c r="CC133" s="385" t="str">
        <f t="shared" si="105"/>
        <v/>
      </c>
      <c r="CD133" s="385" t="str">
        <f t="shared" si="106"/>
        <v/>
      </c>
      <c r="CE133" s="385" t="str">
        <f t="shared" si="107"/>
        <v/>
      </c>
      <c r="CF133" s="385" t="str">
        <f t="shared" si="108"/>
        <v/>
      </c>
      <c r="CG133" s="385" t="str">
        <f t="shared" si="109"/>
        <v/>
      </c>
      <c r="CH133" s="385" t="str">
        <f t="shared" si="110"/>
        <v/>
      </c>
      <c r="CI133" s="385" t="str">
        <f t="shared" si="111"/>
        <v/>
      </c>
      <c r="CJ133" s="385" t="str">
        <f t="shared" si="112"/>
        <v/>
      </c>
      <c r="CK133" s="385" t="str">
        <f t="shared" si="113"/>
        <v/>
      </c>
      <c r="CL133" s="385" t="str">
        <f t="shared" si="114"/>
        <v/>
      </c>
      <c r="CM133" s="385" t="str">
        <f t="shared" si="115"/>
        <v/>
      </c>
      <c r="CN133" s="385" t="str">
        <f t="shared" si="116"/>
        <v/>
      </c>
      <c r="CO133" s="385" t="str">
        <f t="shared" si="117"/>
        <v/>
      </c>
      <c r="CP133" s="385" t="str">
        <f t="shared" si="118"/>
        <v/>
      </c>
      <c r="CQ133" s="385" t="str">
        <f t="shared" si="119"/>
        <v/>
      </c>
      <c r="CR133" s="385" t="str">
        <f t="shared" si="120"/>
        <v/>
      </c>
      <c r="CS133" s="385" t="str">
        <f t="shared" si="121"/>
        <v/>
      </c>
      <c r="CT133" s="385" t="str">
        <f t="shared" si="122"/>
        <v/>
      </c>
      <c r="CU133" s="385" t="str">
        <f t="shared" si="123"/>
        <v/>
      </c>
      <c r="CV133" s="385" t="str">
        <f t="shared" si="124"/>
        <v/>
      </c>
      <c r="CW133" s="385" t="str">
        <f t="shared" si="125"/>
        <v/>
      </c>
      <c r="CX133" s="385" t="str">
        <f t="shared" si="126"/>
        <v/>
      </c>
      <c r="CY133" s="385" t="str">
        <f t="shared" si="127"/>
        <v/>
      </c>
      <c r="CZ133" s="385" t="str">
        <f t="shared" si="128"/>
        <v/>
      </c>
      <c r="DA133" s="385" t="str">
        <f t="shared" si="129"/>
        <v/>
      </c>
      <c r="DB133" s="385" t="str">
        <f t="shared" si="130"/>
        <v/>
      </c>
      <c r="DC133" s="385" t="str">
        <f t="shared" si="131"/>
        <v/>
      </c>
      <c r="DD133" s="385" t="str">
        <f t="shared" si="132"/>
        <v/>
      </c>
      <c r="DE133" s="385" t="str">
        <f t="shared" si="133"/>
        <v/>
      </c>
      <c r="DF133" s="385" t="str">
        <f t="shared" si="134"/>
        <v/>
      </c>
      <c r="DG133" s="385" t="str">
        <f t="shared" si="135"/>
        <v/>
      </c>
      <c r="DH133" s="385" t="str">
        <f t="shared" si="136"/>
        <v/>
      </c>
      <c r="DI133" s="385" t="str">
        <f t="shared" si="137"/>
        <v/>
      </c>
    </row>
    <row r="134" spans="1:114" ht="34" x14ac:dyDescent="0.35">
      <c r="A134" s="21" t="s">
        <v>1430</v>
      </c>
      <c r="B134" s="396">
        <f>'Appoggio_BIA Servizio'!$B$5</f>
        <v>0</v>
      </c>
      <c r="C134" s="392" t="s">
        <v>1431</v>
      </c>
      <c r="D134" s="392" t="s">
        <v>1432</v>
      </c>
      <c r="E134" s="393" t="s">
        <v>1433</v>
      </c>
      <c r="F134" s="240" t="s">
        <v>663</v>
      </c>
      <c r="G134" s="240"/>
      <c r="H134" s="240" t="s">
        <v>655</v>
      </c>
      <c r="I134" s="240"/>
      <c r="J134" s="240"/>
      <c r="K134" s="240"/>
      <c r="L134" s="240"/>
      <c r="M134" s="240"/>
      <c r="N134" s="240"/>
      <c r="O134" s="394"/>
      <c r="P134" s="394"/>
      <c r="Q134" s="240"/>
      <c r="R134" s="394"/>
      <c r="S134" s="394"/>
      <c r="T134" s="394"/>
      <c r="U134" s="394"/>
      <c r="V134" s="394"/>
      <c r="W134" s="394"/>
      <c r="X134" s="394"/>
      <c r="Y134" s="394">
        <v>1</v>
      </c>
      <c r="Z134" s="394"/>
      <c r="AA134" s="394"/>
      <c r="AB134" s="240"/>
      <c r="AC134" s="394"/>
      <c r="AD134" s="394"/>
      <c r="AE134" s="395"/>
      <c r="AF134" s="395"/>
      <c r="AG134" s="395"/>
      <c r="AH134" s="395"/>
      <c r="AI134" s="395"/>
      <c r="AJ134" s="395"/>
      <c r="AK134" s="395">
        <v>1</v>
      </c>
      <c r="AL134" s="395"/>
      <c r="AM134" s="395"/>
      <c r="AN134" s="395"/>
      <c r="AO134" s="395"/>
      <c r="AP134" s="395"/>
      <c r="AQ134" s="395"/>
      <c r="AR134" s="395"/>
      <c r="AS134" s="395"/>
      <c r="AT134" s="395"/>
      <c r="AU134" s="395"/>
      <c r="AV134" s="395"/>
      <c r="AW134" s="395"/>
      <c r="AX134" s="395"/>
      <c r="AY134" s="395"/>
      <c r="AZ134" s="395"/>
      <c r="BA134" s="395"/>
      <c r="BB134" s="395"/>
      <c r="BC134" s="395"/>
      <c r="BD134" s="395"/>
      <c r="BE134" s="395">
        <v>1</v>
      </c>
      <c r="BF134" s="225">
        <f t="shared" ref="BF134:BF140" si="140">SUM(IF(AE$3="Sì",AE134,0),IF(AF$3="Sì",AF134,0),IF(AG$3="Sì",AG134,0),IF(AH$3="Sì",AH134,0),IF(AI$3="Sì",AI134,0),IF(AJ$3="Sì",AJ134,0),IF(AK$3="Sì",AK134,0),IF(AL$3="Sì",AL134,0),IF(AM$3="Sì",AM134,0),IF(AN$3="Sì",AN134,0),IF(AO$3="Sì",AO134,0),IF(AP$3="Sì",AP134,0),IF(AQ$3="Sì",AQ134,0),IF(AR$3="Sì",AR134,0),IF(AS$3="Sì",AS134,0),IF(AT$3="Sì",AT134,0),IF(AU$3="Sì",AU134,0),IF(AV$3="Sì",AV134,0),IF(AW$3="Sì",AW134,0),IF(AX$3="Sì",AX134,0),IF(AY$3="Sì",AY134,0),IF(AZ$3="Sì",AZ134,0),IF(BA$3="Sì",BA134,0),IF(BB$3="Sì",BB134,0),IF(BC$3="Sì",BC134,0),IF(BD$3="Sì",BD134,0),IF(BE$3="Sì",BE134,0))</f>
        <v>0</v>
      </c>
      <c r="BG134" s="226" t="str">
        <f t="shared" ref="BG134:BG140" si="141">IF(BF134&gt;=1,"Applicabile","Non Applicabile")</f>
        <v>Non Applicabile</v>
      </c>
      <c r="BH134" s="226" t="s">
        <v>693</v>
      </c>
      <c r="BI134" s="226"/>
      <c r="BJ134" s="229"/>
      <c r="BK134" s="227"/>
      <c r="BL134" s="324" t="s">
        <v>1434</v>
      </c>
      <c r="BM134" s="324" t="s">
        <v>1435</v>
      </c>
      <c r="BN134" s="324" t="s">
        <v>1436</v>
      </c>
      <c r="BO134" s="330"/>
      <c r="BP134" s="385" t="str">
        <f>IF(G134="X",
   IF(BG134="Applicabile",
      IF(BJ134&lt;&gt;"",
         _xlfn.XLOOKUP($BJ134,Parametri_RA!$B:$B,Parametri_RA!$D:$D,0),
         0),
      ""),
   "")</f>
        <v/>
      </c>
      <c r="BQ134" s="385" t="str">
        <f>IF(H134="X",
   IF(BG134="Applicabile",
      IF(BJ134&lt;&gt;"",
         _xlfn.XLOOKUP($BJ134,Parametri_RA!$B:$B,Parametri_RA!$D:$D,0),
         0),
      ""),
   "")</f>
        <v/>
      </c>
      <c r="BR134" s="385" t="str">
        <f t="shared" si="94"/>
        <v/>
      </c>
      <c r="BS134" s="385" t="str">
        <f t="shared" si="95"/>
        <v/>
      </c>
      <c r="BT134" s="385" t="str">
        <f t="shared" si="96"/>
        <v/>
      </c>
      <c r="BU134" s="385" t="str">
        <f t="shared" si="97"/>
        <v/>
      </c>
      <c r="BV134" s="385" t="str">
        <f t="shared" si="98"/>
        <v/>
      </c>
      <c r="BW134" s="385" t="str">
        <f t="shared" si="99"/>
        <v/>
      </c>
      <c r="BX134" s="385" t="str">
        <f t="shared" si="100"/>
        <v/>
      </c>
      <c r="BY134" s="385" t="str">
        <f t="shared" si="101"/>
        <v/>
      </c>
      <c r="BZ134" s="385" t="str">
        <f t="shared" si="102"/>
        <v/>
      </c>
      <c r="CA134" s="385" t="str">
        <f t="shared" si="103"/>
        <v/>
      </c>
      <c r="CB134" s="385" t="str">
        <f t="shared" si="104"/>
        <v/>
      </c>
      <c r="CC134" s="385" t="str">
        <f t="shared" si="105"/>
        <v/>
      </c>
      <c r="CD134" s="385" t="str">
        <f t="shared" si="106"/>
        <v/>
      </c>
      <c r="CE134" s="385" t="str">
        <f t="shared" si="107"/>
        <v/>
      </c>
      <c r="CF134" s="385" t="str">
        <f t="shared" si="108"/>
        <v/>
      </c>
      <c r="CG134" s="385" t="str">
        <f t="shared" si="109"/>
        <v/>
      </c>
      <c r="CH134" s="385" t="str">
        <f t="shared" si="110"/>
        <v/>
      </c>
      <c r="CI134" s="385" t="str">
        <f t="shared" si="111"/>
        <v/>
      </c>
      <c r="CJ134" s="385" t="str">
        <f t="shared" si="112"/>
        <v/>
      </c>
      <c r="CK134" s="385" t="str">
        <f t="shared" si="113"/>
        <v/>
      </c>
      <c r="CL134" s="385" t="str">
        <f t="shared" si="114"/>
        <v/>
      </c>
      <c r="CM134" s="385" t="str">
        <f t="shared" si="115"/>
        <v/>
      </c>
      <c r="CN134" s="385" t="str">
        <f t="shared" si="116"/>
        <v/>
      </c>
      <c r="CO134" s="385" t="str">
        <f t="shared" si="117"/>
        <v/>
      </c>
      <c r="CP134" s="385" t="str">
        <f t="shared" si="118"/>
        <v/>
      </c>
      <c r="CQ134" s="385" t="str">
        <f t="shared" si="119"/>
        <v/>
      </c>
      <c r="CR134" s="385" t="str">
        <f t="shared" si="120"/>
        <v/>
      </c>
      <c r="CS134" s="385" t="str">
        <f t="shared" si="121"/>
        <v/>
      </c>
      <c r="CT134" s="385" t="str">
        <f t="shared" si="122"/>
        <v/>
      </c>
      <c r="CU134" s="385" t="str">
        <f t="shared" si="123"/>
        <v/>
      </c>
      <c r="CV134" s="385" t="str">
        <f t="shared" si="124"/>
        <v/>
      </c>
      <c r="CW134" s="385" t="str">
        <f t="shared" si="125"/>
        <v/>
      </c>
      <c r="CX134" s="385" t="str">
        <f t="shared" si="126"/>
        <v/>
      </c>
      <c r="CY134" s="385" t="str">
        <f t="shared" si="127"/>
        <v/>
      </c>
      <c r="CZ134" s="385" t="str">
        <f t="shared" si="128"/>
        <v/>
      </c>
      <c r="DA134" s="385" t="str">
        <f t="shared" si="129"/>
        <v/>
      </c>
      <c r="DB134" s="385" t="str">
        <f t="shared" si="130"/>
        <v/>
      </c>
      <c r="DC134" s="385" t="str">
        <f t="shared" si="131"/>
        <v/>
      </c>
      <c r="DD134" s="385" t="str">
        <f t="shared" si="132"/>
        <v/>
      </c>
      <c r="DE134" s="385" t="str">
        <f t="shared" si="133"/>
        <v/>
      </c>
      <c r="DF134" s="385" t="str">
        <f t="shared" si="134"/>
        <v/>
      </c>
      <c r="DG134" s="385" t="str">
        <f t="shared" si="135"/>
        <v/>
      </c>
      <c r="DH134" s="385" t="str">
        <f t="shared" si="136"/>
        <v/>
      </c>
      <c r="DI134" s="385" t="str">
        <f t="shared" si="137"/>
        <v/>
      </c>
    </row>
    <row r="135" spans="1:114" ht="34" x14ac:dyDescent="0.35">
      <c r="A135" s="21" t="s">
        <v>1437</v>
      </c>
      <c r="B135" s="396">
        <f>'Appoggio_BIA Servizio'!$B$5</f>
        <v>0</v>
      </c>
      <c r="C135" s="392" t="s">
        <v>1431</v>
      </c>
      <c r="D135" s="392" t="s">
        <v>1438</v>
      </c>
      <c r="E135" s="393" t="s">
        <v>1439</v>
      </c>
      <c r="F135" s="240" t="s">
        <v>663</v>
      </c>
      <c r="G135" s="240" t="s">
        <v>655</v>
      </c>
      <c r="H135" s="240"/>
      <c r="I135" s="240"/>
      <c r="J135" s="240"/>
      <c r="K135" s="240"/>
      <c r="L135" s="240"/>
      <c r="M135" s="240"/>
      <c r="N135" s="240"/>
      <c r="O135" s="394"/>
      <c r="P135" s="394"/>
      <c r="Q135" s="240"/>
      <c r="R135" s="394"/>
      <c r="S135" s="394"/>
      <c r="T135" s="394"/>
      <c r="U135" s="394"/>
      <c r="V135" s="394"/>
      <c r="W135" s="394"/>
      <c r="X135" s="394"/>
      <c r="Y135" s="394">
        <v>1</v>
      </c>
      <c r="Z135" s="394"/>
      <c r="AA135" s="394"/>
      <c r="AB135" s="240"/>
      <c r="AC135" s="394"/>
      <c r="AD135" s="394"/>
      <c r="AE135" s="395"/>
      <c r="AF135" s="395"/>
      <c r="AG135" s="395"/>
      <c r="AH135" s="395"/>
      <c r="AI135" s="395"/>
      <c r="AJ135" s="395"/>
      <c r="AK135" s="395">
        <v>1</v>
      </c>
      <c r="AL135" s="395"/>
      <c r="AM135" s="395"/>
      <c r="AN135" s="395"/>
      <c r="AO135" s="395"/>
      <c r="AP135" s="395"/>
      <c r="AQ135" s="395"/>
      <c r="AR135" s="395"/>
      <c r="AS135" s="395"/>
      <c r="AT135" s="395"/>
      <c r="AU135" s="395"/>
      <c r="AV135" s="395"/>
      <c r="AW135" s="395"/>
      <c r="AX135" s="395"/>
      <c r="AY135" s="395"/>
      <c r="AZ135" s="395"/>
      <c r="BA135" s="395"/>
      <c r="BB135" s="395"/>
      <c r="BC135" s="395"/>
      <c r="BD135" s="395"/>
      <c r="BE135" s="395">
        <v>1</v>
      </c>
      <c r="BF135" s="225">
        <f t="shared" si="140"/>
        <v>0</v>
      </c>
      <c r="BG135" s="226" t="str">
        <f t="shared" si="141"/>
        <v>Non Applicabile</v>
      </c>
      <c r="BH135" s="226" t="s">
        <v>693</v>
      </c>
      <c r="BI135" s="226"/>
      <c r="BJ135" s="229"/>
      <c r="BK135" s="227"/>
      <c r="BL135" s="324" t="s">
        <v>1434</v>
      </c>
      <c r="BM135" s="324" t="s">
        <v>1440</v>
      </c>
      <c r="BN135" s="324" t="s">
        <v>1441</v>
      </c>
      <c r="BO135" s="330"/>
      <c r="BP135" s="385" t="str">
        <f>IF(G135="X",
   IF(BG135="Applicabile",
      IF(BJ135&lt;&gt;"",
         _xlfn.XLOOKUP($BJ135,Parametri_RA!$B:$B,Parametri_RA!$D:$D,0),
         0),
      ""),
   "")</f>
        <v/>
      </c>
      <c r="BQ135" s="385" t="str">
        <f>IF(H135="X",
   IF(BG135="Applicabile",
      IF(BJ135&lt;&gt;"",
         _xlfn.XLOOKUP($BJ135,Parametri_RA!$B:$B,Parametri_RA!$D:$D,0),
         0),
      ""),
   "")</f>
        <v/>
      </c>
      <c r="BR135" s="385" t="str">
        <f t="shared" ref="BR135:BR140" si="142">IF($BP135&lt;&gt;"",IF(I135&lt;&gt;"",$BP135*I135,""),"")</f>
        <v/>
      </c>
      <c r="BS135" s="385" t="str">
        <f t="shared" ref="BS135:BS140" si="143">IF($BP135&lt;&gt;"",IF(J135&lt;&gt;"",$BP135*J135,""),"")</f>
        <v/>
      </c>
      <c r="BT135" s="385" t="str">
        <f t="shared" ref="BT135:BT140" si="144">IF($BP135&lt;&gt;"",IF(K135&lt;&gt;"",$BP135*K135,""),"")</f>
        <v/>
      </c>
      <c r="BU135" s="385" t="str">
        <f t="shared" ref="BU135:BU140" si="145">IF($BP135&lt;&gt;"",IF(L135&lt;&gt;"",$BP135*L135,""),"")</f>
        <v/>
      </c>
      <c r="BV135" s="385" t="str">
        <f t="shared" ref="BV135:BV140" si="146">IF($BP135&lt;&gt;"",IF(M135&lt;&gt;"",$BP135*M135,""),"")</f>
        <v/>
      </c>
      <c r="BW135" s="385" t="str">
        <f t="shared" ref="BW135:BW140" si="147">IF($BP135&lt;&gt;"",IF(N135&lt;&gt;"",$BP135*N135,""),"")</f>
        <v/>
      </c>
      <c r="BX135" s="385" t="str">
        <f t="shared" ref="BX135:BX140" si="148">IF($BP135&lt;&gt;"",IF(O135&lt;&gt;"",$BP135*O135,""),"")</f>
        <v/>
      </c>
      <c r="BY135" s="385" t="str">
        <f t="shared" ref="BY135:BY140" si="149">IF($BP135&lt;&gt;"",IF(P135&lt;&gt;"",$BP135*P135,""),"")</f>
        <v/>
      </c>
      <c r="BZ135" s="385" t="str">
        <f t="shared" ref="BZ135:BZ140" si="150">IF($BP135&lt;&gt;"",IF(Q135&lt;&gt;"",$BP135*Q135,""),"")</f>
        <v/>
      </c>
      <c r="CA135" s="385" t="str">
        <f t="shared" ref="CA135:CA140" si="151">IF($BP135&lt;&gt;"",IF(R135&lt;&gt;"",$BP135*R135,""),"")</f>
        <v/>
      </c>
      <c r="CB135" s="385" t="str">
        <f t="shared" ref="CB135:CB140" si="152">IF($BP135&lt;&gt;"",IF(S135&lt;&gt;"",$BP135*S135,""),"")</f>
        <v/>
      </c>
      <c r="CC135" s="385" t="str">
        <f t="shared" ref="CC135:CC140" si="153">IF($BP135&lt;&gt;"",IF(T135&lt;&gt;"",$BP135*T135,""),"")</f>
        <v/>
      </c>
      <c r="CD135" s="385" t="str">
        <f t="shared" ref="CD135:CD140" si="154">IF($BP135&lt;&gt;"",IF(U135&lt;&gt;"",$BP135*U135,""),"")</f>
        <v/>
      </c>
      <c r="CE135" s="385" t="str">
        <f t="shared" ref="CE135:CE140" si="155">IF($BP135&lt;&gt;"",IF(V135&lt;&gt;"",$BP135*V135,""),"")</f>
        <v/>
      </c>
      <c r="CF135" s="385" t="str">
        <f t="shared" ref="CF135:CF140" si="156">IF($BP135&lt;&gt;"",IF(W135&lt;&gt;"",$BP135*W135,""),"")</f>
        <v/>
      </c>
      <c r="CG135" s="385" t="str">
        <f t="shared" ref="CG135:CG140" si="157">IF($BP135&lt;&gt;"",IF(X135&lt;&gt;"",$BP135*X135,""),"")</f>
        <v/>
      </c>
      <c r="CH135" s="385" t="str">
        <f t="shared" ref="CH135:CH140" si="158">IF($BP135&lt;&gt;"",IF(Y135&lt;&gt;"",$BP135*Y135,""),"")</f>
        <v/>
      </c>
      <c r="CI135" s="385" t="str">
        <f t="shared" ref="CI135:CI140" si="159">IF($BP135&lt;&gt;"",IF(Z135&lt;&gt;"",$BP135*Z135,""),"")</f>
        <v/>
      </c>
      <c r="CJ135" s="385" t="str">
        <f t="shared" ref="CJ135:CJ140" si="160">IF($BP135&lt;&gt;"",IF(AA135&lt;&gt;"",$BP135*AA135,""),"")</f>
        <v/>
      </c>
      <c r="CK135" s="385" t="str">
        <f t="shared" ref="CK135:CK140" si="161">IF($BP135&lt;&gt;"",IF(AB135&lt;&gt;"",$BP135*AB135,""),"")</f>
        <v/>
      </c>
      <c r="CL135" s="385" t="str">
        <f t="shared" ref="CL135:CL140" si="162">IF($BP135&lt;&gt;"",IF(AC135&lt;&gt;"",$BP135*AC135,""),"")</f>
        <v/>
      </c>
      <c r="CM135" s="385" t="str">
        <f t="shared" ref="CM135:CM140" si="163">IF($BP135&lt;&gt;"",IF(AD135&lt;&gt;"",$BP135*AD135,""),"")</f>
        <v/>
      </c>
      <c r="CN135" s="385" t="str">
        <f t="shared" ref="CN135:CN140" si="164">IF($BQ135&lt;&gt;"",IF(I135&lt;&gt;"",$BQ135*I135,""),"")</f>
        <v/>
      </c>
      <c r="CO135" s="385" t="str">
        <f t="shared" ref="CO135:CO140" si="165">IF($BQ135&lt;&gt;"",IF(J135&lt;&gt;"",$BQ135*J135,""),"")</f>
        <v/>
      </c>
      <c r="CP135" s="385" t="str">
        <f t="shared" ref="CP135:CP140" si="166">IF($BQ135&lt;&gt;"",IF(K135&lt;&gt;"",$BQ135*K135,""),"")</f>
        <v/>
      </c>
      <c r="CQ135" s="385" t="str">
        <f t="shared" ref="CQ135:CQ140" si="167">IF($BQ135&lt;&gt;"",IF(L135&lt;&gt;"",$BQ135*L135,""),"")</f>
        <v/>
      </c>
      <c r="CR135" s="385" t="str">
        <f t="shared" ref="CR135:CR140" si="168">IF($BQ135&lt;&gt;"",IF(M135&lt;&gt;"",$BQ135*M135,""),"")</f>
        <v/>
      </c>
      <c r="CS135" s="385" t="str">
        <f t="shared" ref="CS135:CS140" si="169">IF($BQ135&lt;&gt;"",IF(N135&lt;&gt;"",$BQ135*N135,""),"")</f>
        <v/>
      </c>
      <c r="CT135" s="385" t="str">
        <f t="shared" ref="CT135:CT140" si="170">IF($BQ135&lt;&gt;"",IF(O135&lt;&gt;"",$BQ135*O135,""),"")</f>
        <v/>
      </c>
      <c r="CU135" s="385" t="str">
        <f t="shared" ref="CU135:CU140" si="171">IF($BQ135&lt;&gt;"",IF(P135&lt;&gt;"",$BQ135*P135,""),"")</f>
        <v/>
      </c>
      <c r="CV135" s="385" t="str">
        <f t="shared" ref="CV135:CV140" si="172">IF($BQ135&lt;&gt;"",IF(Q135&lt;&gt;"",$BQ135*Q135,""),"")</f>
        <v/>
      </c>
      <c r="CW135" s="385" t="str">
        <f t="shared" ref="CW135:CW140" si="173">IF($BQ135&lt;&gt;"",IF(R135&lt;&gt;"",$BQ135*R135,""),"")</f>
        <v/>
      </c>
      <c r="CX135" s="385" t="str">
        <f t="shared" ref="CX135:CX140" si="174">IF($BQ135&lt;&gt;"",IF(S135&lt;&gt;"",$BQ135*S135,""),"")</f>
        <v/>
      </c>
      <c r="CY135" s="385" t="str">
        <f t="shared" ref="CY135:CY140" si="175">IF($BQ135&lt;&gt;"",IF(T135&lt;&gt;"",$BQ135*T135,""),"")</f>
        <v/>
      </c>
      <c r="CZ135" s="385" t="str">
        <f t="shared" ref="CZ135:CZ140" si="176">IF($BQ135&lt;&gt;"",IF(U135&lt;&gt;"",$BQ135*U135,""),"")</f>
        <v/>
      </c>
      <c r="DA135" s="385" t="str">
        <f t="shared" ref="DA135:DA140" si="177">IF($BQ135&lt;&gt;"",IF(V135&lt;&gt;"",$BQ135*V135,""),"")</f>
        <v/>
      </c>
      <c r="DB135" s="385" t="str">
        <f t="shared" ref="DB135:DB140" si="178">IF($BQ135&lt;&gt;"",IF(W135&lt;&gt;"",$BQ135*W135,""),"")</f>
        <v/>
      </c>
      <c r="DC135" s="385" t="str">
        <f t="shared" ref="DC135:DC140" si="179">IF($BQ135&lt;&gt;"",IF(X135&lt;&gt;"",$BQ135*X135,""),"")</f>
        <v/>
      </c>
      <c r="DD135" s="385" t="str">
        <f t="shared" ref="DD135:DD140" si="180">IF($BQ135&lt;&gt;"",IF(Y135&lt;&gt;"",$BQ135*Y135,""),"")</f>
        <v/>
      </c>
      <c r="DE135" s="385" t="str">
        <f t="shared" ref="DE135:DE140" si="181">IF($BQ135&lt;&gt;"",IF(Z135&lt;&gt;"",$BQ135*Z135,""),"")</f>
        <v/>
      </c>
      <c r="DF135" s="385" t="str">
        <f t="shared" ref="DF135:DF140" si="182">IF($BQ135&lt;&gt;"",IF(AA135&lt;&gt;"",$BQ135*AA135,""),"")</f>
        <v/>
      </c>
      <c r="DG135" s="385" t="str">
        <f t="shared" ref="DG135:DG140" si="183">IF($BQ135&lt;&gt;"",IF(AB135&lt;&gt;"",$BQ135*AB135,""),"")</f>
        <v/>
      </c>
      <c r="DH135" s="385" t="str">
        <f t="shared" ref="DH135:DH140" si="184">IF($BQ135&lt;&gt;"",IF(AC135&lt;&gt;"",$BQ135*AC135,""),"")</f>
        <v/>
      </c>
      <c r="DI135" s="385" t="str">
        <f t="shared" ref="DI135:DI140" si="185">IF($BQ135&lt;&gt;"",IF(AD135&lt;&gt;"",$BQ135*AD135,""),"")</f>
        <v/>
      </c>
    </row>
    <row r="136" spans="1:114" ht="34" x14ac:dyDescent="0.35">
      <c r="A136" s="21" t="s">
        <v>1442</v>
      </c>
      <c r="B136" s="396">
        <f>'Appoggio_BIA Servizio'!$B$5</f>
        <v>0</v>
      </c>
      <c r="C136" s="392" t="s">
        <v>1431</v>
      </c>
      <c r="D136" s="392" t="s">
        <v>1443</v>
      </c>
      <c r="E136" s="393" t="s">
        <v>1444</v>
      </c>
      <c r="F136" s="240" t="s">
        <v>654</v>
      </c>
      <c r="G136" s="240"/>
      <c r="H136" s="240" t="s">
        <v>655</v>
      </c>
      <c r="I136" s="240"/>
      <c r="J136" s="240"/>
      <c r="K136" s="240"/>
      <c r="L136" s="240"/>
      <c r="M136" s="240"/>
      <c r="N136" s="240"/>
      <c r="O136" s="394"/>
      <c r="P136" s="394"/>
      <c r="Q136" s="240"/>
      <c r="R136" s="394"/>
      <c r="S136" s="394"/>
      <c r="T136" s="394"/>
      <c r="U136" s="394"/>
      <c r="V136" s="394"/>
      <c r="W136" s="394"/>
      <c r="X136" s="394"/>
      <c r="Y136" s="394">
        <v>1</v>
      </c>
      <c r="Z136" s="394"/>
      <c r="AA136" s="394"/>
      <c r="AB136" s="240"/>
      <c r="AC136" s="394"/>
      <c r="AD136" s="394"/>
      <c r="AE136" s="395"/>
      <c r="AF136" s="395"/>
      <c r="AG136" s="395"/>
      <c r="AH136" s="395"/>
      <c r="AI136" s="395"/>
      <c r="AJ136" s="395"/>
      <c r="AK136" s="395">
        <v>1</v>
      </c>
      <c r="AL136" s="395"/>
      <c r="AM136" s="395"/>
      <c r="AN136" s="395"/>
      <c r="AO136" s="395"/>
      <c r="AP136" s="395"/>
      <c r="AQ136" s="395"/>
      <c r="AR136" s="395"/>
      <c r="AS136" s="395"/>
      <c r="AT136" s="395"/>
      <c r="AU136" s="395"/>
      <c r="AV136" s="395"/>
      <c r="AW136" s="395"/>
      <c r="AX136" s="395"/>
      <c r="AY136" s="395"/>
      <c r="AZ136" s="395"/>
      <c r="BA136" s="395"/>
      <c r="BB136" s="395"/>
      <c r="BC136" s="395"/>
      <c r="BD136" s="395"/>
      <c r="BE136" s="395">
        <v>1</v>
      </c>
      <c r="BF136" s="225">
        <f t="shared" si="140"/>
        <v>0</v>
      </c>
      <c r="BG136" s="226" t="str">
        <f t="shared" si="141"/>
        <v>Non Applicabile</v>
      </c>
      <c r="BH136" s="226" t="s">
        <v>693</v>
      </c>
      <c r="BI136" s="226"/>
      <c r="BJ136" s="229"/>
      <c r="BK136" s="227"/>
      <c r="BL136" s="324" t="s">
        <v>1434</v>
      </c>
      <c r="BM136" s="324" t="s">
        <v>1435</v>
      </c>
      <c r="BN136" s="324" t="s">
        <v>1441</v>
      </c>
      <c r="BO136" s="330"/>
      <c r="BP136" s="385" t="str">
        <f>IF(G136="X",
   IF(BG136="Applicabile",
      IF(BJ136&lt;&gt;"",
         _xlfn.XLOOKUP($BJ136,Parametri_RA!$B:$B,Parametri_RA!$D:$D,0),
         0),
      ""),
   "")</f>
        <v/>
      </c>
      <c r="BQ136" s="385" t="str">
        <f>IF(H136="X",
   IF(BG136="Applicabile",
      IF(BJ136&lt;&gt;"",
         _xlfn.XLOOKUP($BJ136,Parametri_RA!$B:$B,Parametri_RA!$D:$D,0),
         0),
      ""),
   "")</f>
        <v/>
      </c>
      <c r="BR136" s="385" t="str">
        <f t="shared" si="142"/>
        <v/>
      </c>
      <c r="BS136" s="385" t="str">
        <f t="shared" si="143"/>
        <v/>
      </c>
      <c r="BT136" s="385" t="str">
        <f t="shared" si="144"/>
        <v/>
      </c>
      <c r="BU136" s="385" t="str">
        <f t="shared" si="145"/>
        <v/>
      </c>
      <c r="BV136" s="385" t="str">
        <f t="shared" si="146"/>
        <v/>
      </c>
      <c r="BW136" s="385" t="str">
        <f t="shared" si="147"/>
        <v/>
      </c>
      <c r="BX136" s="385" t="str">
        <f t="shared" si="148"/>
        <v/>
      </c>
      <c r="BY136" s="385" t="str">
        <f t="shared" si="149"/>
        <v/>
      </c>
      <c r="BZ136" s="385" t="str">
        <f t="shared" si="150"/>
        <v/>
      </c>
      <c r="CA136" s="385" t="str">
        <f t="shared" si="151"/>
        <v/>
      </c>
      <c r="CB136" s="385" t="str">
        <f t="shared" si="152"/>
        <v/>
      </c>
      <c r="CC136" s="385" t="str">
        <f t="shared" si="153"/>
        <v/>
      </c>
      <c r="CD136" s="385" t="str">
        <f t="shared" si="154"/>
        <v/>
      </c>
      <c r="CE136" s="385" t="str">
        <f t="shared" si="155"/>
        <v/>
      </c>
      <c r="CF136" s="385" t="str">
        <f t="shared" si="156"/>
        <v/>
      </c>
      <c r="CG136" s="385" t="str">
        <f t="shared" si="157"/>
        <v/>
      </c>
      <c r="CH136" s="385" t="str">
        <f t="shared" si="158"/>
        <v/>
      </c>
      <c r="CI136" s="385" t="str">
        <f t="shared" si="159"/>
        <v/>
      </c>
      <c r="CJ136" s="385" t="str">
        <f t="shared" si="160"/>
        <v/>
      </c>
      <c r="CK136" s="385" t="str">
        <f t="shared" si="161"/>
        <v/>
      </c>
      <c r="CL136" s="385" t="str">
        <f t="shared" si="162"/>
        <v/>
      </c>
      <c r="CM136" s="385" t="str">
        <f t="shared" si="163"/>
        <v/>
      </c>
      <c r="CN136" s="385" t="str">
        <f t="shared" si="164"/>
        <v/>
      </c>
      <c r="CO136" s="385" t="str">
        <f t="shared" si="165"/>
        <v/>
      </c>
      <c r="CP136" s="385" t="str">
        <f t="shared" si="166"/>
        <v/>
      </c>
      <c r="CQ136" s="385" t="str">
        <f t="shared" si="167"/>
        <v/>
      </c>
      <c r="CR136" s="385" t="str">
        <f t="shared" si="168"/>
        <v/>
      </c>
      <c r="CS136" s="385" t="str">
        <f t="shared" si="169"/>
        <v/>
      </c>
      <c r="CT136" s="385" t="str">
        <f t="shared" si="170"/>
        <v/>
      </c>
      <c r="CU136" s="385" t="str">
        <f t="shared" si="171"/>
        <v/>
      </c>
      <c r="CV136" s="385" t="str">
        <f t="shared" si="172"/>
        <v/>
      </c>
      <c r="CW136" s="385" t="str">
        <f t="shared" si="173"/>
        <v/>
      </c>
      <c r="CX136" s="385" t="str">
        <f t="shared" si="174"/>
        <v/>
      </c>
      <c r="CY136" s="385" t="str">
        <f t="shared" si="175"/>
        <v/>
      </c>
      <c r="CZ136" s="385" t="str">
        <f t="shared" si="176"/>
        <v/>
      </c>
      <c r="DA136" s="385" t="str">
        <f t="shared" si="177"/>
        <v/>
      </c>
      <c r="DB136" s="385" t="str">
        <f t="shared" si="178"/>
        <v/>
      </c>
      <c r="DC136" s="385" t="str">
        <f t="shared" si="179"/>
        <v/>
      </c>
      <c r="DD136" s="385" t="str">
        <f t="shared" si="180"/>
        <v/>
      </c>
      <c r="DE136" s="385" t="str">
        <f t="shared" si="181"/>
        <v/>
      </c>
      <c r="DF136" s="385" t="str">
        <f t="shared" si="182"/>
        <v/>
      </c>
      <c r="DG136" s="385" t="str">
        <f t="shared" si="183"/>
        <v/>
      </c>
      <c r="DH136" s="385" t="str">
        <f t="shared" si="184"/>
        <v/>
      </c>
      <c r="DI136" s="385" t="str">
        <f t="shared" si="185"/>
        <v/>
      </c>
    </row>
    <row r="137" spans="1:114" ht="49.5" x14ac:dyDescent="0.35">
      <c r="A137" s="21" t="s">
        <v>1445</v>
      </c>
      <c r="B137" s="396">
        <f>'Appoggio_BIA Servizio'!$B$5</f>
        <v>0</v>
      </c>
      <c r="C137" s="392" t="s">
        <v>1431</v>
      </c>
      <c r="D137" s="392" t="s">
        <v>1446</v>
      </c>
      <c r="E137" s="393" t="s">
        <v>1447</v>
      </c>
      <c r="F137" s="240" t="s">
        <v>671</v>
      </c>
      <c r="G137" s="240" t="s">
        <v>655</v>
      </c>
      <c r="H137" s="240" t="s">
        <v>655</v>
      </c>
      <c r="I137" s="240"/>
      <c r="J137" s="240"/>
      <c r="K137" s="240"/>
      <c r="L137" s="240"/>
      <c r="M137" s="240"/>
      <c r="N137" s="240"/>
      <c r="O137" s="394"/>
      <c r="P137" s="394"/>
      <c r="Q137" s="240"/>
      <c r="R137" s="394"/>
      <c r="S137" s="394"/>
      <c r="T137" s="394"/>
      <c r="U137" s="394"/>
      <c r="V137" s="394"/>
      <c r="W137" s="394"/>
      <c r="X137" s="394">
        <v>1</v>
      </c>
      <c r="Y137" s="394">
        <v>1</v>
      </c>
      <c r="Z137" s="394"/>
      <c r="AA137" s="394">
        <v>0.4</v>
      </c>
      <c r="AB137" s="240"/>
      <c r="AC137" s="394"/>
      <c r="AD137" s="394"/>
      <c r="AE137" s="395"/>
      <c r="AF137" s="395"/>
      <c r="AG137" s="395"/>
      <c r="AH137" s="395"/>
      <c r="AI137" s="395"/>
      <c r="AJ137" s="395"/>
      <c r="AK137" s="395">
        <v>1</v>
      </c>
      <c r="AL137" s="395"/>
      <c r="AM137" s="395"/>
      <c r="AN137" s="395"/>
      <c r="AO137" s="395"/>
      <c r="AP137" s="395"/>
      <c r="AQ137" s="395"/>
      <c r="AR137" s="395"/>
      <c r="AS137" s="395"/>
      <c r="AT137" s="395"/>
      <c r="AU137" s="395"/>
      <c r="AV137" s="395"/>
      <c r="AW137" s="395"/>
      <c r="AX137" s="395"/>
      <c r="AY137" s="395"/>
      <c r="AZ137" s="395"/>
      <c r="BA137" s="395"/>
      <c r="BB137" s="395"/>
      <c r="BC137" s="395"/>
      <c r="BD137" s="395"/>
      <c r="BE137" s="395">
        <v>1</v>
      </c>
      <c r="BF137" s="225">
        <f t="shared" si="140"/>
        <v>0</v>
      </c>
      <c r="BG137" s="226" t="str">
        <f t="shared" si="141"/>
        <v>Non Applicabile</v>
      </c>
      <c r="BH137" s="226" t="s">
        <v>693</v>
      </c>
      <c r="BI137" s="226"/>
      <c r="BJ137" s="229"/>
      <c r="BK137" s="227"/>
      <c r="BL137" s="324" t="s">
        <v>1448</v>
      </c>
      <c r="BM137" s="324" t="s">
        <v>1449</v>
      </c>
      <c r="BN137" s="324" t="s">
        <v>1450</v>
      </c>
      <c r="BO137" s="330"/>
      <c r="BP137" s="385" t="str">
        <f>IF(G137="X",
   IF(BG137="Applicabile",
      IF(BJ137&lt;&gt;"",
         _xlfn.XLOOKUP($BJ137,Parametri_RA!$B:$B,Parametri_RA!$D:$D,0),
         0),
      ""),
   "")</f>
        <v/>
      </c>
      <c r="BQ137" s="385" t="str">
        <f>IF(H137="X",
   IF(BG137="Applicabile",
      IF(BJ137&lt;&gt;"",
         _xlfn.XLOOKUP($BJ137,Parametri_RA!$B:$B,Parametri_RA!$D:$D,0),
         0),
      ""),
   "")</f>
        <v/>
      </c>
      <c r="BR137" s="385" t="str">
        <f t="shared" si="142"/>
        <v/>
      </c>
      <c r="BS137" s="385" t="str">
        <f t="shared" si="143"/>
        <v/>
      </c>
      <c r="BT137" s="385" t="str">
        <f t="shared" si="144"/>
        <v/>
      </c>
      <c r="BU137" s="385" t="str">
        <f t="shared" si="145"/>
        <v/>
      </c>
      <c r="BV137" s="385" t="str">
        <f t="shared" si="146"/>
        <v/>
      </c>
      <c r="BW137" s="385" t="str">
        <f t="shared" si="147"/>
        <v/>
      </c>
      <c r="BX137" s="385" t="str">
        <f t="shared" si="148"/>
        <v/>
      </c>
      <c r="BY137" s="385" t="str">
        <f t="shared" si="149"/>
        <v/>
      </c>
      <c r="BZ137" s="385" t="str">
        <f t="shared" si="150"/>
        <v/>
      </c>
      <c r="CA137" s="385" t="str">
        <f t="shared" si="151"/>
        <v/>
      </c>
      <c r="CB137" s="385" t="str">
        <f t="shared" si="152"/>
        <v/>
      </c>
      <c r="CC137" s="385" t="str">
        <f t="shared" si="153"/>
        <v/>
      </c>
      <c r="CD137" s="385" t="str">
        <f t="shared" si="154"/>
        <v/>
      </c>
      <c r="CE137" s="385" t="str">
        <f t="shared" si="155"/>
        <v/>
      </c>
      <c r="CF137" s="385" t="str">
        <f t="shared" si="156"/>
        <v/>
      </c>
      <c r="CG137" s="385" t="str">
        <f t="shared" si="157"/>
        <v/>
      </c>
      <c r="CH137" s="385" t="str">
        <f t="shared" si="158"/>
        <v/>
      </c>
      <c r="CI137" s="385" t="str">
        <f t="shared" si="159"/>
        <v/>
      </c>
      <c r="CJ137" s="385" t="str">
        <f t="shared" si="160"/>
        <v/>
      </c>
      <c r="CK137" s="385" t="str">
        <f t="shared" si="161"/>
        <v/>
      </c>
      <c r="CL137" s="385" t="str">
        <f t="shared" si="162"/>
        <v/>
      </c>
      <c r="CM137" s="385" t="str">
        <f t="shared" si="163"/>
        <v/>
      </c>
      <c r="CN137" s="385" t="str">
        <f t="shared" si="164"/>
        <v/>
      </c>
      <c r="CO137" s="385" t="str">
        <f t="shared" si="165"/>
        <v/>
      </c>
      <c r="CP137" s="385" t="str">
        <f t="shared" si="166"/>
        <v/>
      </c>
      <c r="CQ137" s="385" t="str">
        <f t="shared" si="167"/>
        <v/>
      </c>
      <c r="CR137" s="385" t="str">
        <f t="shared" si="168"/>
        <v/>
      </c>
      <c r="CS137" s="385" t="str">
        <f t="shared" si="169"/>
        <v/>
      </c>
      <c r="CT137" s="385" t="str">
        <f t="shared" si="170"/>
        <v/>
      </c>
      <c r="CU137" s="385" t="str">
        <f t="shared" si="171"/>
        <v/>
      </c>
      <c r="CV137" s="385" t="str">
        <f t="shared" si="172"/>
        <v/>
      </c>
      <c r="CW137" s="385" t="str">
        <f t="shared" si="173"/>
        <v/>
      </c>
      <c r="CX137" s="385" t="str">
        <f t="shared" si="174"/>
        <v/>
      </c>
      <c r="CY137" s="385" t="str">
        <f t="shared" si="175"/>
        <v/>
      </c>
      <c r="CZ137" s="385" t="str">
        <f t="shared" si="176"/>
        <v/>
      </c>
      <c r="DA137" s="385" t="str">
        <f t="shared" si="177"/>
        <v/>
      </c>
      <c r="DB137" s="385" t="str">
        <f t="shared" si="178"/>
        <v/>
      </c>
      <c r="DC137" s="385" t="str">
        <f t="shared" si="179"/>
        <v/>
      </c>
      <c r="DD137" s="385" t="str">
        <f t="shared" si="180"/>
        <v/>
      </c>
      <c r="DE137" s="385" t="str">
        <f t="shared" si="181"/>
        <v/>
      </c>
      <c r="DF137" s="385" t="str">
        <f t="shared" si="182"/>
        <v/>
      </c>
      <c r="DG137" s="385" t="str">
        <f t="shared" si="183"/>
        <v/>
      </c>
      <c r="DH137" s="385" t="str">
        <f t="shared" si="184"/>
        <v/>
      </c>
      <c r="DI137" s="385" t="str">
        <f t="shared" si="185"/>
        <v/>
      </c>
    </row>
    <row r="138" spans="1:114" s="353" customFormat="1" ht="49.5" x14ac:dyDescent="0.35">
      <c r="A138" s="351"/>
      <c r="B138" s="396">
        <f>'Appoggio_BIA Servizio'!$B$5</f>
        <v>0</v>
      </c>
      <c r="C138" s="392" t="s">
        <v>1431</v>
      </c>
      <c r="D138" s="392" t="s">
        <v>1451</v>
      </c>
      <c r="E138" s="393" t="s">
        <v>1452</v>
      </c>
      <c r="F138" s="240" t="s">
        <v>663</v>
      </c>
      <c r="G138" s="240"/>
      <c r="H138" s="240" t="s">
        <v>655</v>
      </c>
      <c r="I138" s="240"/>
      <c r="J138" s="240"/>
      <c r="K138" s="240"/>
      <c r="L138" s="240"/>
      <c r="M138" s="240"/>
      <c r="N138" s="240"/>
      <c r="O138" s="394"/>
      <c r="P138" s="394"/>
      <c r="Q138" s="240"/>
      <c r="R138" s="394"/>
      <c r="S138" s="394"/>
      <c r="T138" s="394"/>
      <c r="U138" s="394"/>
      <c r="V138" s="394"/>
      <c r="W138" s="394"/>
      <c r="X138" s="394">
        <v>0.7</v>
      </c>
      <c r="Y138" s="394">
        <v>0.7</v>
      </c>
      <c r="Z138" s="394"/>
      <c r="AA138" s="394"/>
      <c r="AB138" s="240"/>
      <c r="AC138" s="394"/>
      <c r="AD138" s="394"/>
      <c r="AE138" s="395"/>
      <c r="AF138" s="395"/>
      <c r="AG138" s="395"/>
      <c r="AH138" s="395"/>
      <c r="AI138" s="395"/>
      <c r="AJ138" s="395"/>
      <c r="AK138" s="395">
        <v>1</v>
      </c>
      <c r="AL138" s="395"/>
      <c r="AM138" s="395"/>
      <c r="AN138" s="395"/>
      <c r="AO138" s="395"/>
      <c r="AP138" s="395"/>
      <c r="AQ138" s="395"/>
      <c r="AR138" s="395"/>
      <c r="AS138" s="395"/>
      <c r="AT138" s="395"/>
      <c r="AU138" s="395"/>
      <c r="AV138" s="395"/>
      <c r="AW138" s="395"/>
      <c r="AX138" s="395"/>
      <c r="AY138" s="395"/>
      <c r="AZ138" s="395"/>
      <c r="BA138" s="395"/>
      <c r="BB138" s="395"/>
      <c r="BC138" s="395"/>
      <c r="BD138" s="395"/>
      <c r="BE138" s="395">
        <v>1</v>
      </c>
      <c r="BF138" s="225">
        <f t="shared" si="140"/>
        <v>0</v>
      </c>
      <c r="BG138" s="226" t="str">
        <f t="shared" si="141"/>
        <v>Non Applicabile</v>
      </c>
      <c r="BH138" s="226" t="s">
        <v>693</v>
      </c>
      <c r="BI138" s="226"/>
      <c r="BJ138" s="229"/>
      <c r="BK138" s="324"/>
      <c r="BL138" s="324" t="s">
        <v>1453</v>
      </c>
      <c r="BM138" s="324" t="s">
        <v>1454</v>
      </c>
      <c r="BN138" s="324" t="s">
        <v>1441</v>
      </c>
      <c r="BO138" s="352"/>
      <c r="BP138" s="385" t="str">
        <f>IF(G138="X",
   IF(BG138="Applicabile",
      IF(BJ138&lt;&gt;"",
         _xlfn.XLOOKUP($BJ138,Parametri_RA!$B:$B,Parametri_RA!$D:$D,0),
         0),
      ""),
   "")</f>
        <v/>
      </c>
      <c r="BQ138" s="385" t="str">
        <f>IF(H138="X",
   IF(BG138="Applicabile",
      IF(BJ138&lt;&gt;"",
         _xlfn.XLOOKUP($BJ138,Parametri_RA!$B:$B,Parametri_RA!$D:$D,0),
         0),
      ""),
   "")</f>
        <v/>
      </c>
      <c r="BR138" s="385" t="str">
        <f t="shared" si="142"/>
        <v/>
      </c>
      <c r="BS138" s="385" t="str">
        <f t="shared" si="143"/>
        <v/>
      </c>
      <c r="BT138" s="385" t="str">
        <f t="shared" si="144"/>
        <v/>
      </c>
      <c r="BU138" s="385" t="str">
        <f t="shared" si="145"/>
        <v/>
      </c>
      <c r="BV138" s="385" t="str">
        <f t="shared" si="146"/>
        <v/>
      </c>
      <c r="BW138" s="385" t="str">
        <f t="shared" si="147"/>
        <v/>
      </c>
      <c r="BX138" s="385" t="str">
        <f t="shared" si="148"/>
        <v/>
      </c>
      <c r="BY138" s="385" t="str">
        <f t="shared" si="149"/>
        <v/>
      </c>
      <c r="BZ138" s="385" t="str">
        <f t="shared" si="150"/>
        <v/>
      </c>
      <c r="CA138" s="385" t="str">
        <f t="shared" si="151"/>
        <v/>
      </c>
      <c r="CB138" s="385" t="str">
        <f t="shared" si="152"/>
        <v/>
      </c>
      <c r="CC138" s="385" t="str">
        <f t="shared" si="153"/>
        <v/>
      </c>
      <c r="CD138" s="385" t="str">
        <f t="shared" si="154"/>
        <v/>
      </c>
      <c r="CE138" s="385" t="str">
        <f t="shared" si="155"/>
        <v/>
      </c>
      <c r="CF138" s="385" t="str">
        <f t="shared" si="156"/>
        <v/>
      </c>
      <c r="CG138" s="385" t="str">
        <f t="shared" si="157"/>
        <v/>
      </c>
      <c r="CH138" s="385" t="str">
        <f t="shared" si="158"/>
        <v/>
      </c>
      <c r="CI138" s="385" t="str">
        <f t="shared" si="159"/>
        <v/>
      </c>
      <c r="CJ138" s="385" t="str">
        <f t="shared" si="160"/>
        <v/>
      </c>
      <c r="CK138" s="385" t="str">
        <f t="shared" si="161"/>
        <v/>
      </c>
      <c r="CL138" s="385" t="str">
        <f t="shared" si="162"/>
        <v/>
      </c>
      <c r="CM138" s="385" t="str">
        <f t="shared" si="163"/>
        <v/>
      </c>
      <c r="CN138" s="385" t="str">
        <f t="shared" si="164"/>
        <v/>
      </c>
      <c r="CO138" s="385" t="str">
        <f t="shared" si="165"/>
        <v/>
      </c>
      <c r="CP138" s="385" t="str">
        <f t="shared" si="166"/>
        <v/>
      </c>
      <c r="CQ138" s="385" t="str">
        <f t="shared" si="167"/>
        <v/>
      </c>
      <c r="CR138" s="385" t="str">
        <f t="shared" si="168"/>
        <v/>
      </c>
      <c r="CS138" s="385" t="str">
        <f t="shared" si="169"/>
        <v/>
      </c>
      <c r="CT138" s="385" t="str">
        <f t="shared" si="170"/>
        <v/>
      </c>
      <c r="CU138" s="385" t="str">
        <f t="shared" si="171"/>
        <v/>
      </c>
      <c r="CV138" s="385" t="str">
        <f t="shared" si="172"/>
        <v/>
      </c>
      <c r="CW138" s="385" t="str">
        <f t="shared" si="173"/>
        <v/>
      </c>
      <c r="CX138" s="385" t="str">
        <f t="shared" si="174"/>
        <v/>
      </c>
      <c r="CY138" s="385" t="str">
        <f t="shared" si="175"/>
        <v/>
      </c>
      <c r="CZ138" s="385" t="str">
        <f t="shared" si="176"/>
        <v/>
      </c>
      <c r="DA138" s="385" t="str">
        <f t="shared" si="177"/>
        <v/>
      </c>
      <c r="DB138" s="385" t="str">
        <f t="shared" si="178"/>
        <v/>
      </c>
      <c r="DC138" s="385" t="str">
        <f t="shared" si="179"/>
        <v/>
      </c>
      <c r="DD138" s="385" t="str">
        <f t="shared" si="180"/>
        <v/>
      </c>
      <c r="DE138" s="385" t="str">
        <f t="shared" si="181"/>
        <v/>
      </c>
      <c r="DF138" s="385" t="str">
        <f t="shared" si="182"/>
        <v/>
      </c>
      <c r="DG138" s="385" t="str">
        <f t="shared" si="183"/>
        <v/>
      </c>
      <c r="DH138" s="385" t="str">
        <f t="shared" si="184"/>
        <v/>
      </c>
      <c r="DI138" s="385" t="str">
        <f t="shared" si="185"/>
        <v/>
      </c>
      <c r="DJ138" s="351"/>
    </row>
    <row r="139" spans="1:114" ht="49.5" x14ac:dyDescent="0.35">
      <c r="A139" s="21" t="s">
        <v>1455</v>
      </c>
      <c r="B139" s="396">
        <f>'Appoggio_BIA Servizio'!$B$5</f>
        <v>0</v>
      </c>
      <c r="C139" s="392" t="s">
        <v>1456</v>
      </c>
      <c r="D139" s="392" t="s">
        <v>1457</v>
      </c>
      <c r="E139" s="393" t="s">
        <v>1458</v>
      </c>
      <c r="F139" s="240" t="s">
        <v>671</v>
      </c>
      <c r="G139" s="240"/>
      <c r="H139" s="240" t="s">
        <v>655</v>
      </c>
      <c r="I139" s="240"/>
      <c r="J139" s="240"/>
      <c r="K139" s="240"/>
      <c r="L139" s="240"/>
      <c r="M139" s="240"/>
      <c r="N139" s="240"/>
      <c r="O139" s="394"/>
      <c r="P139" s="394"/>
      <c r="Q139" s="240"/>
      <c r="R139" s="394">
        <v>0.7</v>
      </c>
      <c r="S139" s="394"/>
      <c r="T139" s="394"/>
      <c r="U139" s="394"/>
      <c r="V139" s="394"/>
      <c r="W139" s="394"/>
      <c r="X139" s="394">
        <v>1</v>
      </c>
      <c r="Y139" s="394">
        <v>0.7</v>
      </c>
      <c r="Z139" s="394">
        <v>1</v>
      </c>
      <c r="AA139" s="394">
        <v>0.4</v>
      </c>
      <c r="AB139" s="240"/>
      <c r="AC139" s="394"/>
      <c r="AD139" s="394"/>
      <c r="AE139" s="395"/>
      <c r="AF139" s="395"/>
      <c r="AG139" s="395"/>
      <c r="AH139" s="395"/>
      <c r="AI139" s="395"/>
      <c r="AJ139" s="395"/>
      <c r="AK139" s="395">
        <v>1</v>
      </c>
      <c r="AL139" s="395"/>
      <c r="AM139" s="395"/>
      <c r="AN139" s="395"/>
      <c r="AO139" s="395"/>
      <c r="AP139" s="395"/>
      <c r="AQ139" s="395"/>
      <c r="AR139" s="395"/>
      <c r="AS139" s="395"/>
      <c r="AT139" s="395"/>
      <c r="AU139" s="395"/>
      <c r="AV139" s="395"/>
      <c r="AW139" s="395"/>
      <c r="AX139" s="395"/>
      <c r="AY139" s="395"/>
      <c r="AZ139" s="395"/>
      <c r="BA139" s="395"/>
      <c r="BB139" s="395"/>
      <c r="BC139" s="395"/>
      <c r="BD139" s="395"/>
      <c r="BE139" s="395">
        <v>1</v>
      </c>
      <c r="BF139" s="225">
        <f t="shared" si="140"/>
        <v>0</v>
      </c>
      <c r="BG139" s="226" t="str">
        <f t="shared" si="141"/>
        <v>Non Applicabile</v>
      </c>
      <c r="BH139" s="226" t="s">
        <v>693</v>
      </c>
      <c r="BI139" s="226"/>
      <c r="BJ139" s="229"/>
      <c r="BK139" s="227"/>
      <c r="BL139" s="324" t="s">
        <v>1459</v>
      </c>
      <c r="BM139" s="324" t="s">
        <v>1460</v>
      </c>
      <c r="BN139" s="324" t="s">
        <v>1461</v>
      </c>
      <c r="BO139" s="330"/>
      <c r="BP139" s="385" t="str">
        <f>IF(G139="X",
   IF(BG139="Applicabile",
      IF(BJ139&lt;&gt;"",
         _xlfn.XLOOKUP($BJ139,Parametri_RA!$B:$B,Parametri_RA!$D:$D,0),
         0),
      ""),
   "")</f>
        <v/>
      </c>
      <c r="BQ139" s="385" t="str">
        <f>IF(H139="X",
   IF(BG139="Applicabile",
      IF(BJ139&lt;&gt;"",
         _xlfn.XLOOKUP($BJ139,Parametri_RA!$B:$B,Parametri_RA!$D:$D,0),
         0),
      ""),
   "")</f>
        <v/>
      </c>
      <c r="BR139" s="385" t="str">
        <f t="shared" si="142"/>
        <v/>
      </c>
      <c r="BS139" s="385" t="str">
        <f t="shared" si="143"/>
        <v/>
      </c>
      <c r="BT139" s="385" t="str">
        <f t="shared" si="144"/>
        <v/>
      </c>
      <c r="BU139" s="385" t="str">
        <f t="shared" si="145"/>
        <v/>
      </c>
      <c r="BV139" s="385" t="str">
        <f t="shared" si="146"/>
        <v/>
      </c>
      <c r="BW139" s="385" t="str">
        <f t="shared" si="147"/>
        <v/>
      </c>
      <c r="BX139" s="385" t="str">
        <f t="shared" si="148"/>
        <v/>
      </c>
      <c r="BY139" s="385" t="str">
        <f t="shared" si="149"/>
        <v/>
      </c>
      <c r="BZ139" s="385" t="str">
        <f t="shared" si="150"/>
        <v/>
      </c>
      <c r="CA139" s="385" t="str">
        <f t="shared" si="151"/>
        <v/>
      </c>
      <c r="CB139" s="385" t="str">
        <f t="shared" si="152"/>
        <v/>
      </c>
      <c r="CC139" s="385" t="str">
        <f t="shared" si="153"/>
        <v/>
      </c>
      <c r="CD139" s="385" t="str">
        <f t="shared" si="154"/>
        <v/>
      </c>
      <c r="CE139" s="385" t="str">
        <f t="shared" si="155"/>
        <v/>
      </c>
      <c r="CF139" s="385" t="str">
        <f t="shared" si="156"/>
        <v/>
      </c>
      <c r="CG139" s="385" t="str">
        <f t="shared" si="157"/>
        <v/>
      </c>
      <c r="CH139" s="385" t="str">
        <f t="shared" si="158"/>
        <v/>
      </c>
      <c r="CI139" s="385" t="str">
        <f t="shared" si="159"/>
        <v/>
      </c>
      <c r="CJ139" s="385" t="str">
        <f t="shared" si="160"/>
        <v/>
      </c>
      <c r="CK139" s="385" t="str">
        <f t="shared" si="161"/>
        <v/>
      </c>
      <c r="CL139" s="385" t="str">
        <f t="shared" si="162"/>
        <v/>
      </c>
      <c r="CM139" s="385" t="str">
        <f t="shared" si="163"/>
        <v/>
      </c>
      <c r="CN139" s="385" t="str">
        <f t="shared" si="164"/>
        <v/>
      </c>
      <c r="CO139" s="385" t="str">
        <f t="shared" si="165"/>
        <v/>
      </c>
      <c r="CP139" s="385" t="str">
        <f t="shared" si="166"/>
        <v/>
      </c>
      <c r="CQ139" s="385" t="str">
        <f t="shared" si="167"/>
        <v/>
      </c>
      <c r="CR139" s="385" t="str">
        <f t="shared" si="168"/>
        <v/>
      </c>
      <c r="CS139" s="385" t="str">
        <f t="shared" si="169"/>
        <v/>
      </c>
      <c r="CT139" s="385" t="str">
        <f t="shared" si="170"/>
        <v/>
      </c>
      <c r="CU139" s="385" t="str">
        <f t="shared" si="171"/>
        <v/>
      </c>
      <c r="CV139" s="385" t="str">
        <f t="shared" si="172"/>
        <v/>
      </c>
      <c r="CW139" s="385" t="str">
        <f t="shared" si="173"/>
        <v/>
      </c>
      <c r="CX139" s="385" t="str">
        <f t="shared" si="174"/>
        <v/>
      </c>
      <c r="CY139" s="385" t="str">
        <f t="shared" si="175"/>
        <v/>
      </c>
      <c r="CZ139" s="385" t="str">
        <f t="shared" si="176"/>
        <v/>
      </c>
      <c r="DA139" s="385" t="str">
        <f t="shared" si="177"/>
        <v/>
      </c>
      <c r="DB139" s="385" t="str">
        <f t="shared" si="178"/>
        <v/>
      </c>
      <c r="DC139" s="385" t="str">
        <f t="shared" si="179"/>
        <v/>
      </c>
      <c r="DD139" s="385" t="str">
        <f t="shared" si="180"/>
        <v/>
      </c>
      <c r="DE139" s="385" t="str">
        <f t="shared" si="181"/>
        <v/>
      </c>
      <c r="DF139" s="385" t="str">
        <f t="shared" si="182"/>
        <v/>
      </c>
      <c r="DG139" s="385" t="str">
        <f t="shared" si="183"/>
        <v/>
      </c>
      <c r="DH139" s="385" t="str">
        <f t="shared" si="184"/>
        <v/>
      </c>
      <c r="DI139" s="385" t="str">
        <f t="shared" si="185"/>
        <v/>
      </c>
    </row>
    <row r="140" spans="1:114" ht="34" x14ac:dyDescent="0.35">
      <c r="A140" s="21" t="s">
        <v>1462</v>
      </c>
      <c r="B140" s="396">
        <f>'Appoggio_BIA Servizio'!$B$5</f>
        <v>0</v>
      </c>
      <c r="C140" s="392" t="s">
        <v>1456</v>
      </c>
      <c r="D140" s="392" t="s">
        <v>1463</v>
      </c>
      <c r="E140" s="393" t="s">
        <v>1464</v>
      </c>
      <c r="F140" s="240" t="s">
        <v>654</v>
      </c>
      <c r="G140" s="240" t="s">
        <v>655</v>
      </c>
      <c r="H140" s="240" t="s">
        <v>655</v>
      </c>
      <c r="I140" s="240"/>
      <c r="J140" s="240"/>
      <c r="K140" s="240"/>
      <c r="L140" s="240"/>
      <c r="M140" s="240"/>
      <c r="N140" s="240"/>
      <c r="O140" s="394"/>
      <c r="P140" s="394"/>
      <c r="Q140" s="240"/>
      <c r="R140" s="394"/>
      <c r="S140" s="394"/>
      <c r="T140" s="394"/>
      <c r="U140" s="394"/>
      <c r="V140" s="394"/>
      <c r="W140" s="394"/>
      <c r="X140" s="394">
        <v>1</v>
      </c>
      <c r="Y140" s="394">
        <v>0.7</v>
      </c>
      <c r="Z140" s="394">
        <v>0.7</v>
      </c>
      <c r="AA140" s="394"/>
      <c r="AB140" s="240"/>
      <c r="AC140" s="394"/>
      <c r="AD140" s="394"/>
      <c r="AE140" s="395"/>
      <c r="AF140" s="395"/>
      <c r="AG140" s="395"/>
      <c r="AH140" s="395"/>
      <c r="AI140" s="395"/>
      <c r="AJ140" s="395"/>
      <c r="AK140" s="395">
        <v>1</v>
      </c>
      <c r="AL140" s="395"/>
      <c r="AM140" s="395"/>
      <c r="AN140" s="395"/>
      <c r="AO140" s="395"/>
      <c r="AP140" s="395"/>
      <c r="AQ140" s="395"/>
      <c r="AR140" s="395"/>
      <c r="AS140" s="395"/>
      <c r="AT140" s="395"/>
      <c r="AU140" s="395"/>
      <c r="AV140" s="395"/>
      <c r="AW140" s="395"/>
      <c r="AX140" s="395"/>
      <c r="AY140" s="395"/>
      <c r="AZ140" s="395"/>
      <c r="BA140" s="395"/>
      <c r="BB140" s="395"/>
      <c r="BC140" s="395"/>
      <c r="BD140" s="395"/>
      <c r="BE140" s="395">
        <v>1</v>
      </c>
      <c r="BF140" s="225">
        <f t="shared" si="140"/>
        <v>0</v>
      </c>
      <c r="BG140" s="226" t="str">
        <f t="shared" si="141"/>
        <v>Non Applicabile</v>
      </c>
      <c r="BH140" s="226" t="s">
        <v>693</v>
      </c>
      <c r="BI140" s="226"/>
      <c r="BJ140" s="229"/>
      <c r="BK140" s="227"/>
      <c r="BL140" s="324" t="s">
        <v>1434</v>
      </c>
      <c r="BM140" s="324" t="s">
        <v>1465</v>
      </c>
      <c r="BN140" s="324" t="s">
        <v>1441</v>
      </c>
      <c r="BO140" s="330"/>
      <c r="BP140" s="385" t="str">
        <f>IF(G140="X",
   IF(BG140="Applicabile",
      IF(BJ140&lt;&gt;"",
         _xlfn.XLOOKUP($BJ140,Parametri_RA!$B:$B,Parametri_RA!$D:$D,0),
         0),
      ""),
   "")</f>
        <v/>
      </c>
      <c r="BQ140" s="385" t="str">
        <f>IF(H140="X",
   IF(BG140="Applicabile",
      IF(BJ140&lt;&gt;"",
         _xlfn.XLOOKUP($BJ140,Parametri_RA!$B:$B,Parametri_RA!$D:$D,0),
         0),
      ""),
   "")</f>
        <v/>
      </c>
      <c r="BR140" s="385" t="str">
        <f t="shared" si="142"/>
        <v/>
      </c>
      <c r="BS140" s="385" t="str">
        <f t="shared" si="143"/>
        <v/>
      </c>
      <c r="BT140" s="385" t="str">
        <f t="shared" si="144"/>
        <v/>
      </c>
      <c r="BU140" s="385" t="str">
        <f t="shared" si="145"/>
        <v/>
      </c>
      <c r="BV140" s="385" t="str">
        <f t="shared" si="146"/>
        <v/>
      </c>
      <c r="BW140" s="385" t="str">
        <f t="shared" si="147"/>
        <v/>
      </c>
      <c r="BX140" s="385" t="str">
        <f t="shared" si="148"/>
        <v/>
      </c>
      <c r="BY140" s="385" t="str">
        <f t="shared" si="149"/>
        <v/>
      </c>
      <c r="BZ140" s="385" t="str">
        <f t="shared" si="150"/>
        <v/>
      </c>
      <c r="CA140" s="385" t="str">
        <f t="shared" si="151"/>
        <v/>
      </c>
      <c r="CB140" s="385" t="str">
        <f t="shared" si="152"/>
        <v/>
      </c>
      <c r="CC140" s="385" t="str">
        <f t="shared" si="153"/>
        <v/>
      </c>
      <c r="CD140" s="385" t="str">
        <f t="shared" si="154"/>
        <v/>
      </c>
      <c r="CE140" s="385" t="str">
        <f t="shared" si="155"/>
        <v/>
      </c>
      <c r="CF140" s="385" t="str">
        <f t="shared" si="156"/>
        <v/>
      </c>
      <c r="CG140" s="385" t="str">
        <f t="shared" si="157"/>
        <v/>
      </c>
      <c r="CH140" s="385" t="str">
        <f t="shared" si="158"/>
        <v/>
      </c>
      <c r="CI140" s="385" t="str">
        <f t="shared" si="159"/>
        <v/>
      </c>
      <c r="CJ140" s="385" t="str">
        <f t="shared" si="160"/>
        <v/>
      </c>
      <c r="CK140" s="385" t="str">
        <f t="shared" si="161"/>
        <v/>
      </c>
      <c r="CL140" s="385" t="str">
        <f t="shared" si="162"/>
        <v/>
      </c>
      <c r="CM140" s="385" t="str">
        <f t="shared" si="163"/>
        <v/>
      </c>
      <c r="CN140" s="385" t="str">
        <f t="shared" si="164"/>
        <v/>
      </c>
      <c r="CO140" s="385" t="str">
        <f t="shared" si="165"/>
        <v/>
      </c>
      <c r="CP140" s="385" t="str">
        <f t="shared" si="166"/>
        <v/>
      </c>
      <c r="CQ140" s="385" t="str">
        <f t="shared" si="167"/>
        <v/>
      </c>
      <c r="CR140" s="385" t="str">
        <f t="shared" si="168"/>
        <v/>
      </c>
      <c r="CS140" s="385" t="str">
        <f t="shared" si="169"/>
        <v/>
      </c>
      <c r="CT140" s="385" t="str">
        <f t="shared" si="170"/>
        <v/>
      </c>
      <c r="CU140" s="385" t="str">
        <f t="shared" si="171"/>
        <v/>
      </c>
      <c r="CV140" s="385" t="str">
        <f t="shared" si="172"/>
        <v/>
      </c>
      <c r="CW140" s="385" t="str">
        <f t="shared" si="173"/>
        <v/>
      </c>
      <c r="CX140" s="385" t="str">
        <f t="shared" si="174"/>
        <v/>
      </c>
      <c r="CY140" s="385" t="str">
        <f t="shared" si="175"/>
        <v/>
      </c>
      <c r="CZ140" s="385" t="str">
        <f t="shared" si="176"/>
        <v/>
      </c>
      <c r="DA140" s="385" t="str">
        <f t="shared" si="177"/>
        <v/>
      </c>
      <c r="DB140" s="385" t="str">
        <f t="shared" si="178"/>
        <v/>
      </c>
      <c r="DC140" s="385" t="str">
        <f t="shared" si="179"/>
        <v/>
      </c>
      <c r="DD140" s="385" t="str">
        <f t="shared" si="180"/>
        <v/>
      </c>
      <c r="DE140" s="385" t="str">
        <f t="shared" si="181"/>
        <v/>
      </c>
      <c r="DF140" s="385" t="str">
        <f t="shared" si="182"/>
        <v/>
      </c>
      <c r="DG140" s="385" t="str">
        <f t="shared" si="183"/>
        <v/>
      </c>
      <c r="DH140" s="385" t="str">
        <f t="shared" si="184"/>
        <v/>
      </c>
      <c r="DI140" s="385" t="str">
        <f t="shared" si="185"/>
        <v/>
      </c>
    </row>
  </sheetData>
  <mergeCells count="6">
    <mergeCell ref="BL4:BN4"/>
    <mergeCell ref="I4:AD4"/>
    <mergeCell ref="G4:H4"/>
    <mergeCell ref="B4:F4"/>
    <mergeCell ref="BG4:BK4"/>
    <mergeCell ref="AE4:BD4"/>
  </mergeCells>
  <phoneticPr fontId="1" type="noConversion"/>
  <conditionalFormatting sqref="BJ6:BK140 BO6:BO140">
    <cfRule type="cellIs" dxfId="168" priority="96" operator="equal">
      <formula>"Non Implementato"</formula>
    </cfRule>
    <cfRule type="cellIs" dxfId="167" priority="97" operator="equal">
      <formula>"Parzialmente Implementato"</formula>
    </cfRule>
    <cfRule type="cellIs" dxfId="166" priority="98" operator="equal">
      <formula>"Implementato"</formula>
    </cfRule>
  </conditionalFormatting>
  <conditionalFormatting sqref="AR66:BE66 AE66:AK67 AM67:AN67 AX67:BE67 AP67:AV67 AR68:AR76 AP68:AP76 AE110:BE140 AE6:BE51 AQ52:BE65 AP52:AP66 AE52:AO65 AE77:BE108">
    <cfRule type="expression" dxfId="165" priority="22">
      <formula>IF(AE$3="No",TRUE,FALSE)</formula>
    </cfRule>
    <cfRule type="expression" dxfId="164" priority="23">
      <formula>IF(AE$3="Sì",TRUE,FALSE)</formula>
    </cfRule>
  </conditionalFormatting>
  <conditionalFormatting sqref="AE68:AO76">
    <cfRule type="expression" dxfId="163" priority="20">
      <formula>IF(AE$3="No",TRUE,FALSE)</formula>
    </cfRule>
    <cfRule type="expression" dxfId="162" priority="21">
      <formula>IF(AE$3="Sì",TRUE,FALSE)</formula>
    </cfRule>
  </conditionalFormatting>
  <conditionalFormatting sqref="AQ68:AQ76">
    <cfRule type="expression" dxfId="161" priority="18">
      <formula>IF(AQ$3="No",TRUE,FALSE)</formula>
    </cfRule>
    <cfRule type="expression" dxfId="160" priority="19">
      <formula>IF(AQ$3="Sì",TRUE,FALSE)</formula>
    </cfRule>
  </conditionalFormatting>
  <conditionalFormatting sqref="AS68:BE76">
    <cfRule type="expression" dxfId="159" priority="16">
      <formula>IF(AS$3="No",TRUE,FALSE)</formula>
    </cfRule>
    <cfRule type="expression" dxfId="158" priority="17">
      <formula>IF(AS$3="Sì",TRUE,FALSE)</formula>
    </cfRule>
  </conditionalFormatting>
  <conditionalFormatting sqref="AL66:AO66">
    <cfRule type="expression" dxfId="157" priority="14">
      <formula>IF(AL$3="No",TRUE,FALSE)</formula>
    </cfRule>
    <cfRule type="expression" dxfId="156" priority="15">
      <formula>IF(AL$3="Sì",TRUE,FALSE)</formula>
    </cfRule>
  </conditionalFormatting>
  <conditionalFormatting sqref="AQ66">
    <cfRule type="expression" dxfId="155" priority="12">
      <formula>IF(AQ$3="No",TRUE,FALSE)</formula>
    </cfRule>
    <cfRule type="expression" dxfId="154" priority="13">
      <formula>IF(AQ$3="Sì",TRUE,FALSE)</formula>
    </cfRule>
  </conditionalFormatting>
  <conditionalFormatting sqref="AO67">
    <cfRule type="expression" dxfId="153" priority="10">
      <formula>IF(AO$3="No",TRUE,FALSE)</formula>
    </cfRule>
    <cfRule type="expression" dxfId="152" priority="11">
      <formula>IF(AO$3="Sì",TRUE,FALSE)</formula>
    </cfRule>
  </conditionalFormatting>
  <conditionalFormatting sqref="AL67">
    <cfRule type="expression" dxfId="151" priority="8">
      <formula>IF(AL$3="No",TRUE,FALSE)</formula>
    </cfRule>
    <cfRule type="expression" dxfId="150" priority="9">
      <formula>IF(AL$3="Sì",TRUE,FALSE)</formula>
    </cfRule>
  </conditionalFormatting>
  <conditionalFormatting sqref="AW67">
    <cfRule type="expression" dxfId="149" priority="6">
      <formula>IF(AW$3="No",TRUE,FALSE)</formula>
    </cfRule>
    <cfRule type="expression" dxfId="148" priority="7">
      <formula>IF(AW$3="Sì",TRUE,FALSE)</formula>
    </cfRule>
  </conditionalFormatting>
  <conditionalFormatting sqref="AE109:BE109">
    <cfRule type="expression" dxfId="147" priority="4">
      <formula>IF(AE$3="No",TRUE,FALSE)</formula>
    </cfRule>
    <cfRule type="expression" dxfId="146" priority="5">
      <formula>IF(AE$3="Sì",TRUE,FALSE)</formula>
    </cfRule>
  </conditionalFormatting>
  <conditionalFormatting sqref="BL6:BN140">
    <cfRule type="cellIs" dxfId="145" priority="1" operator="equal">
      <formula>"Non Implementato"</formula>
    </cfRule>
    <cfRule type="cellIs" dxfId="144" priority="2" operator="equal">
      <formula>"Parzialmente Implementato"</formula>
    </cfRule>
    <cfRule type="cellIs" dxfId="143" priority="3" operator="equal">
      <formula>"Implementato"</formula>
    </cfRule>
  </conditionalFormatting>
  <dataValidations count="1">
    <dataValidation type="list" allowBlank="1" showInputMessage="1" showErrorMessage="1" sqref="BJ6:BJ140" xr:uid="{4549E542-AD9F-446F-ACF1-E39D5BF8AFA0}">
      <formula1>"Implementato, Parzialmente Implementato, Non Implementato"</formula1>
    </dataValidation>
  </dataValidations>
  <pageMargins left="0.7" right="0.7" top="0.75" bottom="0.75" header="0.3" footer="0.3"/>
  <pageSetup paperSize="9" orientation="portrait" r:id="rId1"/>
  <drawing r:id="rId2"/>
  <tableParts count="1">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DBDC9-A9B5-4873-AF7A-53BE04F9EEE7}">
  <sheetPr codeName="Foglio8">
    <tabColor rgb="FFC39BE1"/>
  </sheetPr>
  <dimension ref="A1:BM29"/>
  <sheetViews>
    <sheetView showGridLines="0" zoomScale="61" zoomScaleNormal="60" workbookViewId="0">
      <pane xSplit="5" ySplit="7" topLeftCell="AB8" activePane="bottomRight" state="frozen"/>
      <selection pane="topRight" activeCell="B1" sqref="B1"/>
      <selection pane="bottomLeft" activeCell="A7" sqref="A7"/>
      <selection pane="bottomRight" activeCell="L8" sqref="L8"/>
    </sheetView>
  </sheetViews>
  <sheetFormatPr defaultColWidth="0" defaultRowHeight="17" x14ac:dyDescent="0.5"/>
  <cols>
    <col min="1" max="1" width="5.54296875" style="1" customWidth="1"/>
    <col min="2" max="2" width="17.36328125" style="1" customWidth="1"/>
    <col min="3" max="4" width="19.6328125" style="251" customWidth="1"/>
    <col min="5" max="5" width="30.54296875" style="34" customWidth="1"/>
    <col min="6" max="6" width="75.453125" style="3" customWidth="1"/>
    <col min="7" max="7" width="16.453125" style="3" customWidth="1"/>
    <col min="8" max="8" width="17.453125" style="3" customWidth="1"/>
    <col min="9" max="9" width="30" style="3" customWidth="1"/>
    <col min="10" max="10" width="36.453125" style="346" customWidth="1"/>
    <col min="11" max="11" width="109.54296875" style="1" customWidth="1"/>
    <col min="12" max="12" width="35.6328125" style="346" customWidth="1"/>
    <col min="13" max="13" width="58.6328125" style="346" bestFit="1" customWidth="1"/>
    <col min="14" max="14" width="11.36328125" style="31" bestFit="1" customWidth="1"/>
    <col min="15" max="15" width="10.36328125" style="31" bestFit="1" customWidth="1"/>
    <col min="16" max="16" width="11.36328125" style="31" bestFit="1" customWidth="1"/>
    <col min="17" max="17" width="22.54296875" style="31" customWidth="1"/>
    <col min="18" max="18" width="22" style="31" customWidth="1"/>
    <col min="19" max="21" width="18.36328125" style="31" customWidth="1"/>
    <col min="22" max="22" width="21" style="31" customWidth="1"/>
    <col min="23" max="23" width="25.453125" style="65" customWidth="1"/>
    <col min="24" max="24" width="24.453125" style="65" customWidth="1"/>
    <col min="25" max="25" width="25.453125" style="65" customWidth="1"/>
    <col min="26" max="26" width="29.54296875" style="65" customWidth="1"/>
    <col min="27" max="27" width="22.54296875" style="346" customWidth="1"/>
    <col min="28" max="28" width="31.54296875" style="31" customWidth="1"/>
    <col min="29" max="29" width="32.6328125" style="31" customWidth="1"/>
    <col min="30" max="30" width="35.6328125" style="346" customWidth="1"/>
    <col min="31" max="31" width="32.36328125" style="31" customWidth="1"/>
    <col min="32" max="32" width="33.453125" style="31" customWidth="1"/>
    <col min="33" max="33" width="31.54296875" style="346" customWidth="1"/>
    <col min="34" max="34" width="26.36328125" style="346" customWidth="1"/>
    <col min="35" max="35" width="31" style="31" customWidth="1"/>
    <col min="36" max="36" width="23.36328125" style="346" customWidth="1"/>
    <col min="37" max="37" width="27.6328125" style="31" customWidth="1"/>
    <col min="38" max="38" width="22.6328125" style="346" customWidth="1"/>
    <col min="39" max="39" width="8.6328125" style="1" customWidth="1"/>
    <col min="40" max="65" width="0" style="1" hidden="1" customWidth="1"/>
    <col min="66" max="16384" width="8.6328125" style="1" hidden="1"/>
  </cols>
  <sheetData>
    <row r="1" spans="2:65" ht="27" customHeight="1" x14ac:dyDescent="0.5">
      <c r="F1" s="27"/>
      <c r="G1" s="27"/>
      <c r="H1" s="27"/>
      <c r="I1" s="27"/>
      <c r="N1" s="29"/>
      <c r="O1" s="29"/>
      <c r="P1" s="29"/>
      <c r="Q1" s="29"/>
      <c r="R1" s="29"/>
      <c r="S1" s="29"/>
      <c r="T1" s="29"/>
      <c r="U1" s="29"/>
      <c r="V1" s="29"/>
      <c r="W1" s="367"/>
      <c r="X1" s="367"/>
      <c r="Y1" s="367"/>
      <c r="Z1" s="367"/>
      <c r="AA1" s="366"/>
      <c r="AB1" s="29"/>
      <c r="AC1" s="29"/>
      <c r="AD1" s="366"/>
      <c r="AE1" s="29"/>
      <c r="AF1" s="29"/>
      <c r="AG1" s="366"/>
      <c r="AH1" s="366"/>
      <c r="AI1" s="29"/>
      <c r="AJ1" s="366"/>
      <c r="AK1" s="29"/>
      <c r="AL1" s="366"/>
      <c r="AM1" s="30"/>
      <c r="AN1" s="30"/>
      <c r="AO1" s="30"/>
      <c r="AP1" s="30"/>
      <c r="AQ1" s="30"/>
      <c r="AR1" s="30"/>
      <c r="AS1" s="30"/>
      <c r="AT1" s="30"/>
      <c r="AU1" s="30"/>
      <c r="AV1" s="30"/>
      <c r="AW1" s="30"/>
      <c r="AX1" s="30"/>
      <c r="AY1" s="30"/>
      <c r="AZ1" s="30"/>
      <c r="BA1" s="30"/>
      <c r="BB1" s="30"/>
      <c r="BC1" s="31"/>
      <c r="BD1" s="31"/>
      <c r="BE1" s="31"/>
      <c r="BF1" s="31"/>
      <c r="BG1" s="31"/>
      <c r="BH1" s="31"/>
      <c r="BI1" s="31"/>
      <c r="BJ1" s="31"/>
      <c r="BK1" s="31"/>
      <c r="BL1" s="31"/>
      <c r="BM1" s="31"/>
    </row>
    <row r="2" spans="2:65" s="32" customFormat="1" ht="25.5" x14ac:dyDescent="0.5">
      <c r="C2" s="33"/>
      <c r="D2" s="33"/>
      <c r="E2" s="343"/>
      <c r="F2" s="466"/>
      <c r="G2" s="466"/>
      <c r="H2" s="466"/>
      <c r="I2" s="466"/>
      <c r="J2" s="466"/>
      <c r="K2" s="466"/>
      <c r="L2" s="466"/>
      <c r="M2" s="466"/>
      <c r="N2" s="466"/>
      <c r="O2" s="344"/>
      <c r="P2" s="344"/>
      <c r="Q2" s="344"/>
      <c r="R2" s="344"/>
      <c r="S2" s="344"/>
      <c r="T2" s="344"/>
      <c r="U2" s="344"/>
      <c r="V2" s="344"/>
      <c r="W2" s="369"/>
      <c r="X2" s="369"/>
      <c r="Y2" s="369"/>
      <c r="Z2" s="369"/>
      <c r="AA2" s="368"/>
      <c r="AB2" s="344"/>
      <c r="AC2" s="344"/>
      <c r="AD2" s="368"/>
      <c r="AE2" s="344"/>
      <c r="AF2" s="344"/>
      <c r="AG2" s="368"/>
      <c r="AH2" s="368"/>
      <c r="AI2" s="344"/>
      <c r="AJ2" s="368"/>
      <c r="AK2" s="344"/>
      <c r="AL2" s="368"/>
    </row>
    <row r="3" spans="2:65" s="32" customFormat="1" ht="24" customHeight="1" x14ac:dyDescent="0.5">
      <c r="B3" s="184" t="s">
        <v>1466</v>
      </c>
      <c r="C3" s="341"/>
      <c r="D3" s="341"/>
      <c r="E3" s="184"/>
      <c r="F3" s="184"/>
      <c r="G3" s="184"/>
      <c r="H3" s="184"/>
      <c r="I3" s="184"/>
      <c r="J3" s="323"/>
      <c r="K3" s="184"/>
      <c r="L3" s="323"/>
      <c r="M3" s="323"/>
      <c r="N3" s="323"/>
      <c r="O3" s="323"/>
      <c r="P3" s="323"/>
      <c r="Q3" s="373"/>
      <c r="R3" s="373"/>
      <c r="S3" s="373"/>
      <c r="T3" s="373"/>
      <c r="U3" s="373"/>
      <c r="V3" s="373"/>
      <c r="W3" s="372"/>
      <c r="X3" s="372"/>
      <c r="Y3" s="372"/>
      <c r="Z3" s="372"/>
      <c r="AA3" s="372"/>
      <c r="AB3" s="373"/>
      <c r="AC3" s="373"/>
      <c r="AD3" s="372"/>
      <c r="AE3" s="373"/>
      <c r="AF3" s="373"/>
      <c r="AG3" s="372"/>
      <c r="AH3" s="372"/>
      <c r="AI3" s="373"/>
      <c r="AJ3" s="372"/>
      <c r="AK3" s="373"/>
      <c r="AL3" s="372"/>
      <c r="AM3" s="1"/>
      <c r="AN3" s="1"/>
      <c r="AO3" s="1"/>
      <c r="AP3" s="1"/>
      <c r="AQ3" s="1"/>
      <c r="AR3" s="1"/>
      <c r="AS3" s="1"/>
      <c r="AT3" s="1"/>
      <c r="AU3" s="1"/>
      <c r="AV3" s="1"/>
      <c r="AW3" s="1"/>
      <c r="AX3" s="1"/>
      <c r="AY3" s="1"/>
      <c r="AZ3" s="1"/>
      <c r="BA3" s="1"/>
      <c r="BB3" s="1"/>
      <c r="BC3" s="1"/>
    </row>
    <row r="4" spans="2:65" x14ac:dyDescent="0.5">
      <c r="B4" s="471" t="s">
        <v>1467</v>
      </c>
      <c r="C4" s="471"/>
      <c r="D4" s="471"/>
      <c r="E4" s="471"/>
      <c r="F4" s="471"/>
      <c r="G4" s="471"/>
      <c r="H4" s="471"/>
      <c r="I4" s="471"/>
      <c r="J4" s="471"/>
      <c r="K4" s="471"/>
      <c r="L4" s="471"/>
      <c r="M4" s="471"/>
      <c r="N4" s="471"/>
      <c r="O4" s="29"/>
      <c r="P4" s="29"/>
      <c r="Q4" s="29"/>
      <c r="R4" s="29"/>
      <c r="S4" s="29"/>
      <c r="T4" s="29"/>
      <c r="U4" s="29"/>
      <c r="V4" s="29"/>
      <c r="W4" s="367"/>
      <c r="X4" s="367"/>
      <c r="Y4" s="367"/>
      <c r="Z4" s="367"/>
      <c r="AA4" s="366"/>
      <c r="AB4" s="29"/>
      <c r="AC4" s="29"/>
      <c r="AD4" s="366"/>
      <c r="AE4" s="29"/>
      <c r="AF4" s="29"/>
      <c r="AG4" s="366"/>
      <c r="AH4" s="366"/>
      <c r="AI4" s="29"/>
      <c r="AJ4" s="366"/>
      <c r="AK4" s="29"/>
      <c r="AL4" s="366"/>
      <c r="BD4" s="31"/>
      <c r="BE4" s="31"/>
      <c r="BF4" s="31"/>
      <c r="BG4" s="31"/>
      <c r="BH4" s="31"/>
      <c r="BI4" s="31"/>
      <c r="BJ4" s="31"/>
      <c r="BK4" s="31"/>
      <c r="BL4" s="31"/>
      <c r="BM4" s="31"/>
    </row>
    <row r="6" spans="2:65" x14ac:dyDescent="0.5">
      <c r="B6" s="469" t="s">
        <v>1468</v>
      </c>
      <c r="C6" s="469"/>
      <c r="D6" s="469"/>
      <c r="E6" s="469"/>
      <c r="F6" s="469"/>
      <c r="G6" s="469"/>
      <c r="H6" s="469"/>
      <c r="I6" s="469"/>
      <c r="J6" s="469"/>
      <c r="K6" s="469"/>
      <c r="L6" s="469"/>
      <c r="M6" s="469"/>
      <c r="N6" s="469"/>
      <c r="O6" s="469"/>
      <c r="P6" s="470"/>
      <c r="Q6" s="467" t="s">
        <v>1469</v>
      </c>
      <c r="R6" s="467"/>
      <c r="S6" s="467"/>
      <c r="T6" s="467"/>
      <c r="U6" s="467"/>
      <c r="V6" s="467"/>
      <c r="W6" s="467"/>
      <c r="X6" s="467"/>
      <c r="Y6" s="467"/>
      <c r="Z6" s="467"/>
      <c r="AA6" s="467"/>
      <c r="AB6" s="468" t="s">
        <v>1470</v>
      </c>
      <c r="AC6" s="468"/>
      <c r="AD6" s="468"/>
      <c r="AE6" s="468"/>
      <c r="AF6" s="468"/>
      <c r="AG6" s="468"/>
      <c r="AH6" s="468"/>
      <c r="AI6" s="468"/>
      <c r="AJ6" s="468"/>
      <c r="AK6" s="468"/>
      <c r="AL6" s="468"/>
    </row>
    <row r="7" spans="2:65" s="34" customFormat="1" ht="52.5" customHeight="1" x14ac:dyDescent="0.35">
      <c r="B7" s="287" t="s">
        <v>116</v>
      </c>
      <c r="C7" s="337" t="s">
        <v>1471</v>
      </c>
      <c r="D7" s="337" t="s">
        <v>1472</v>
      </c>
      <c r="E7" s="288" t="s">
        <v>1473</v>
      </c>
      <c r="F7" s="289" t="s">
        <v>1474</v>
      </c>
      <c r="G7" s="289" t="s">
        <v>1475</v>
      </c>
      <c r="H7" s="289" t="s">
        <v>1476</v>
      </c>
      <c r="I7" s="289" t="s">
        <v>1477</v>
      </c>
      <c r="J7" s="289" t="s">
        <v>1478</v>
      </c>
      <c r="K7" s="288" t="s">
        <v>1479</v>
      </c>
      <c r="L7" s="288" t="s">
        <v>1480</v>
      </c>
      <c r="M7" s="288" t="s">
        <v>1481</v>
      </c>
      <c r="N7" s="288" t="s">
        <v>1482</v>
      </c>
      <c r="O7" s="288" t="s">
        <v>1483</v>
      </c>
      <c r="P7" s="288" t="s">
        <v>1484</v>
      </c>
      <c r="Q7" s="374" t="s">
        <v>1485</v>
      </c>
      <c r="R7" s="374" t="s">
        <v>1486</v>
      </c>
      <c r="S7" s="374" t="s">
        <v>1487</v>
      </c>
      <c r="T7" s="374" t="s">
        <v>1488</v>
      </c>
      <c r="U7" s="374" t="s">
        <v>1489</v>
      </c>
      <c r="V7" s="374" t="s">
        <v>1490</v>
      </c>
      <c r="W7" s="290" t="s">
        <v>1491</v>
      </c>
      <c r="X7" s="290" t="s">
        <v>1492</v>
      </c>
      <c r="Y7" s="290" t="s">
        <v>1493</v>
      </c>
      <c r="Z7" s="290" t="s">
        <v>1494</v>
      </c>
      <c r="AA7" s="290" t="s">
        <v>1495</v>
      </c>
      <c r="AB7" s="375" t="s">
        <v>1496</v>
      </c>
      <c r="AC7" s="375" t="s">
        <v>1497</v>
      </c>
      <c r="AD7" s="291" t="s">
        <v>1498</v>
      </c>
      <c r="AE7" s="375" t="s">
        <v>1499</v>
      </c>
      <c r="AF7" s="375" t="s">
        <v>1500</v>
      </c>
      <c r="AG7" s="291" t="s">
        <v>1501</v>
      </c>
      <c r="AH7" s="291" t="s">
        <v>1502</v>
      </c>
      <c r="AI7" s="375" t="s">
        <v>1503</v>
      </c>
      <c r="AJ7" s="291" t="s">
        <v>1504</v>
      </c>
      <c r="AK7" s="375" t="s">
        <v>1505</v>
      </c>
      <c r="AL7" s="292" t="s">
        <v>1506</v>
      </c>
    </row>
    <row r="8" spans="2:65" s="35" customFormat="1" ht="170" x14ac:dyDescent="0.35">
      <c r="B8" s="293">
        <f>'Appoggio_BIA Servizio'!$B$5</f>
        <v>0</v>
      </c>
      <c r="C8" s="342" t="s">
        <v>1507</v>
      </c>
      <c r="D8" s="342" t="s">
        <v>1508</v>
      </c>
      <c r="E8" s="340" t="s">
        <v>620</v>
      </c>
      <c r="F8" s="336" t="s">
        <v>1509</v>
      </c>
      <c r="G8" s="331" t="s">
        <v>1510</v>
      </c>
      <c r="H8" s="331" t="s">
        <v>1511</v>
      </c>
      <c r="I8" s="347" t="s">
        <v>1512</v>
      </c>
      <c r="J8" s="339" t="s">
        <v>1513</v>
      </c>
      <c r="K8" s="347" t="s">
        <v>1514</v>
      </c>
      <c r="L8" s="339" t="str">
        <f>INDEX(Parametri_RA!B$8:B$12,MATCH('Risk Register'!R8,Parametri_RA!C$8:C$12,0))</f>
        <v>Probabile</v>
      </c>
      <c r="M8" s="349" t="s">
        <v>1515</v>
      </c>
      <c r="N8" s="338" t="s">
        <v>655</v>
      </c>
      <c r="O8" s="338" t="s">
        <v>655</v>
      </c>
      <c r="P8" s="338" t="s">
        <v>655</v>
      </c>
      <c r="Q8" s="338">
        <f>IFERROR(INDEX(Parametri_RA!$B$40:$B$44,MATCH('Risk Register'!J8,Parametri_RA!$C$40:$C$44,0)),"")</f>
        <v>5</v>
      </c>
      <c r="R8" s="338">
        <f>IF(AND('Engagement Scope'!E$24="No",'Engagement Scope'!E$13="No",'Engagement Scope'!E$20="No",'Engagement Scope'!E$18="No"),1,IF(OR(AND('Engagement Scope'!E$24="No",'Engagement Scope'!E$18="No"),AND('Engagement Scope'!E$24="No",'Engagement Scope'!E$13="No")),MAX(1,Q8-3),IF('Engagement Scope'!E$24="No",MAX(1,Q8-2),Q8)))</f>
        <v>5</v>
      </c>
      <c r="S8" s="363">
        <f>IFERROR(IF('Risk Register'!N8="X",MAX('Impatto RI'!S:S),""),"")</f>
        <v>0</v>
      </c>
      <c r="T8" s="363">
        <f>IFERROR(IF('Risk Register'!O8="X",MAX('Impatto RI'!X:X),""),"")</f>
        <v>0</v>
      </c>
      <c r="U8" s="363" t="str">
        <f>IFERROR(IF(P8="X",INDEX(Parametri_BIA!$F$6:$F$10,MATCH('BIA Servizio'!$N$11,Parametri_BIA!$E$6:$E$10,0)),""),"")</f>
        <v/>
      </c>
      <c r="V8" s="363">
        <f>IFERROR(MAX(S8:U8),"")</f>
        <v>0</v>
      </c>
      <c r="W8" s="339" t="str">
        <f>IFERROR(INDEX(Parametri_RA!$C:$C,MATCH('Risk Register'!S8,Parametri_RA!$B:$B,0)),"")</f>
        <v/>
      </c>
      <c r="X8" s="339" t="str">
        <f>IFERROR(INDEX(Parametri_RA!$C:$C,MATCH('Risk Register'!T8,Parametri_RA!$B:$B,0)),"")</f>
        <v/>
      </c>
      <c r="Y8" s="339" t="str">
        <f>IFERROR(INDEX(Parametri_RA!$C:$C,MATCH('Risk Register'!U8,Parametri_RA!$B:$B,0)),"")</f>
        <v/>
      </c>
      <c r="Z8" s="339" t="str">
        <f>IFERROR(INDEX(Parametri_RA!$C:$C,MATCH('Risk Register'!V8,Parametri_RA!$B:$B,0)),"")</f>
        <v/>
      </c>
      <c r="AA8" s="339" t="str">
        <f>IFERROR(INDEX(Parametri_RA!B$55:H$61,MATCH('Risk Register'!V8,Parametri_RA!B$55:B$61,0),MATCH('Risk Register'!R8,Parametri_RA!B$61:H$61,0)),"")</f>
        <v/>
      </c>
      <c r="AB8" s="364" t="str">
        <f ca="1">IFERROR(SUM(OFFSET('Valutazione controlli'!BR:BR,0,ROW()-8))/SUMIFS(OFFSET('Valutazione controlli'!I:I,0,ROW()-8),'Valutazione controlli'!BG:BG,"Applicabile",'Valutazione controlli'!G:G,"X"),"")</f>
        <v/>
      </c>
      <c r="AC8" s="365">
        <f ca="1">IFERROR(IF(AND(AB8&lt;=Parametri_RA!F$47,AB8&gt;Parametri_RA!F$48),Parametri_RA!F$46,IF(AND(AB8&lt;=Parametri_RA!E$47,AB8&gt;Parametri_RA!E$48),Parametri_RA!E$46,Parametri_RA!D$46)),"")</f>
        <v>0</v>
      </c>
      <c r="AD8" s="370" t="str">
        <f ca="1">INDEX(Parametri_RA!B:B,MATCH('Risk Register'!AC8,Parametri_RA!D:D,0))</f>
        <v>Non Implementato</v>
      </c>
      <c r="AE8" s="364" t="str">
        <f ca="1">IFERROR(SUM(OFFSET('Valutazione controlli'!CN:CN,0,ROW()-8))/SUMIFS(OFFSET('Valutazione controlli'!I:I,0,ROW()-8),'Valutazione controlli'!BG:BG,"Applicabile",'Valutazione controlli'!H:H,"X"),"")</f>
        <v/>
      </c>
      <c r="AF8" s="365">
        <f ca="1">IFERROR(IF(AND(AE8&lt;=Parametri_RA!F$32,AE8&gt;Parametri_RA!F$33),Parametri_RA!F$31,IF(AND(AE8&lt;=Parametri_RA!E$32,AE8&gt;Parametri_RA!E$33),Parametri_RA!E$31,Parametri_RA!D$31)),"")</f>
        <v>0</v>
      </c>
      <c r="AG8" s="370" t="str">
        <f ca="1">INDEX(Parametri_RA!B:B,MATCH('Risk Register'!AF8,Parametri_RA!D:D,0))</f>
        <v>Non Implementato</v>
      </c>
      <c r="AH8" s="339" t="str">
        <f ca="1">IFERROR(INDEX(Parametri_RA!B$40:F$46,MATCH('Risk Register'!R8,Parametri_RA!B$40:B$46,0),MATCH('Risk Register'!AC8,Parametri_RA!B$46:F$46,0)),"")</f>
        <v>Probabile</v>
      </c>
      <c r="AI8" s="338">
        <f ca="1">IFERROR(INDEX(Parametri_RA!$B$40:$B$44,MATCH('Risk Register'!AH8,Parametri_RA!$C$40:$C$44,0)),"")</f>
        <v>5</v>
      </c>
      <c r="AJ8" s="339" t="str">
        <f ca="1">IFERROR(INDEX(Parametri_RA!B$25:F$31,MATCH('Risk Register'!V8,Parametri_RA!B$25:B$31,0),MATCH('Risk Register'!AF8,Parametri_RA!B$31:F$31,0)),"")</f>
        <v/>
      </c>
      <c r="AK8" s="338" t="str">
        <f ca="1">IFERROR(INDEX(Parametri_RA!B:B,MATCH('Risk Register'!AJ8,Parametri_RA!C:C,0)),"")</f>
        <v/>
      </c>
      <c r="AL8" s="371" t="str">
        <f ca="1">IFERROR(INDEX(Parametri_RA!B$55:H$61,MATCH('Risk Register'!AK8,Parametri_RA!B$55:B$61,0),MATCH('Risk Register'!AI8,Parametri_RA!B$61:H$61,0)),"")</f>
        <v/>
      </c>
    </row>
    <row r="9" spans="2:65" s="35" customFormat="1" ht="129" customHeight="1" x14ac:dyDescent="0.35">
      <c r="B9" s="293">
        <f>'Appoggio_BIA Servizio'!$B$5</f>
        <v>0</v>
      </c>
      <c r="C9" s="342" t="s">
        <v>1507</v>
      </c>
      <c r="D9" s="342" t="s">
        <v>1508</v>
      </c>
      <c r="E9" s="340" t="s">
        <v>621</v>
      </c>
      <c r="F9" s="336" t="s">
        <v>1516</v>
      </c>
      <c r="G9" s="331" t="s">
        <v>1510</v>
      </c>
      <c r="H9" s="331" t="s">
        <v>1511</v>
      </c>
      <c r="I9" s="347" t="s">
        <v>1512</v>
      </c>
      <c r="J9" s="339" t="s">
        <v>1517</v>
      </c>
      <c r="K9" s="347" t="s">
        <v>1518</v>
      </c>
      <c r="L9" s="339" t="str">
        <f>INDEX(Parametri_RA!B$8:B$12,MATCH('Risk Register'!R9,Parametri_RA!C$8:C$12,0))</f>
        <v>Possibile</v>
      </c>
      <c r="M9" s="348" t="s">
        <v>1519</v>
      </c>
      <c r="N9" s="338" t="s">
        <v>655</v>
      </c>
      <c r="O9" s="338" t="s">
        <v>655</v>
      </c>
      <c r="P9" s="338" t="s">
        <v>655</v>
      </c>
      <c r="Q9" s="338">
        <f>IFERROR(INDEX(Parametri_RA!$B$40:$B$44,MATCH('Risk Register'!J9,Parametri_RA!$C$40:$C$44,0)),"")</f>
        <v>4</v>
      </c>
      <c r="R9" s="338">
        <f>IF(AND('Engagement Scope'!E$24="No",'Engagement Scope'!E$13="No",'Engagement Scope'!E$20="No",'Engagement Scope'!E$18="No"),1,IF(OR(AND('Engagement Scope'!E$24="No",'Engagement Scope'!E$18="No"),AND('Engagement Scope'!E$24="No",'Engagement Scope'!E$13="No")),MAX(1,Q9-3),IF('Engagement Scope'!E$24="No",MAX(1,Q9-2),Q9)))</f>
        <v>4</v>
      </c>
      <c r="S9" s="363">
        <f>IFERROR(IF('Risk Register'!N9="X",MAX('Impatto RI'!S:S),""),"")</f>
        <v>0</v>
      </c>
      <c r="T9" s="363">
        <f>IFERROR(IF('Risk Register'!O9="X",MAX('Impatto RI'!X:X),""),"")</f>
        <v>0</v>
      </c>
      <c r="U9" s="363" t="str">
        <f>IFERROR(IF(P9="X",INDEX(Parametri_BIA!$F$6:$F$10,MATCH('BIA Servizio'!$N$11,Parametri_BIA!$E$6:$E$10,0)),""),"")</f>
        <v/>
      </c>
      <c r="V9" s="363">
        <f t="shared" ref="V9:V16" si="0">IFERROR(MAX(S9:U9),"")</f>
        <v>0</v>
      </c>
      <c r="W9" s="339" t="str">
        <f>IFERROR(INDEX(Parametri_RA!$C:$C,MATCH('Risk Register'!S9,Parametri_RA!$B:$B,0)),"")</f>
        <v/>
      </c>
      <c r="X9" s="339" t="str">
        <f>IFERROR(INDEX(Parametri_RA!$C:$C,MATCH('Risk Register'!T9,Parametri_RA!$B:$B,0)),"")</f>
        <v/>
      </c>
      <c r="Y9" s="339" t="str">
        <f>IFERROR(INDEX(Parametri_RA!$C:$C,MATCH('Risk Register'!U9,Parametri_RA!$B:$B,0)),"")</f>
        <v/>
      </c>
      <c r="Z9" s="339" t="str">
        <f>IFERROR(INDEX(Parametri_RA!$C:$C,MATCH('Risk Register'!V9,Parametri_RA!$B:$B,0)),"")</f>
        <v/>
      </c>
      <c r="AA9" s="339" t="str">
        <f>IFERROR(INDEX(Parametri_RA!B$55:H$61,MATCH('Risk Register'!V9,Parametri_RA!B$55:B$61,0),MATCH('Risk Register'!R9,Parametri_RA!B$61:H$61,0)),"")</f>
        <v/>
      </c>
      <c r="AB9" s="364" t="str">
        <f ca="1">IFERROR(SUM(OFFSET('Valutazione controlli'!BR:BR,0,ROW()-8))/SUMIFS(OFFSET('Valutazione controlli'!I:I,0,ROW()-8),'Valutazione controlli'!BG:BG,"Applicabile",'Valutazione controlli'!G:G,"X"),"")</f>
        <v/>
      </c>
      <c r="AC9" s="365">
        <f ca="1">IFERROR(IF(AND(AB9&lt;=Parametri_RA!F$47,AB9&gt;Parametri_RA!F$48),Parametri_RA!F$46,IF(AND(AB9&lt;=Parametri_RA!E$47,AB9&gt;Parametri_RA!E$48),Parametri_RA!E$46,Parametri_RA!D$46)),"")</f>
        <v>0</v>
      </c>
      <c r="AD9" s="370" t="str">
        <f ca="1">INDEX(Parametri_RA!B:B,MATCH('Risk Register'!AC9,Parametri_RA!D:D,0))</f>
        <v>Non Implementato</v>
      </c>
      <c r="AE9" s="364" t="str">
        <f ca="1">IFERROR(SUM(OFFSET('Valutazione controlli'!CN:CN,0,ROW()-8))/SUMIFS(OFFSET('Valutazione controlli'!I:I,0,ROW()-8),'Valutazione controlli'!BG:BG,"Applicabile",'Valutazione controlli'!H:H,"X"),"")</f>
        <v/>
      </c>
      <c r="AF9" s="365">
        <f ca="1">IFERROR(IF(AND(AE9&lt;=Parametri_RA!F$32,AE9&gt;Parametri_RA!F$33),Parametri_RA!F$31,IF(AND(AE9&lt;=Parametri_RA!E$32,AE9&gt;Parametri_RA!E$33),Parametri_RA!E$31,Parametri_RA!D$31)),"")</f>
        <v>0</v>
      </c>
      <c r="AG9" s="370" t="str">
        <f ca="1">INDEX(Parametri_RA!B:B,MATCH('Risk Register'!AF9,Parametri_RA!D:D,0))</f>
        <v>Non Implementato</v>
      </c>
      <c r="AH9" s="339" t="str">
        <f ca="1">IFERROR(INDEX(Parametri_RA!B$40:F$46,MATCH('Risk Register'!R9,Parametri_RA!B$40:B$46,0),MATCH('Risk Register'!AC9,Parametri_RA!B$46:F$46,0)),"")</f>
        <v>Possibile</v>
      </c>
      <c r="AI9" s="338">
        <f ca="1">IFERROR(INDEX(Parametri_RA!$B$40:$B$44,MATCH('Risk Register'!AH9,Parametri_RA!$C$40:$C$44,0)),"")</f>
        <v>4</v>
      </c>
      <c r="AJ9" s="339" t="str">
        <f ca="1">IFERROR(INDEX(Parametri_RA!B$25:F$31,MATCH('Risk Register'!V9,Parametri_RA!B$25:B$31,0),MATCH('Risk Register'!AF9,Parametri_RA!B$31:F$31,0)),"")</f>
        <v/>
      </c>
      <c r="AK9" s="338" t="str">
        <f ca="1">IFERROR(INDEX(Parametri_RA!B:B,MATCH('Risk Register'!AJ9,Parametri_RA!C:C,0)),"")</f>
        <v/>
      </c>
      <c r="AL9" s="371" t="str">
        <f ca="1">IFERROR(INDEX(Parametri_RA!B$55:H$61,MATCH('Risk Register'!AK9,Parametri_RA!B$55:B$61,0),MATCH('Risk Register'!AI9,Parametri_RA!B$61:H$61,0)),"")</f>
        <v/>
      </c>
    </row>
    <row r="10" spans="2:65" s="35" customFormat="1" ht="187" x14ac:dyDescent="0.35">
      <c r="B10" s="293">
        <f>'Appoggio_BIA Servizio'!$B$5</f>
        <v>0</v>
      </c>
      <c r="C10" s="342" t="s">
        <v>1507</v>
      </c>
      <c r="D10" s="342" t="s">
        <v>1508</v>
      </c>
      <c r="E10" s="340" t="s">
        <v>622</v>
      </c>
      <c r="F10" s="336" t="s">
        <v>1520</v>
      </c>
      <c r="G10" s="331" t="s">
        <v>1510</v>
      </c>
      <c r="H10" s="331" t="s">
        <v>1511</v>
      </c>
      <c r="I10" s="347" t="s">
        <v>1512</v>
      </c>
      <c r="J10" s="339" t="s">
        <v>1521</v>
      </c>
      <c r="K10" s="347" t="s">
        <v>1522</v>
      </c>
      <c r="L10" s="339" t="str">
        <f>INDEX(Parametri_RA!B$8:B$12,MATCH('Risk Register'!R10,Parametri_RA!C$8:C$12,0))</f>
        <v>Raro</v>
      </c>
      <c r="M10" s="348" t="s">
        <v>1523</v>
      </c>
      <c r="N10" s="338" t="s">
        <v>655</v>
      </c>
      <c r="O10" s="338" t="s">
        <v>655</v>
      </c>
      <c r="P10" s="338" t="s">
        <v>655</v>
      </c>
      <c r="Q10" s="338">
        <f>IFERROR(INDEX(Parametri_RA!$B$40:$B$44,MATCH('Risk Register'!J10,Parametri_RA!$C$40:$C$44,0)),"")</f>
        <v>3</v>
      </c>
      <c r="R10" s="338">
        <f>IF(OR(MAX(Fornitori!X$6:X$100)&gt;=3,MAX(Fornitori!Y$6:Y$100)&gt;=3,MAX(Fornitori!AB$6:AB$100)&gt;=3),Q10,IF(OR(MAX(Fornitori!X$6:X$100)=2,MAX(Fornitori!Y$6:Y$100)=2),MAX(1,Q10-1),1))</f>
        <v>1</v>
      </c>
      <c r="S10" s="363">
        <f>IFERROR(IF('Risk Register'!N10="X",MAX('Impatto RI'!S:S),""),"")</f>
        <v>0</v>
      </c>
      <c r="T10" s="363">
        <f>IFERROR(IF('Risk Register'!O10="X",MAX('Impatto RI'!X:X),""),"")</f>
        <v>0</v>
      </c>
      <c r="U10" s="363" t="str">
        <f>IFERROR(IF(P10="X",INDEX(Parametri_BIA!$F$6:$F$10,MATCH('BIA Servizio'!$N$11,Parametri_BIA!$E$6:$E$10,0)),""),"")</f>
        <v/>
      </c>
      <c r="V10" s="363">
        <f t="shared" ref="V10" si="1">IFERROR(MAX(S10:U10),"")</f>
        <v>0</v>
      </c>
      <c r="W10" s="339" t="str">
        <f>IFERROR(INDEX(Parametri_RA!$C:$C,MATCH('Risk Register'!S10,Parametri_RA!$B:$B,0)),"")</f>
        <v/>
      </c>
      <c r="X10" s="339" t="str">
        <f>IFERROR(INDEX(Parametri_RA!$C:$C,MATCH('Risk Register'!T10,Parametri_RA!$B:$B,0)),"")</f>
        <v/>
      </c>
      <c r="Y10" s="339" t="str">
        <f>IFERROR(INDEX(Parametri_RA!$C:$C,MATCH('Risk Register'!U10,Parametri_RA!$B:$B,0)),"")</f>
        <v/>
      </c>
      <c r="Z10" s="339" t="str">
        <f>IFERROR(INDEX(Parametri_RA!$C:$C,MATCH('Risk Register'!V10,Parametri_RA!$B:$B,0)),"")</f>
        <v/>
      </c>
      <c r="AA10" s="339" t="str">
        <f>IFERROR(INDEX(Parametri_RA!B$55:H$61,MATCH('Risk Register'!V10,Parametri_RA!B$55:B$61,0),MATCH('Risk Register'!R10,Parametri_RA!B$61:H$61,0)),"")</f>
        <v/>
      </c>
      <c r="AB10" s="364" t="str">
        <f ca="1">IFERROR(SUM(OFFSET('Valutazione controlli'!BR:BR,0,ROW()-8))/SUMIFS(OFFSET('Valutazione controlli'!I:I,0,ROW()-8),'Valutazione controlli'!BG:BG,"Applicabile",'Valutazione controlli'!G:G,"X"),"")</f>
        <v/>
      </c>
      <c r="AC10" s="365">
        <f ca="1">IFERROR(IF(AND(AB10&lt;=Parametri_RA!F$47,AB10&gt;Parametri_RA!F$48),Parametri_RA!F$46,IF(AND(AB10&lt;=Parametri_RA!E$47,AB10&gt;Parametri_RA!E$48),Parametri_RA!E$46,Parametri_RA!D$46)),"")</f>
        <v>0</v>
      </c>
      <c r="AD10" s="370" t="str">
        <f ca="1">INDEX(Parametri_RA!B:B,MATCH('Risk Register'!AC10,Parametri_RA!D:D,0))</f>
        <v>Non Implementato</v>
      </c>
      <c r="AE10" s="364" t="str">
        <f ca="1">IFERROR(SUM(OFFSET('Valutazione controlli'!CN:CN,0,ROW()-8))/SUMIFS(OFFSET('Valutazione controlli'!I:I,0,ROW()-8),'Valutazione controlli'!BG:BG,"Applicabile",'Valutazione controlli'!H:H,"X"),"")</f>
        <v/>
      </c>
      <c r="AF10" s="365">
        <f ca="1">IFERROR(IF(AND(AE10&lt;=Parametri_RA!F$32,AE10&gt;Parametri_RA!F$33),Parametri_RA!F$31,IF(AND(AE10&lt;=Parametri_RA!E$32,AE10&gt;Parametri_RA!E$33),Parametri_RA!E$31,Parametri_RA!D$31)),"")</f>
        <v>0</v>
      </c>
      <c r="AG10" s="370" t="str">
        <f ca="1">INDEX(Parametri_RA!B:B,MATCH('Risk Register'!AF10,Parametri_RA!D:D,0))</f>
        <v>Non Implementato</v>
      </c>
      <c r="AH10" s="339" t="str">
        <f ca="1">IFERROR(INDEX(Parametri_RA!B$40:F$46,MATCH('Risk Register'!R10,Parametri_RA!B$40:B$46,0),MATCH('Risk Register'!AC10,Parametri_RA!B$46:F$46,0)),"")</f>
        <v>Raro</v>
      </c>
      <c r="AI10" s="338">
        <f ca="1">IFERROR(INDEX(Parametri_RA!$B$40:$B$44,MATCH('Risk Register'!AH10,Parametri_RA!$C$40:$C$44,0)),"")</f>
        <v>1</v>
      </c>
      <c r="AJ10" s="339" t="str">
        <f ca="1">IFERROR(INDEX(Parametri_RA!B$25:F$31,MATCH('Risk Register'!V10,Parametri_RA!B$25:B$31,0),MATCH('Risk Register'!AF10,Parametri_RA!B$31:F$31,0)),"")</f>
        <v/>
      </c>
      <c r="AK10" s="338" t="str">
        <f ca="1">IFERROR(INDEX(Parametri_RA!B:B,MATCH('Risk Register'!AJ10,Parametri_RA!C:C,0)),"")</f>
        <v/>
      </c>
      <c r="AL10" s="371" t="str">
        <f ca="1">IFERROR(INDEX(Parametri_RA!B$55:H$61,MATCH('Risk Register'!AK10,Parametri_RA!B$55:B$61,0),MATCH('Risk Register'!AI10,Parametri_RA!B$61:H$61,0)),"")</f>
        <v/>
      </c>
    </row>
    <row r="11" spans="2:65" s="35" customFormat="1" ht="85" x14ac:dyDescent="0.35">
      <c r="B11" s="293">
        <f>'Appoggio_BIA Servizio'!$B$5</f>
        <v>0</v>
      </c>
      <c r="C11" s="342" t="s">
        <v>1507</v>
      </c>
      <c r="D11" s="342" t="s">
        <v>1508</v>
      </c>
      <c r="E11" s="350" t="s">
        <v>623</v>
      </c>
      <c r="F11" s="336" t="s">
        <v>1524</v>
      </c>
      <c r="G11" s="331" t="s">
        <v>1510</v>
      </c>
      <c r="H11" s="331" t="s">
        <v>1511</v>
      </c>
      <c r="I11" s="347" t="s">
        <v>1512</v>
      </c>
      <c r="J11" s="339" t="s">
        <v>1521</v>
      </c>
      <c r="K11" s="347" t="s">
        <v>1525</v>
      </c>
      <c r="L11" s="339" t="str">
        <f>INDEX(Parametri_RA!B$8:B$12,MATCH('Risk Register'!R11,Parametri_RA!C$8:C$12,0))</f>
        <v>Moderato</v>
      </c>
      <c r="M11" s="348" t="s">
        <v>1526</v>
      </c>
      <c r="N11" s="338" t="s">
        <v>655</v>
      </c>
      <c r="O11" s="338" t="s">
        <v>655</v>
      </c>
      <c r="P11" s="338" t="s">
        <v>655</v>
      </c>
      <c r="Q11" s="338">
        <f>IFERROR(INDEX(Parametri_RA!$B$40:$B$44,MATCH('Risk Register'!J11,Parametri_RA!$C$40:$C$44,0)),"")</f>
        <v>3</v>
      </c>
      <c r="R11" s="338">
        <f>DB_Risk[[#This Row],[Val prob ine est]]</f>
        <v>3</v>
      </c>
      <c r="S11" s="363">
        <f>IFERROR(IF('Risk Register'!N11="X",MAX('Impatto RI'!S:S),""),"")</f>
        <v>0</v>
      </c>
      <c r="T11" s="363">
        <f>IFERROR(IF('Risk Register'!O11="X",MAX('Impatto RI'!X:X),""),"")</f>
        <v>0</v>
      </c>
      <c r="U11" s="363" t="str">
        <f>IFERROR(IF(P11="X",INDEX(Parametri_BIA!$F$6:$F$10,MATCH('BIA Servizio'!$N$11,Parametri_BIA!$E$6:$E$10,0)),""),"")</f>
        <v/>
      </c>
      <c r="V11" s="363">
        <f>IFERROR(MAX(S11:U11),"")</f>
        <v>0</v>
      </c>
      <c r="W11" s="339" t="str">
        <f>IFERROR(INDEX(Parametri_RA!$C:$C,MATCH('Risk Register'!S11,Parametri_RA!$B:$B,0)),"")</f>
        <v/>
      </c>
      <c r="X11" s="339" t="str">
        <f>IFERROR(INDEX(Parametri_RA!$C:$C,MATCH('Risk Register'!T11,Parametri_RA!$B:$B,0)),"")</f>
        <v/>
      </c>
      <c r="Y11" s="339" t="str">
        <f>IFERROR(INDEX(Parametri_RA!$C:$C,MATCH('Risk Register'!U11,Parametri_RA!$B:$B,0)),"")</f>
        <v/>
      </c>
      <c r="Z11" s="339" t="str">
        <f>IFERROR(INDEX(Parametri_RA!$C:$C,MATCH('Risk Register'!V11,Parametri_RA!$B:$B,0)),"")</f>
        <v/>
      </c>
      <c r="AA11" s="339" t="str">
        <f>IFERROR(INDEX(Parametri_RA!B$55:H$61,MATCH('Risk Register'!V11,Parametri_RA!B$55:B$61,0),MATCH('Risk Register'!R11,Parametri_RA!B$61:H$61,0)),"")</f>
        <v/>
      </c>
      <c r="AB11" s="364" t="str">
        <f ca="1">IFERROR(SUM(OFFSET('Valutazione controlli'!BR:BR,0,ROW()-8))/SUMIFS(OFFSET('Valutazione controlli'!I:I,0,ROW()-8),'Valutazione controlli'!BG:BG,"Applicabile",'Valutazione controlli'!G:G,"X"),"")</f>
        <v/>
      </c>
      <c r="AC11" s="365">
        <f ca="1">IFERROR(IF(AND(AB11&lt;=Parametri_RA!F$47,AB11&gt;Parametri_RA!F$48),Parametri_RA!F$46,IF(AND(AB11&lt;=Parametri_RA!E$47,AB11&gt;Parametri_RA!E$48),Parametri_RA!E$46,Parametri_RA!D$46)),"")</f>
        <v>0</v>
      </c>
      <c r="AD11" s="370" t="str">
        <f ca="1">INDEX(Parametri_RA!B:B,MATCH('Risk Register'!AC11,Parametri_RA!D:D,0))</f>
        <v>Non Implementato</v>
      </c>
      <c r="AE11" s="364" t="str">
        <f ca="1">IFERROR(SUM(OFFSET('Valutazione controlli'!CN:CN,0,ROW()-8))/SUMIFS(OFFSET('Valutazione controlli'!I:I,0,ROW()-8),'Valutazione controlli'!BG:BG,"Applicabile",'Valutazione controlli'!H:H,"X"),"")</f>
        <v/>
      </c>
      <c r="AF11" s="365">
        <f ca="1">IFERROR(IF(AND(AE11&lt;=Parametri_RA!F$32,AE11&gt;Parametri_RA!F$33),Parametri_RA!F$31,IF(AND(AE11&lt;=Parametri_RA!E$32,AE11&gt;Parametri_RA!E$33),Parametri_RA!E$31,Parametri_RA!D$31)),"")</f>
        <v>0</v>
      </c>
      <c r="AG11" s="370" t="str">
        <f ca="1">INDEX(Parametri_RA!B:B,MATCH('Risk Register'!AF11,Parametri_RA!D:D,0))</f>
        <v>Non Implementato</v>
      </c>
      <c r="AH11" s="339" t="str">
        <f ca="1">IFERROR(INDEX(Parametri_RA!B$40:F$46,MATCH('Risk Register'!R11,Parametri_RA!B$40:B$46,0),MATCH('Risk Register'!AC11,Parametri_RA!B$46:F$46,0)),"")</f>
        <v>Moderato</v>
      </c>
      <c r="AI11" s="338">
        <f ca="1">IFERROR(INDEX(Parametri_RA!$B$40:$B$44,MATCH('Risk Register'!AH11,Parametri_RA!$C$40:$C$44,0)),"")</f>
        <v>3</v>
      </c>
      <c r="AJ11" s="339" t="str">
        <f ca="1">IFERROR(INDEX(Parametri_RA!B$25:F$31,MATCH('Risk Register'!V11,Parametri_RA!B$25:B$31,0),MATCH('Risk Register'!AF11,Parametri_RA!B$31:F$31,0)),"")</f>
        <v/>
      </c>
      <c r="AK11" s="338" t="str">
        <f ca="1">IFERROR(INDEX(Parametri_RA!B:B,MATCH('Risk Register'!AJ11,Parametri_RA!C:C,0)),"")</f>
        <v/>
      </c>
      <c r="AL11" s="371" t="str">
        <f ca="1">IFERROR(INDEX(Parametri_RA!B$55:H$61,MATCH('Risk Register'!AK11,Parametri_RA!B$55:B$61,0),MATCH('Risk Register'!AI11,Parametri_RA!B$61:H$61,0)),"")</f>
        <v/>
      </c>
    </row>
    <row r="12" spans="2:65" s="35" customFormat="1" ht="85" x14ac:dyDescent="0.35">
      <c r="B12" s="293">
        <f>'Appoggio_BIA Servizio'!$B$5</f>
        <v>0</v>
      </c>
      <c r="C12" s="342" t="s">
        <v>1507</v>
      </c>
      <c r="D12" s="342" t="s">
        <v>624</v>
      </c>
      <c r="E12" s="340" t="s">
        <v>624</v>
      </c>
      <c r="F12" s="336" t="s">
        <v>1527</v>
      </c>
      <c r="G12" s="331" t="s">
        <v>1510</v>
      </c>
      <c r="H12" s="331" t="s">
        <v>1511</v>
      </c>
      <c r="I12" s="347" t="s">
        <v>1512</v>
      </c>
      <c r="J12" s="339" t="s">
        <v>1517</v>
      </c>
      <c r="K12" s="347" t="s">
        <v>1528</v>
      </c>
      <c r="L12" s="339" t="str">
        <f>INDEX(Parametri_RA!B$8:B$12,MATCH('Risk Register'!R12,Parametri_RA!C$8:C$12,0))</f>
        <v>Moderato</v>
      </c>
      <c r="M12" s="348" t="s">
        <v>1529</v>
      </c>
      <c r="N12" s="338" t="s">
        <v>655</v>
      </c>
      <c r="O12" s="345"/>
      <c r="P12" s="345"/>
      <c r="Q12" s="338">
        <f>IFERROR(INDEX(Parametri_RA!$B$40:$B$44,MATCH('Risk Register'!J12,Parametri_RA!$C$40:$C$44,0)),"")</f>
        <v>4</v>
      </c>
      <c r="R12" s="338">
        <f>IF(AND('Engagement Scope'!E$14="Sì",'Engagement Scope'!E$17="Sì"),Q12,MAX(1,Q12-1))</f>
        <v>3</v>
      </c>
      <c r="S12" s="363">
        <f>IFERROR(IF('Risk Register'!N12="X",MAX('Impatto RI'!S:S),""),"")</f>
        <v>0</v>
      </c>
      <c r="T12" s="363" t="str">
        <f>IFERROR(IF('Risk Register'!O12="X",MAX('Impatto RI'!X:X),""),"")</f>
        <v/>
      </c>
      <c r="U12" s="363" t="str">
        <f>IFERROR(IF(P12="X",INDEX(Parametri_BIA!$F$6:$F$10,MATCH('BIA Servizio'!$N$11,Parametri_BIA!$E$6:$E$10,0)),""),"")</f>
        <v/>
      </c>
      <c r="V12" s="363">
        <f t="shared" si="0"/>
        <v>0</v>
      </c>
      <c r="W12" s="339" t="str">
        <f>IFERROR(INDEX(Parametri_RA!$C:$C,MATCH('Risk Register'!S12,Parametri_RA!$B:$B,0)),"")</f>
        <v/>
      </c>
      <c r="X12" s="339"/>
      <c r="Y12" s="339"/>
      <c r="Z12" s="339" t="str">
        <f>IFERROR(INDEX(Parametri_RA!$C:$C,MATCH('Risk Register'!V12,Parametri_RA!$B:$B,0)),"")</f>
        <v/>
      </c>
      <c r="AA12" s="339" t="str">
        <f>IFERROR(INDEX(Parametri_RA!B$55:H$61,MATCH('Risk Register'!V12,Parametri_RA!B$55:B$61,0),MATCH('Risk Register'!R12,Parametri_RA!B$61:H$61,0)),"")</f>
        <v/>
      </c>
      <c r="AB12" s="364" t="str">
        <f ca="1">IFERROR(SUM(OFFSET('Valutazione controlli'!BR:BR,0,ROW()-8))/SUMIFS(OFFSET('Valutazione controlli'!I:I,0,ROW()-8),'Valutazione controlli'!BG:BG,"Applicabile",'Valutazione controlli'!G:G,"X"),"")</f>
        <v/>
      </c>
      <c r="AC12" s="365">
        <f ca="1">IFERROR(IF(AND(AB12&lt;=Parametri_RA!F$47,AB12&gt;Parametri_RA!F$48),Parametri_RA!F$46,IF(AND(AB12&lt;=Parametri_RA!E$47,AB12&gt;Parametri_RA!E$48),Parametri_RA!E$46,Parametri_RA!D$46)),"")</f>
        <v>0</v>
      </c>
      <c r="AD12" s="370" t="str">
        <f ca="1">INDEX(Parametri_RA!B:B,MATCH('Risk Register'!AC12,Parametri_RA!D:D,0))</f>
        <v>Non Implementato</v>
      </c>
      <c r="AE12" s="364" t="str">
        <f ca="1">IFERROR(SUM(OFFSET('Valutazione controlli'!CN:CN,0,ROW()-8))/SUMIFS(OFFSET('Valutazione controlli'!I:I,0,ROW()-8),'Valutazione controlli'!BG:BG,"Applicabile",'Valutazione controlli'!H:H,"X"),"")</f>
        <v/>
      </c>
      <c r="AF12" s="365">
        <f ca="1">IFERROR(IF(AND(AE12&lt;=Parametri_RA!F$32,AE12&gt;Parametri_RA!F$33),Parametri_RA!F$31,IF(AND(AE12&lt;=Parametri_RA!E$32,AE12&gt;Parametri_RA!E$33),Parametri_RA!E$31,Parametri_RA!D$31)),"")</f>
        <v>0</v>
      </c>
      <c r="AG12" s="370" t="str">
        <f ca="1">INDEX(Parametri_RA!B:B,MATCH('Risk Register'!AF12,Parametri_RA!D:D,0))</f>
        <v>Non Implementato</v>
      </c>
      <c r="AH12" s="339" t="str">
        <f ca="1">IFERROR(INDEX(Parametri_RA!B$40:F$46,MATCH('Risk Register'!R12,Parametri_RA!B$40:B$46,0),MATCH('Risk Register'!AC12,Parametri_RA!B$46:F$46,0)),"")</f>
        <v>Moderato</v>
      </c>
      <c r="AI12" s="338">
        <f ca="1">IFERROR(INDEX(Parametri_RA!$B$40:$B$44,MATCH('Risk Register'!AH12,Parametri_RA!$C$40:$C$44,0)),"")</f>
        <v>3</v>
      </c>
      <c r="AJ12" s="339" t="str">
        <f ca="1">IFERROR(INDEX(Parametri_RA!B$25:F$31,MATCH('Risk Register'!V12,Parametri_RA!B$25:B$31,0),MATCH('Risk Register'!AF12,Parametri_RA!B$31:F$31,0)),"")</f>
        <v/>
      </c>
      <c r="AK12" s="338" t="str">
        <f ca="1">IFERROR(INDEX(Parametri_RA!B:B,MATCH('Risk Register'!AJ12,Parametri_RA!C:C,0)),"")</f>
        <v/>
      </c>
      <c r="AL12" s="371" t="str">
        <f ca="1">IFERROR(INDEX(Parametri_RA!B$55:H$61,MATCH('Risk Register'!AK12,Parametri_RA!B$55:B$61,0),MATCH('Risk Register'!AI12,Parametri_RA!B$61:H$61,0)),"")</f>
        <v/>
      </c>
    </row>
    <row r="13" spans="2:65" s="35" customFormat="1" ht="168" customHeight="1" x14ac:dyDescent="0.35">
      <c r="B13" s="293">
        <f>'Appoggio_BIA Servizio'!$B$5</f>
        <v>0</v>
      </c>
      <c r="C13" s="342" t="s">
        <v>1530</v>
      </c>
      <c r="D13" s="342" t="s">
        <v>1531</v>
      </c>
      <c r="E13" s="340" t="s">
        <v>625</v>
      </c>
      <c r="F13" s="336" t="s">
        <v>1532</v>
      </c>
      <c r="G13" s="331" t="s">
        <v>1533</v>
      </c>
      <c r="H13" s="331" t="s">
        <v>1534</v>
      </c>
      <c r="I13" s="347" t="s">
        <v>1512</v>
      </c>
      <c r="J13" s="339" t="s">
        <v>1513</v>
      </c>
      <c r="K13" s="347" t="s">
        <v>1535</v>
      </c>
      <c r="L13" s="339" t="str">
        <f>INDEX(Parametri_RA!B$8:B$12,MATCH('Risk Register'!R13,Parametri_RA!C$8:C$12,0))</f>
        <v>Probabile</v>
      </c>
      <c r="M13" s="348" t="s">
        <v>1536</v>
      </c>
      <c r="N13" s="338" t="s">
        <v>655</v>
      </c>
      <c r="O13" s="338" t="s">
        <v>655</v>
      </c>
      <c r="P13" s="345"/>
      <c r="Q13" s="338">
        <f>IFERROR(INDEX(Parametri_RA!$B$40:$B$44,MATCH('Risk Register'!J13,Parametri_RA!$C$40:$C$44,0)),"")</f>
        <v>5</v>
      </c>
      <c r="R13" s="338">
        <f>IF(AND('Engagement Scope'!E$4="No",'Engagement Scope'!E$24="No",'Engagement Scope'!E$13="No",'Engagement Scope'!E$18="No"),1,IF(AND('Engagement Scope'!E$4="No",'Engagement Scope'!E$24="No",'Engagement Scope'!E$18="No"),MAX(1,Q13-3),IF(AND('Engagement Scope'!E$4="No",'Engagement Scope'!E$24="No"),MAX(1,Q13-2),Q13)))</f>
        <v>5</v>
      </c>
      <c r="S13" s="363">
        <f>IFERROR(IF('Risk Register'!N13="X",MAX('Impatto RI'!S:S),""),"")</f>
        <v>0</v>
      </c>
      <c r="T13" s="363">
        <f>IFERROR(IF('Risk Register'!O13="X",MAX('Impatto RI'!X:X),""),"")</f>
        <v>0</v>
      </c>
      <c r="U13" s="363" t="str">
        <f>IFERROR(IF(P13="X",INDEX(Parametri_BIA!$F$6:$F$10,MATCH('BIA Servizio'!$N$11,Parametri_BIA!$E$6:$E$10,0)),""),"")</f>
        <v/>
      </c>
      <c r="V13" s="363">
        <f t="shared" si="0"/>
        <v>0</v>
      </c>
      <c r="W13" s="339" t="str">
        <f>IFERROR(INDEX(Parametri_RA!$C:$C,MATCH('Risk Register'!S13,Parametri_RA!$B:$B,0)),"")</f>
        <v/>
      </c>
      <c r="X13" s="339" t="str">
        <f>IFERROR(INDEX(Parametri_RA!$C:$C,MATCH('Risk Register'!T13,Parametri_RA!$B:$B,0)),"")</f>
        <v/>
      </c>
      <c r="Y13" s="339"/>
      <c r="Z13" s="339" t="str">
        <f>IFERROR(INDEX(Parametri_RA!$C:$C,MATCH('Risk Register'!V13,Parametri_RA!$B:$B,0)),"")</f>
        <v/>
      </c>
      <c r="AA13" s="339" t="str">
        <f>IFERROR(INDEX(Parametri_RA!B$55:H$61,MATCH('Risk Register'!V13,Parametri_RA!B$55:B$61,0),MATCH('Risk Register'!R13,Parametri_RA!B$61:H$61,0)),"")</f>
        <v/>
      </c>
      <c r="AB13" s="364" t="str">
        <f ca="1">IFERROR(SUM(OFFSET('Valutazione controlli'!BR:BR,0,ROW()-8))/SUMIFS(OFFSET('Valutazione controlli'!I:I,0,ROW()-8),'Valutazione controlli'!BG:BG,"Applicabile",'Valutazione controlli'!G:G,"X"),"")</f>
        <v/>
      </c>
      <c r="AC13" s="365">
        <f ca="1">IFERROR(IF(AND(AB13&lt;=Parametri_RA!F$47,AB13&gt;Parametri_RA!F$48),Parametri_RA!F$46,IF(AND(AB13&lt;=Parametri_RA!E$47,AB13&gt;Parametri_RA!E$48),Parametri_RA!E$46,Parametri_RA!D$46)),"")</f>
        <v>0</v>
      </c>
      <c r="AD13" s="370" t="str">
        <f ca="1">INDEX(Parametri_RA!B:B,MATCH('Risk Register'!AC13,Parametri_RA!D:D,0))</f>
        <v>Non Implementato</v>
      </c>
      <c r="AE13" s="364" t="str">
        <f ca="1">IFERROR(SUM(OFFSET('Valutazione controlli'!CN:CN,0,ROW()-8))/SUMIFS(OFFSET('Valutazione controlli'!I:I,0,ROW()-8),'Valutazione controlli'!BG:BG,"Applicabile",'Valutazione controlli'!H:H,"X"),"")</f>
        <v/>
      </c>
      <c r="AF13" s="365">
        <f ca="1">IFERROR(IF(AND(AE13&lt;=Parametri_RA!F$32,AE13&gt;Parametri_RA!F$33),Parametri_RA!F$31,IF(AND(AE13&lt;=Parametri_RA!E$32,AE13&gt;Parametri_RA!E$33),Parametri_RA!E$31,Parametri_RA!D$31)),"")</f>
        <v>0</v>
      </c>
      <c r="AG13" s="370" t="str">
        <f ca="1">INDEX(Parametri_RA!B:B,MATCH('Risk Register'!AF13,Parametri_RA!D:D,0))</f>
        <v>Non Implementato</v>
      </c>
      <c r="AH13" s="339" t="str">
        <f ca="1">IFERROR(INDEX(Parametri_RA!B$40:F$46,MATCH('Risk Register'!R13,Parametri_RA!B$40:B$46,0),MATCH('Risk Register'!AC13,Parametri_RA!B$46:F$46,0)),"")</f>
        <v>Probabile</v>
      </c>
      <c r="AI13" s="338">
        <f ca="1">IFERROR(INDEX(Parametri_RA!$B$40:$B$44,MATCH('Risk Register'!AH13,Parametri_RA!$C$40:$C$44,0)),"")</f>
        <v>5</v>
      </c>
      <c r="AJ13" s="339" t="str">
        <f ca="1">IFERROR(INDEX(Parametri_RA!B$25:F$31,MATCH('Risk Register'!V13,Parametri_RA!B$25:B$31,0),MATCH('Risk Register'!AF13,Parametri_RA!B$31:F$31,0)),"")</f>
        <v/>
      </c>
      <c r="AK13" s="338" t="str">
        <f ca="1">IFERROR(INDEX(Parametri_RA!B:B,MATCH('Risk Register'!AJ13,Parametri_RA!C:C,0)),"")</f>
        <v/>
      </c>
      <c r="AL13" s="371" t="str">
        <f ca="1">IFERROR(INDEX(Parametri_RA!B$55:H$61,MATCH('Risk Register'!AK13,Parametri_RA!B$55:B$61,0),MATCH('Risk Register'!AI13,Parametri_RA!B$61:H$61,0)),"")</f>
        <v/>
      </c>
    </row>
    <row r="14" spans="2:65" s="35" customFormat="1" ht="68" x14ac:dyDescent="0.35">
      <c r="B14" s="293">
        <f>'Appoggio_BIA Servizio'!$B$5</f>
        <v>0</v>
      </c>
      <c r="C14" s="342" t="s">
        <v>1530</v>
      </c>
      <c r="D14" s="342" t="s">
        <v>1531</v>
      </c>
      <c r="E14" s="340" t="s">
        <v>626</v>
      </c>
      <c r="F14" s="336" t="s">
        <v>1537</v>
      </c>
      <c r="G14" s="331" t="s">
        <v>1510</v>
      </c>
      <c r="H14" s="331" t="s">
        <v>1511</v>
      </c>
      <c r="I14" s="347" t="s">
        <v>1512</v>
      </c>
      <c r="J14" s="339" t="s">
        <v>1538</v>
      </c>
      <c r="K14" s="347" t="s">
        <v>1539</v>
      </c>
      <c r="L14" s="339" t="str">
        <f>INDEX(Parametri_RA!B$8:B$12,MATCH('Risk Register'!R14,Parametri_RA!C$8:C$12,0))</f>
        <v>Raro</v>
      </c>
      <c r="M14" s="348" t="s">
        <v>1540</v>
      </c>
      <c r="N14" s="338" t="s">
        <v>655</v>
      </c>
      <c r="O14" s="345"/>
      <c r="P14" s="338" t="s">
        <v>655</v>
      </c>
      <c r="Q14" s="338">
        <f>IFERROR(INDEX(Parametri_RA!$B$40:$B$44,MATCH('Risk Register'!J14,Parametri_RA!$C$40:$C$44,0)),"")</f>
        <v>2</v>
      </c>
      <c r="R14" s="338">
        <f>IF(OR('Engagement Scope'!E$10="Sì",'Engagement Scope'!E$13="Sì"),Q14,1)</f>
        <v>1</v>
      </c>
      <c r="S14" s="363">
        <f>IFERROR(IF('Risk Register'!N14="X",MAX('Impatto RI'!S:S),""),"")</f>
        <v>0</v>
      </c>
      <c r="T14" s="363" t="str">
        <f>IFERROR(IF('Risk Register'!O14="X",MAX('Impatto RI'!X:X),""),"")</f>
        <v/>
      </c>
      <c r="U14" s="363" t="str">
        <f>IFERROR(IF(P14="X",INDEX(Parametri_BIA!$F$6:$F$10,MATCH('BIA Servizio'!$N$11,Parametri_BIA!$E$6:$E$10,0)),""),"")</f>
        <v/>
      </c>
      <c r="V14" s="363">
        <f>IFERROR(MAX(S14:U14),"")</f>
        <v>0</v>
      </c>
      <c r="W14" s="339" t="str">
        <f>IFERROR(INDEX(Parametri_RA!$C:$C,MATCH('Risk Register'!S14,Parametri_RA!$B:$B,0)),"")</f>
        <v/>
      </c>
      <c r="X14" s="339" t="str">
        <f>IFERROR(INDEX(Parametri_RA!$C:$C,MATCH('Risk Register'!T14,Parametri_RA!$B:$B,0)),"")</f>
        <v/>
      </c>
      <c r="Y14" s="339" t="str">
        <f>IFERROR(INDEX(Parametri_RA!$C:$C,MATCH('Risk Register'!U14,Parametri_RA!$B:$B,0)),"")</f>
        <v/>
      </c>
      <c r="Z14" s="339" t="str">
        <f>IFERROR(INDEX(Parametri_RA!$C:$C,MATCH('Risk Register'!V14,Parametri_RA!$B:$B,0)),"")</f>
        <v/>
      </c>
      <c r="AA14" s="339" t="str">
        <f>IFERROR(INDEX(Parametri_RA!B$55:H$61,MATCH('Risk Register'!V14,Parametri_RA!B$55:B$61,0),MATCH('Risk Register'!R14,Parametri_RA!B$61:H$61,0)),"")</f>
        <v/>
      </c>
      <c r="AB14" s="364" t="str">
        <f ca="1">IFERROR(SUM(OFFSET('Valutazione controlli'!BR:BR,0,ROW()-8))/SUMIFS(OFFSET('Valutazione controlli'!I:I,0,ROW()-8),'Valutazione controlli'!BG:BG,"Applicabile",'Valutazione controlli'!G:G,"X"),"")</f>
        <v/>
      </c>
      <c r="AC14" s="365">
        <f ca="1">IFERROR(IF(AND(AB14&lt;=Parametri_RA!F$47,AB14&gt;Parametri_RA!F$48),Parametri_RA!F$46,IF(AND(AB14&lt;=Parametri_RA!E$47,AB14&gt;Parametri_RA!E$48),Parametri_RA!E$46,Parametri_RA!D$46)),"")</f>
        <v>0</v>
      </c>
      <c r="AD14" s="370" t="str">
        <f ca="1">INDEX(Parametri_RA!B:B,MATCH('Risk Register'!AC14,Parametri_RA!D:D,0))</f>
        <v>Non Implementato</v>
      </c>
      <c r="AE14" s="364" t="str">
        <f ca="1">IFERROR(SUM(OFFSET('Valutazione controlli'!CN:CN,0,ROW()-8))/SUMIFS(OFFSET('Valutazione controlli'!I:I,0,ROW()-8),'Valutazione controlli'!BG:BG,"Applicabile",'Valutazione controlli'!H:H,"X"),"")</f>
        <v/>
      </c>
      <c r="AF14" s="365">
        <f ca="1">IFERROR(IF(AND(AE14&lt;=Parametri_RA!F$32,AE14&gt;Parametri_RA!F$33),Parametri_RA!F$31,IF(AND(AE14&lt;=Parametri_RA!E$32,AE14&gt;Parametri_RA!E$33),Parametri_RA!E$31,Parametri_RA!D$31)),"")</f>
        <v>0</v>
      </c>
      <c r="AG14" s="370" t="str">
        <f ca="1">INDEX(Parametri_RA!B:B,MATCH('Risk Register'!AF14,Parametri_RA!D:D,0))</f>
        <v>Non Implementato</v>
      </c>
      <c r="AH14" s="339" t="str">
        <f ca="1">IFERROR(INDEX(Parametri_RA!B$40:F$46,MATCH('Risk Register'!R14,Parametri_RA!B$40:B$46,0),MATCH('Risk Register'!AC14,Parametri_RA!B$46:F$46,0)),"")</f>
        <v>Raro</v>
      </c>
      <c r="AI14" s="338">
        <f ca="1">IFERROR(INDEX(Parametri_RA!$B$40:$B$44,MATCH('Risk Register'!AH14,Parametri_RA!$C$40:$C$44,0)),"")</f>
        <v>1</v>
      </c>
      <c r="AJ14" s="339" t="str">
        <f ca="1">IFERROR(INDEX(Parametri_RA!B$25:F$31,MATCH('Risk Register'!V14,Parametri_RA!B$25:B$31,0),MATCH('Risk Register'!AF14,Parametri_RA!B$31:F$31,0)),"")</f>
        <v/>
      </c>
      <c r="AK14" s="338" t="str">
        <f ca="1">IFERROR(INDEX(Parametri_RA!B:B,MATCH('Risk Register'!AJ14,Parametri_RA!C:C,0)),"")</f>
        <v/>
      </c>
      <c r="AL14" s="371" t="str">
        <f ca="1">IFERROR(INDEX(Parametri_RA!B$55:H$61,MATCH('Risk Register'!AK14,Parametri_RA!B$55:B$61,0),MATCH('Risk Register'!AI14,Parametri_RA!B$61:H$61,0)),"")</f>
        <v/>
      </c>
    </row>
    <row r="15" spans="2:65" s="35" customFormat="1" ht="119" x14ac:dyDescent="0.35">
      <c r="B15" s="293">
        <f>'Appoggio_BIA Servizio'!$B$5</f>
        <v>0</v>
      </c>
      <c r="C15" s="342" t="s">
        <v>1507</v>
      </c>
      <c r="D15" s="342" t="s">
        <v>1541</v>
      </c>
      <c r="E15" s="340" t="s">
        <v>627</v>
      </c>
      <c r="F15" s="336" t="s">
        <v>1542</v>
      </c>
      <c r="G15" s="331" t="s">
        <v>1510</v>
      </c>
      <c r="H15" s="331" t="s">
        <v>1511</v>
      </c>
      <c r="I15" s="347" t="s">
        <v>1512</v>
      </c>
      <c r="J15" s="339" t="s">
        <v>1517</v>
      </c>
      <c r="K15" s="347" t="s">
        <v>1543</v>
      </c>
      <c r="L15" s="339" t="str">
        <f>INDEX(Parametri_RA!B$8:B$12,MATCH('Risk Register'!R15,Parametri_RA!C$8:C$12,0))</f>
        <v>Possibile</v>
      </c>
      <c r="M15" s="348" t="s">
        <v>1544</v>
      </c>
      <c r="N15" s="338" t="s">
        <v>655</v>
      </c>
      <c r="O15" s="338" t="s">
        <v>655</v>
      </c>
      <c r="P15" s="345"/>
      <c r="Q15" s="338">
        <f>IFERROR(INDEX(Parametri_RA!$B$40:$B$44,MATCH('Risk Register'!J15,Parametri_RA!$C$40:$C$44,0)),"")</f>
        <v>4</v>
      </c>
      <c r="R15" s="338">
        <f>IF(AND('Engagement Scope'!E$24="No",'Engagement Scope'!E$18="No",'Engagement Scope'!E$13="No"),1,IF(AND('Engagement Scope'!E$24="No",'Engagement Scope'!E$18="No"),MAX(1,Q15-2),Q15))</f>
        <v>4</v>
      </c>
      <c r="S15" s="363">
        <f>IFERROR(IF('Risk Register'!N15="X",MAX('Impatto RI'!S:S),""),"")</f>
        <v>0</v>
      </c>
      <c r="T15" s="363">
        <f>IFERROR(IF('Risk Register'!O15="X",MAX('Impatto RI'!X:X),""),"")</f>
        <v>0</v>
      </c>
      <c r="U15" s="363" t="str">
        <f>IFERROR(IF(P15="X",INDEX(Parametri_BIA!$F$6:$F$10,MATCH('BIA Servizio'!$N$11,Parametri_BIA!$E$6:$E$10,0)),""),"")</f>
        <v/>
      </c>
      <c r="V15" s="363">
        <f>IFERROR(MAX(S15:U15),"")</f>
        <v>0</v>
      </c>
      <c r="W15" s="339" t="str">
        <f>IFERROR(INDEX(Parametri_RA!$C:$C,MATCH('Risk Register'!S15,Parametri_RA!$B:$B,0)),"")</f>
        <v/>
      </c>
      <c r="X15" s="339" t="str">
        <f>IFERROR(INDEX(Parametri_RA!$C:$C,MATCH('Risk Register'!T15,Parametri_RA!$B:$B,0)),"")</f>
        <v/>
      </c>
      <c r="Y15" s="339" t="str">
        <f>IFERROR(INDEX(Parametri_RA!$C:$C,MATCH('Risk Register'!U15,Parametri_RA!$B:$B,0)),"")</f>
        <v/>
      </c>
      <c r="Z15" s="339" t="str">
        <f>IFERROR(INDEX(Parametri_RA!$C:$C,MATCH('Risk Register'!V15,Parametri_RA!$B:$B,0)),"")</f>
        <v/>
      </c>
      <c r="AA15" s="339" t="str">
        <f>IFERROR(INDEX(Parametri_RA!B$55:H$61,MATCH('Risk Register'!V15,Parametri_RA!B$55:B$61,0),MATCH('Risk Register'!R15,Parametri_RA!B$61:H$61,0)),"")</f>
        <v/>
      </c>
      <c r="AB15" s="364" t="str">
        <f ca="1">IFERROR(SUM(OFFSET('Valutazione controlli'!BR:BR,0,ROW()-8))/SUMIFS(OFFSET('Valutazione controlli'!I:I,0,ROW()-8),'Valutazione controlli'!BG:BG,"Applicabile",'Valutazione controlli'!G:G,"X"),"")</f>
        <v/>
      </c>
      <c r="AC15" s="365">
        <f ca="1">IFERROR(IF(AND(AB15&lt;=Parametri_RA!F$47,AB15&gt;Parametri_RA!F$48),Parametri_RA!F$46,IF(AND(AB15&lt;=Parametri_RA!E$47,AB15&gt;Parametri_RA!E$48),Parametri_RA!E$46,Parametri_RA!D$46)),"")</f>
        <v>0</v>
      </c>
      <c r="AD15" s="370" t="str">
        <f ca="1">INDEX(Parametri_RA!B:B,MATCH('Risk Register'!AC15,Parametri_RA!D:D,0))</f>
        <v>Non Implementato</v>
      </c>
      <c r="AE15" s="364" t="str">
        <f ca="1">IFERROR(SUM(OFFSET('Valutazione controlli'!CN:CN,0,ROW()-8))/SUMIFS(OFFSET('Valutazione controlli'!I:I,0,ROW()-8),'Valutazione controlli'!BG:BG,"Applicabile",'Valutazione controlli'!H:H,"X"),"")</f>
        <v/>
      </c>
      <c r="AF15" s="365">
        <f ca="1">IFERROR(IF(AND(AE15&lt;=Parametri_RA!F$32,AE15&gt;Parametri_RA!F$33),Parametri_RA!F$31,IF(AND(AE15&lt;=Parametri_RA!E$32,AE15&gt;Parametri_RA!E$33),Parametri_RA!E$31,Parametri_RA!D$31)),"")</f>
        <v>0</v>
      </c>
      <c r="AG15" s="370" t="str">
        <f ca="1">INDEX(Parametri_RA!B:B,MATCH('Risk Register'!AF15,Parametri_RA!D:D,0))</f>
        <v>Non Implementato</v>
      </c>
      <c r="AH15" s="339" t="str">
        <f ca="1">IFERROR(INDEX(Parametri_RA!B$40:F$46,MATCH('Risk Register'!R15,Parametri_RA!B$40:B$46,0),MATCH('Risk Register'!AC15,Parametri_RA!B$46:F$46,0)),"")</f>
        <v>Possibile</v>
      </c>
      <c r="AI15" s="338">
        <f ca="1">IFERROR(INDEX(Parametri_RA!$B$40:$B$44,MATCH('Risk Register'!AH15,Parametri_RA!$C$40:$C$44,0)),"")</f>
        <v>4</v>
      </c>
      <c r="AJ15" s="339" t="str">
        <f ca="1">IFERROR(INDEX(Parametri_RA!B$25:F$31,MATCH('Risk Register'!V15,Parametri_RA!B$25:B$31,0),MATCH('Risk Register'!AF15,Parametri_RA!B$31:F$31,0)),"")</f>
        <v/>
      </c>
      <c r="AK15" s="338" t="str">
        <f ca="1">IFERROR(INDEX(Parametri_RA!B:B,MATCH('Risk Register'!AJ15,Parametri_RA!C:C,0)),"")</f>
        <v/>
      </c>
      <c r="AL15" s="371" t="str">
        <f ca="1">IFERROR(INDEX(Parametri_RA!B$55:H$61,MATCH('Risk Register'!AK15,Parametri_RA!B$55:B$61,0),MATCH('Risk Register'!AI15,Parametri_RA!B$61:H$61,0)),"")</f>
        <v/>
      </c>
    </row>
    <row r="16" spans="2:65" s="35" customFormat="1" ht="85" x14ac:dyDescent="0.35">
      <c r="B16" s="293">
        <f>'Appoggio_BIA Servizio'!$B$5</f>
        <v>0</v>
      </c>
      <c r="C16" s="342" t="s">
        <v>1507</v>
      </c>
      <c r="D16" s="342" t="s">
        <v>1545</v>
      </c>
      <c r="E16" s="340" t="s">
        <v>628</v>
      </c>
      <c r="F16" s="336" t="s">
        <v>1546</v>
      </c>
      <c r="G16" s="331" t="s">
        <v>1510</v>
      </c>
      <c r="H16" s="331" t="s">
        <v>1511</v>
      </c>
      <c r="I16" s="347" t="s">
        <v>1512</v>
      </c>
      <c r="J16" s="339" t="s">
        <v>1513</v>
      </c>
      <c r="K16" s="347" t="s">
        <v>1547</v>
      </c>
      <c r="L16" s="339" t="str">
        <f>INDEX(Parametri_RA!B$8:B$12,MATCH('Risk Register'!R16,Parametri_RA!C$8:C$12,0))</f>
        <v>Probabile</v>
      </c>
      <c r="M16" s="348" t="s">
        <v>1548</v>
      </c>
      <c r="N16" s="345"/>
      <c r="O16" s="345"/>
      <c r="P16" s="338" t="s">
        <v>655</v>
      </c>
      <c r="Q16" s="338">
        <f>IFERROR(INDEX(Parametri_RA!$B$40:$B$44,MATCH('Risk Register'!J16,Parametri_RA!$C$40:$C$44,0)),"")</f>
        <v>5</v>
      </c>
      <c r="R16" s="338">
        <f>IF('Engagement Scope'!E$24="No",1,Q16)</f>
        <v>5</v>
      </c>
      <c r="S16" s="363" t="str">
        <f>IFERROR(IF('Risk Register'!N16="X",MAX('Impatto RI'!S:S),""),"")</f>
        <v/>
      </c>
      <c r="T16" s="363" t="str">
        <f>IFERROR(IF('Risk Register'!O16="X",MAX('Impatto RI'!X:X),""),"")</f>
        <v/>
      </c>
      <c r="U16" s="363" t="str">
        <f>IFERROR(IF(P16="X",INDEX(Parametri_BIA!$F$6:$F$10,MATCH('BIA Servizio'!$N$11,Parametri_BIA!$E$6:$E$10,0)),""),"")</f>
        <v/>
      </c>
      <c r="V16" s="363">
        <f t="shared" si="0"/>
        <v>0</v>
      </c>
      <c r="W16" s="339"/>
      <c r="X16" s="339"/>
      <c r="Y16" s="339" t="str">
        <f>IFERROR(INDEX(Parametri_RA!$C:$C,MATCH('Risk Register'!U16,Parametri_RA!$B:$B,0)),"")</f>
        <v/>
      </c>
      <c r="Z16" s="339" t="str">
        <f>IFERROR(INDEX(Parametri_RA!$C:$C,MATCH('Risk Register'!V16,Parametri_RA!$B:$B,0)),"")</f>
        <v/>
      </c>
      <c r="AA16" s="339" t="str">
        <f>IFERROR(INDEX(Parametri_RA!B$55:H$61,MATCH('Risk Register'!V16,Parametri_RA!B$55:B$61,0),MATCH('Risk Register'!R16,Parametri_RA!B$61:H$61,0)),"")</f>
        <v/>
      </c>
      <c r="AB16" s="364" t="str">
        <f ca="1">IFERROR(SUM(OFFSET('Valutazione controlli'!BR:BR,0,ROW()-8))/SUMIFS(OFFSET('Valutazione controlli'!I:I,0,ROW()-8),'Valutazione controlli'!BG:BG,"Applicabile",'Valutazione controlli'!G:G,"X"),"")</f>
        <v/>
      </c>
      <c r="AC16" s="365">
        <f ca="1">IFERROR(IF(AND(AB16&lt;=Parametri_RA!F$47,AB16&gt;Parametri_RA!F$48),Parametri_RA!F$46,IF(AND(AB16&lt;=Parametri_RA!E$47,AB16&gt;Parametri_RA!E$48),Parametri_RA!E$46,Parametri_RA!D$46)),"")</f>
        <v>0</v>
      </c>
      <c r="AD16" s="370" t="str">
        <f ca="1">INDEX(Parametri_RA!B:B,MATCH('Risk Register'!AC16,Parametri_RA!D:D,0))</f>
        <v>Non Implementato</v>
      </c>
      <c r="AE16" s="364" t="str">
        <f ca="1">IFERROR(SUM(OFFSET('Valutazione controlli'!CN:CN,0,ROW()-8))/SUMIFS(OFFSET('Valutazione controlli'!I:I,0,ROW()-8),'Valutazione controlli'!BG:BG,"Applicabile",'Valutazione controlli'!H:H,"X"),"")</f>
        <v/>
      </c>
      <c r="AF16" s="365">
        <f ca="1">IFERROR(IF(AND(AE16&lt;=Parametri_RA!F$32,AE16&gt;Parametri_RA!F$33),Parametri_RA!F$31,IF(AND(AE16&lt;=Parametri_RA!E$32,AE16&gt;Parametri_RA!E$33),Parametri_RA!E$31,Parametri_RA!D$31)),"")</f>
        <v>0</v>
      </c>
      <c r="AG16" s="370" t="str">
        <f ca="1">INDEX(Parametri_RA!B:B,MATCH('Risk Register'!AF16,Parametri_RA!D:D,0))</f>
        <v>Non Implementato</v>
      </c>
      <c r="AH16" s="339" t="str">
        <f ca="1">IFERROR(INDEX(Parametri_RA!B$40:F$46,MATCH('Risk Register'!R16,Parametri_RA!B$40:B$46,0),MATCH('Risk Register'!AC16,Parametri_RA!B$46:F$46,0)),"")</f>
        <v>Probabile</v>
      </c>
      <c r="AI16" s="338">
        <f ca="1">IFERROR(INDEX(Parametri_RA!$B$40:$B$44,MATCH('Risk Register'!AH16,Parametri_RA!$C$40:$C$44,0)),"")</f>
        <v>5</v>
      </c>
      <c r="AJ16" s="339" t="str">
        <f ca="1">IFERROR(INDEX(Parametri_RA!B$25:F$31,MATCH('Risk Register'!V16,Parametri_RA!B$25:B$31,0),MATCH('Risk Register'!AF16,Parametri_RA!B$31:F$31,0)),"")</f>
        <v/>
      </c>
      <c r="AK16" s="338" t="str">
        <f ca="1">IFERROR(INDEX(Parametri_RA!B:B,MATCH('Risk Register'!AJ16,Parametri_RA!C:C,0)),"")</f>
        <v/>
      </c>
      <c r="AL16" s="371" t="str">
        <f ca="1">IFERROR(INDEX(Parametri_RA!B$55:H$61,MATCH('Risk Register'!AK16,Parametri_RA!B$55:B$61,0),MATCH('Risk Register'!AI16,Parametri_RA!B$61:H$61,0)),"")</f>
        <v/>
      </c>
    </row>
    <row r="17" spans="2:38" ht="102" x14ac:dyDescent="0.5">
      <c r="B17" s="293">
        <f>'Appoggio_BIA Servizio'!$B$5</f>
        <v>0</v>
      </c>
      <c r="C17" s="342" t="s">
        <v>1530</v>
      </c>
      <c r="D17" s="342" t="s">
        <v>1545</v>
      </c>
      <c r="E17" s="340" t="s">
        <v>629</v>
      </c>
      <c r="F17" s="336" t="s">
        <v>1549</v>
      </c>
      <c r="G17" s="331" t="s">
        <v>1550</v>
      </c>
      <c r="H17" s="331" t="s">
        <v>1551</v>
      </c>
      <c r="I17" s="347" t="s">
        <v>1512</v>
      </c>
      <c r="J17" s="339" t="s">
        <v>1521</v>
      </c>
      <c r="K17" s="347" t="s">
        <v>1552</v>
      </c>
      <c r="L17" s="339" t="str">
        <f>INDEX(Parametri_RA!B$8:B$12,MATCH('Risk Register'!R17,Parametri_RA!C$8:C$12,0))</f>
        <v>Raro</v>
      </c>
      <c r="M17" s="348" t="s">
        <v>1553</v>
      </c>
      <c r="N17" s="345"/>
      <c r="O17" s="345"/>
      <c r="P17" s="338" t="s">
        <v>655</v>
      </c>
      <c r="Q17" s="338">
        <f>IFERROR(INDEX(Parametri_RA!$B$40:$B$44,MATCH('Risk Register'!J17,Parametri_RA!$C$40:$C$44,0)),"")</f>
        <v>3</v>
      </c>
      <c r="R17" s="338">
        <f>IF('Engagement Scope'!E$13="Sì",Q17,1)</f>
        <v>1</v>
      </c>
      <c r="S17" s="363" t="str">
        <f>IFERROR(IF('Risk Register'!N17="X",MAX('Impatto RI'!S:S),""),"")</f>
        <v/>
      </c>
      <c r="T17" s="363" t="str">
        <f>IFERROR(IF('Risk Register'!O17="X",MAX('Impatto RI'!X:X),""),"")</f>
        <v/>
      </c>
      <c r="U17" s="363" t="str">
        <f>IFERROR(IF(P17="X",INDEX(Parametri_BIA!$F$6:$F$10,MATCH('BIA Servizio'!$N$11,Parametri_BIA!$E$6:$E$10,0)),""),"")</f>
        <v/>
      </c>
      <c r="V17" s="363">
        <f t="shared" ref="V17:V29" si="2">IFERROR(MAX(S17:U17),"")</f>
        <v>0</v>
      </c>
      <c r="W17" s="339" t="str">
        <f>IFERROR(INDEX(Parametri_RA!$C:$C,MATCH('Risk Register'!S17,Parametri_RA!$B:$B,0)),"")</f>
        <v/>
      </c>
      <c r="X17" s="339" t="str">
        <f>IFERROR(INDEX(Parametri_RA!$C:$C,MATCH('Risk Register'!T17,Parametri_RA!$B:$B,0)),"")</f>
        <v/>
      </c>
      <c r="Y17" s="339" t="str">
        <f>IFERROR(INDEX(Parametri_RA!$C:$C,MATCH('Risk Register'!U17,Parametri_RA!$B:$B,0)),"")</f>
        <v/>
      </c>
      <c r="Z17" s="339" t="str">
        <f>IFERROR(INDEX(Parametri_RA!$C:$C,MATCH('Risk Register'!V17,Parametri_RA!$B:$B,0)),"")</f>
        <v/>
      </c>
      <c r="AA17" s="339" t="str">
        <f>IFERROR(INDEX(Parametri_RA!B$55:H$61,MATCH('Risk Register'!V17,Parametri_RA!B$55:B$61,0),MATCH('Risk Register'!R17,Parametri_RA!B$61:H$61,0)),"")</f>
        <v/>
      </c>
      <c r="AB17" s="364" t="str">
        <f ca="1">IFERROR(SUM(OFFSET('Valutazione controlli'!BR:BR,0,ROW()-8))/SUMIFS(OFFSET('Valutazione controlli'!I:I,0,ROW()-8),'Valutazione controlli'!BG:BG,"Applicabile",'Valutazione controlli'!G:G,"X"),"")</f>
        <v/>
      </c>
      <c r="AC17" s="365">
        <f ca="1">IFERROR(IF(AND(AB17&lt;=Parametri_RA!F$47,AB17&gt;Parametri_RA!F$48),Parametri_RA!F$46,IF(AND(AB17&lt;=Parametri_RA!E$47,AB17&gt;Parametri_RA!E$48),Parametri_RA!E$46,Parametri_RA!D$46)),"")</f>
        <v>0</v>
      </c>
      <c r="AD17" s="370" t="str">
        <f ca="1">INDEX(Parametri_RA!B:B,MATCH('Risk Register'!AC17,Parametri_RA!D:D,0))</f>
        <v>Non Implementato</v>
      </c>
      <c r="AE17" s="364" t="str">
        <f ca="1">IFERROR(SUM(OFFSET('Valutazione controlli'!CN:CN,0,ROW()-8))/SUMIFS(OFFSET('Valutazione controlli'!I:I,0,ROW()-8),'Valutazione controlli'!BG:BG,"Applicabile",'Valutazione controlli'!H:H,"X"),"")</f>
        <v/>
      </c>
      <c r="AF17" s="365">
        <f ca="1">IFERROR(IF(AND(AE17&lt;=Parametri_RA!F$32,AE17&gt;Parametri_RA!F$33),Parametri_RA!F$31,IF(AND(AE17&lt;=Parametri_RA!E$32,AE17&gt;Parametri_RA!E$33),Parametri_RA!E$31,Parametri_RA!D$31)),"")</f>
        <v>0</v>
      </c>
      <c r="AG17" s="370" t="str">
        <f ca="1">INDEX(Parametri_RA!B:B,MATCH('Risk Register'!AF17,Parametri_RA!D:D,0))</f>
        <v>Non Implementato</v>
      </c>
      <c r="AH17" s="339" t="str">
        <f ca="1">IFERROR(INDEX(Parametri_RA!B$40:F$46,MATCH('Risk Register'!R17,Parametri_RA!B$40:B$46,0),MATCH('Risk Register'!AC17,Parametri_RA!B$46:F$46,0)),"")</f>
        <v>Raro</v>
      </c>
      <c r="AI17" s="338">
        <f ca="1">IFERROR(INDEX(Parametri_RA!$B$40:$B$44,MATCH('Risk Register'!AH17,Parametri_RA!$C$40:$C$44,0)),"")</f>
        <v>1</v>
      </c>
      <c r="AJ17" s="339" t="str">
        <f ca="1">IFERROR(INDEX(Parametri_RA!B$25:F$31,MATCH('Risk Register'!V17,Parametri_RA!B$25:B$31,0),MATCH('Risk Register'!AF17,Parametri_RA!B$31:F$31,0)),"")</f>
        <v/>
      </c>
      <c r="AK17" s="338" t="str">
        <f ca="1">IFERROR(INDEX(Parametri_RA!B:B,MATCH('Risk Register'!AJ17,Parametri_RA!C:C,0)),"")</f>
        <v/>
      </c>
      <c r="AL17" s="371" t="str">
        <f ca="1">IFERROR(INDEX(Parametri_RA!B$55:H$61,MATCH('Risk Register'!AK17,Parametri_RA!B$55:B$61,0),MATCH('Risk Register'!AI17,Parametri_RA!B$61:H$61,0)),"")</f>
        <v/>
      </c>
    </row>
    <row r="18" spans="2:38" ht="85" x14ac:dyDescent="0.5">
      <c r="B18" s="293">
        <f>'Appoggio_BIA Servizio'!$B$5</f>
        <v>0</v>
      </c>
      <c r="C18" s="342" t="s">
        <v>1530</v>
      </c>
      <c r="D18" s="342" t="s">
        <v>1545</v>
      </c>
      <c r="E18" s="340" t="s">
        <v>630</v>
      </c>
      <c r="F18" s="336" t="s">
        <v>1554</v>
      </c>
      <c r="G18" s="331" t="s">
        <v>1550</v>
      </c>
      <c r="H18" s="331" t="s">
        <v>1551</v>
      </c>
      <c r="I18" s="347" t="s">
        <v>1512</v>
      </c>
      <c r="J18" s="339" t="s">
        <v>1521</v>
      </c>
      <c r="K18" s="347" t="s">
        <v>1555</v>
      </c>
      <c r="L18" s="339" t="str">
        <f>INDEX(Parametri_RA!B$8:B$12,MATCH('Risk Register'!R18,Parametri_RA!C$8:C$12,0))</f>
        <v>Raro</v>
      </c>
      <c r="M18" s="348" t="s">
        <v>1556</v>
      </c>
      <c r="N18" s="345"/>
      <c r="O18" s="338" t="s">
        <v>655</v>
      </c>
      <c r="P18" s="338" t="s">
        <v>655</v>
      </c>
      <c r="Q18" s="338">
        <f>IFERROR(INDEX(Parametri_RA!$B$40:$B$44,MATCH('Risk Register'!J18,Parametri_RA!$C$40:$C$44,0)),"")</f>
        <v>3</v>
      </c>
      <c r="R18" s="338">
        <f>IF(OR('Engagement Scope'!E$11="Sì",'Engagement Scope'!E$15="Sì"),Q18,1)</f>
        <v>1</v>
      </c>
      <c r="S18" s="363" t="str">
        <f>IFERROR(IF('Risk Register'!N18="X",MAX('Impatto RI'!S:S),""),"")</f>
        <v/>
      </c>
      <c r="T18" s="363">
        <f>IFERROR(IF('Risk Register'!O18="X",MAX('Impatto RI'!X:X),""),"")</f>
        <v>0</v>
      </c>
      <c r="U18" s="363" t="str">
        <f>IFERROR(IF(P18="X",INDEX(Parametri_BIA!$F$6:$F$10,MATCH('BIA Servizio'!$N$11,Parametri_BIA!$E$6:$E$10,0)),""),"")</f>
        <v/>
      </c>
      <c r="V18" s="363">
        <f t="shared" si="2"/>
        <v>0</v>
      </c>
      <c r="W18" s="339" t="str">
        <f>IFERROR(INDEX(Parametri_RA!$C:$C,MATCH('Risk Register'!S18,Parametri_RA!$B:$B,0)),"")</f>
        <v/>
      </c>
      <c r="X18" s="339" t="str">
        <f>IFERROR(INDEX(Parametri_RA!$C:$C,MATCH('Risk Register'!T18,Parametri_RA!$B:$B,0)),"")</f>
        <v/>
      </c>
      <c r="Y18" s="339" t="str">
        <f>IFERROR(INDEX(Parametri_RA!$C:$C,MATCH('Risk Register'!U18,Parametri_RA!$B:$B,0)),"")</f>
        <v/>
      </c>
      <c r="Z18" s="339" t="str">
        <f>IFERROR(INDEX(Parametri_RA!$C:$C,MATCH('Risk Register'!V18,Parametri_RA!$B:$B,0)),"")</f>
        <v/>
      </c>
      <c r="AA18" s="339" t="str">
        <f>IFERROR(INDEX(Parametri_RA!B$55:H$61,MATCH('Risk Register'!V18,Parametri_RA!B$55:B$61,0),MATCH('Risk Register'!R18,Parametri_RA!B$61:H$61,0)),"")</f>
        <v/>
      </c>
      <c r="AB18" s="364" t="str">
        <f ca="1">IFERROR(SUM(OFFSET('Valutazione controlli'!BR:BR,0,ROW()-8))/SUMIFS(OFFSET('Valutazione controlli'!I:I,0,ROW()-8),'Valutazione controlli'!BG:BG,"Applicabile",'Valutazione controlli'!G:G,"X"),"")</f>
        <v/>
      </c>
      <c r="AC18" s="365">
        <f ca="1">IFERROR(IF(AND(AB18&lt;=Parametri_RA!F$47,AB18&gt;Parametri_RA!F$48),Parametri_RA!F$46,IF(AND(AB18&lt;=Parametri_RA!E$47,AB18&gt;Parametri_RA!E$48),Parametri_RA!E$46,Parametri_RA!D$46)),"")</f>
        <v>0</v>
      </c>
      <c r="AD18" s="370" t="str">
        <f ca="1">INDEX(Parametri_RA!B:B,MATCH('Risk Register'!AC18,Parametri_RA!D:D,0))</f>
        <v>Non Implementato</v>
      </c>
      <c r="AE18" s="364" t="str">
        <f ca="1">IFERROR(SUM(OFFSET('Valutazione controlli'!CN:CN,0,ROW()-8))/SUMIFS(OFFSET('Valutazione controlli'!I:I,0,ROW()-8),'Valutazione controlli'!BG:BG,"Applicabile",'Valutazione controlli'!H:H,"X"),"")</f>
        <v/>
      </c>
      <c r="AF18" s="365">
        <f ca="1">IFERROR(IF(AND(AE18&lt;=Parametri_RA!F$32,AE18&gt;Parametri_RA!F$33),Parametri_RA!F$31,IF(AND(AE18&lt;=Parametri_RA!E$32,AE18&gt;Parametri_RA!E$33),Parametri_RA!E$31,Parametri_RA!D$31)),"")</f>
        <v>0</v>
      </c>
      <c r="AG18" s="370" t="str">
        <f ca="1">INDEX(Parametri_RA!B:B,MATCH('Risk Register'!AF18,Parametri_RA!D:D,0))</f>
        <v>Non Implementato</v>
      </c>
      <c r="AH18" s="339" t="str">
        <f ca="1">IFERROR(INDEX(Parametri_RA!B$40:F$46,MATCH('Risk Register'!R18,Parametri_RA!B$40:B$46,0),MATCH('Risk Register'!AC18,Parametri_RA!B$46:F$46,0)),"")</f>
        <v>Raro</v>
      </c>
      <c r="AI18" s="338">
        <f ca="1">IFERROR(INDEX(Parametri_RA!$B$40:$B$44,MATCH('Risk Register'!AH18,Parametri_RA!$C$40:$C$44,0)),"")</f>
        <v>1</v>
      </c>
      <c r="AJ18" s="339" t="str">
        <f ca="1">IFERROR(INDEX(Parametri_RA!B$25:F$31,MATCH('Risk Register'!V18,Parametri_RA!B$25:B$31,0),MATCH('Risk Register'!AF18,Parametri_RA!B$31:F$31,0)),"")</f>
        <v/>
      </c>
      <c r="AK18" s="338" t="str">
        <f ca="1">IFERROR(INDEX(Parametri_RA!B:B,MATCH('Risk Register'!AJ18,Parametri_RA!C:C,0)),"")</f>
        <v/>
      </c>
      <c r="AL18" s="371" t="str">
        <f ca="1">IFERROR(INDEX(Parametri_RA!B$55:H$61,MATCH('Risk Register'!AK18,Parametri_RA!B$55:B$61,0),MATCH('Risk Register'!AI18,Parametri_RA!B$61:H$61,0)),"")</f>
        <v/>
      </c>
    </row>
    <row r="19" spans="2:38" ht="136" x14ac:dyDescent="0.5">
      <c r="B19" s="293">
        <f>'Appoggio_BIA Servizio'!$B$5</f>
        <v>0</v>
      </c>
      <c r="C19" s="342" t="s">
        <v>1530</v>
      </c>
      <c r="D19" s="342" t="s">
        <v>1557</v>
      </c>
      <c r="E19" s="340" t="s">
        <v>631</v>
      </c>
      <c r="F19" s="336" t="s">
        <v>1558</v>
      </c>
      <c r="G19" s="331" t="s">
        <v>1510</v>
      </c>
      <c r="H19" s="331" t="s">
        <v>1511</v>
      </c>
      <c r="I19" s="347" t="s">
        <v>1512</v>
      </c>
      <c r="J19" s="339" t="s">
        <v>1517</v>
      </c>
      <c r="K19" s="347" t="s">
        <v>1559</v>
      </c>
      <c r="L19" s="339" t="str">
        <f>INDEX(Parametri_RA!B$8:B$12,MATCH('Risk Register'!R19,Parametri_RA!C$8:C$12,0))</f>
        <v>Possibile</v>
      </c>
      <c r="M19" s="348" t="s">
        <v>1560</v>
      </c>
      <c r="N19" s="338" t="s">
        <v>655</v>
      </c>
      <c r="O19" s="338" t="s">
        <v>655</v>
      </c>
      <c r="P19" s="338"/>
      <c r="Q19" s="338">
        <f>IFERROR(INDEX(Parametri_RA!$B$40:$B$44,MATCH('Risk Register'!J19,Parametri_RA!$C$40:$C$44,0)),"")</f>
        <v>4</v>
      </c>
      <c r="R19" s="338">
        <f>IF(AND('Engagement Scope'!E$24="No",'Engagement Scope'!E$18="No",'Engagement Scope'!E$21="No",'Engagement Scope'!E$14="No",'Engagement Scope'!E$17="No"),1,IF(AND('Engagement Scope'!E$24="No",'Engagement Scope'!E$18="No"),MAX(1,Q19-2),Q19))</f>
        <v>4</v>
      </c>
      <c r="S19" s="363">
        <f>IFERROR(IF('Risk Register'!N19="X",MAX('Impatto RI'!S:S),""),"")</f>
        <v>0</v>
      </c>
      <c r="T19" s="363">
        <f>IFERROR(IF('Risk Register'!O19="X",MAX('Impatto RI'!X:X),""),"")</f>
        <v>0</v>
      </c>
      <c r="U19" s="363" t="str">
        <f>IFERROR(IF(P19="X",INDEX(Parametri_BIA!$F$6:$F$10,MATCH('BIA Servizio'!$N$11,Parametri_BIA!$E$6:$E$10,0)),""),"")</f>
        <v/>
      </c>
      <c r="V19" s="363">
        <f t="shared" si="2"/>
        <v>0</v>
      </c>
      <c r="W19" s="339" t="str">
        <f>IFERROR(INDEX(Parametri_RA!$C:$C,MATCH('Risk Register'!S19,Parametri_RA!$B:$B,0)),"")</f>
        <v/>
      </c>
      <c r="X19" s="339" t="str">
        <f>IFERROR(INDEX(Parametri_RA!$C:$C,MATCH('Risk Register'!T19,Parametri_RA!$B:$B,0)),"")</f>
        <v/>
      </c>
      <c r="Y19" s="339" t="str">
        <f>IFERROR(INDEX(Parametri_RA!$C:$C,MATCH('Risk Register'!U19,Parametri_RA!$B:$B,0)),"")</f>
        <v/>
      </c>
      <c r="Z19" s="339" t="str">
        <f>IFERROR(INDEX(Parametri_RA!$C:$C,MATCH('Risk Register'!V19,Parametri_RA!$B:$B,0)),"")</f>
        <v/>
      </c>
      <c r="AA19" s="339" t="str">
        <f>IFERROR(INDEX(Parametri_RA!B$55:H$61,MATCH('Risk Register'!V19,Parametri_RA!B$55:B$61,0),MATCH('Risk Register'!R19,Parametri_RA!B$61:H$61,0)),"")</f>
        <v/>
      </c>
      <c r="AB19" s="364" t="str">
        <f ca="1">IFERROR(SUM(OFFSET('Valutazione controlli'!BR:BR,0,ROW()-8))/SUMIFS(OFFSET('Valutazione controlli'!I:I,0,ROW()-8),'Valutazione controlli'!BG:BG,"Applicabile",'Valutazione controlli'!G:G,"X"),"")</f>
        <v/>
      </c>
      <c r="AC19" s="365">
        <f ca="1">IFERROR(IF(AND(AB19&lt;=Parametri_RA!F$47,AB19&gt;Parametri_RA!F$48),Parametri_RA!F$46,IF(AND(AB19&lt;=Parametri_RA!E$47,AB19&gt;Parametri_RA!E$48),Parametri_RA!E$46,Parametri_RA!D$46)),"")</f>
        <v>0</v>
      </c>
      <c r="AD19" s="370" t="str">
        <f ca="1">INDEX(Parametri_RA!B:B,MATCH('Risk Register'!AC19,Parametri_RA!D:D,0))</f>
        <v>Non Implementato</v>
      </c>
      <c r="AE19" s="364" t="str">
        <f ca="1">IFERROR(SUM(OFFSET('Valutazione controlli'!CN:CN,0,ROW()-8))/SUMIFS(OFFSET('Valutazione controlli'!I:I,0,ROW()-8),'Valutazione controlli'!BG:BG,"Applicabile",'Valutazione controlli'!H:H,"X"),"")</f>
        <v/>
      </c>
      <c r="AF19" s="365">
        <f ca="1">IFERROR(IF(AND(AE19&lt;=Parametri_RA!F$32,AE19&gt;Parametri_RA!F$33),Parametri_RA!F$31,IF(AND(AE19&lt;=Parametri_RA!E$32,AE19&gt;Parametri_RA!E$33),Parametri_RA!E$31,Parametri_RA!D$31)),"")</f>
        <v>0</v>
      </c>
      <c r="AG19" s="370" t="str">
        <f ca="1">INDEX(Parametri_RA!B:B,MATCH('Risk Register'!AF19,Parametri_RA!D:D,0))</f>
        <v>Non Implementato</v>
      </c>
      <c r="AH19" s="339" t="str">
        <f ca="1">IFERROR(INDEX(Parametri_RA!B$40:F$46,MATCH('Risk Register'!R19,Parametri_RA!B$40:B$46,0),MATCH('Risk Register'!AC19,Parametri_RA!B$46:F$46,0)),"")</f>
        <v>Possibile</v>
      </c>
      <c r="AI19" s="338">
        <f ca="1">IFERROR(INDEX(Parametri_RA!$B$40:$B$44,MATCH('Risk Register'!AH19,Parametri_RA!$C$40:$C$44,0)),"")</f>
        <v>4</v>
      </c>
      <c r="AJ19" s="339" t="str">
        <f ca="1">IFERROR(INDEX(Parametri_RA!B$25:F$31,MATCH('Risk Register'!V19,Parametri_RA!B$25:B$31,0),MATCH('Risk Register'!AF19,Parametri_RA!B$31:F$31,0)),"")</f>
        <v/>
      </c>
      <c r="AK19" s="338" t="str">
        <f ca="1">IFERROR(INDEX(Parametri_RA!B:B,MATCH('Risk Register'!AJ19,Parametri_RA!C:C,0)),"")</f>
        <v/>
      </c>
      <c r="AL19" s="371" t="str">
        <f ca="1">IFERROR(INDEX(Parametri_RA!B$55:H$61,MATCH('Risk Register'!AK19,Parametri_RA!B$55:B$61,0),MATCH('Risk Register'!AI19,Parametri_RA!B$61:H$61,0)),"")</f>
        <v/>
      </c>
    </row>
    <row r="20" spans="2:38" ht="85" x14ac:dyDescent="0.5">
      <c r="B20" s="293">
        <f>'Appoggio_BIA Servizio'!$B$5</f>
        <v>0</v>
      </c>
      <c r="C20" s="342" t="s">
        <v>1530</v>
      </c>
      <c r="D20" s="342" t="s">
        <v>1557</v>
      </c>
      <c r="E20" s="340" t="s">
        <v>632</v>
      </c>
      <c r="F20" s="336" t="s">
        <v>1561</v>
      </c>
      <c r="G20" s="331" t="s">
        <v>1533</v>
      </c>
      <c r="H20" s="331" t="s">
        <v>1562</v>
      </c>
      <c r="I20" s="347" t="s">
        <v>1512</v>
      </c>
      <c r="J20" s="339" t="s">
        <v>1521</v>
      </c>
      <c r="K20" s="347" t="s">
        <v>1563</v>
      </c>
      <c r="L20" s="339" t="str">
        <f>INDEX(Parametri_RA!B$8:B$12,MATCH('Risk Register'!R20,Parametri_RA!C$8:C$12,0))</f>
        <v>Raro</v>
      </c>
      <c r="M20" s="348" t="s">
        <v>1564</v>
      </c>
      <c r="N20" s="338" t="s">
        <v>655</v>
      </c>
      <c r="O20" s="338" t="s">
        <v>655</v>
      </c>
      <c r="P20" s="338"/>
      <c r="Q20" s="338">
        <f>IFERROR(INDEX(Parametri_RA!$B$40:$B$44,MATCH('Risk Register'!J20,Parametri_RA!$C$40:$C$44,0)),"")</f>
        <v>3</v>
      </c>
      <c r="R20" s="338">
        <f>IF(OR('Engagement Scope'!E$14="Sì",'Engagement Scope'!E$17="Sì",'Engagement Scope'!E$21="Sì",'Engagement Scope'!E$15="Sì"),Q20,1)</f>
        <v>1</v>
      </c>
      <c r="S20" s="363">
        <f>IFERROR(IF('Risk Register'!N20="X",MAX('Impatto RI'!S:S),""),"")</f>
        <v>0</v>
      </c>
      <c r="T20" s="363">
        <f>IFERROR(IF('Risk Register'!O20="X",MAX('Impatto RI'!X:X),""),"")</f>
        <v>0</v>
      </c>
      <c r="U20" s="363" t="str">
        <f>IFERROR(IF(P20="X",INDEX(Parametri_BIA!$F$6:$F$10,MATCH('BIA Servizio'!$N$11,Parametri_BIA!$E$6:$E$10,0)),""),"")</f>
        <v/>
      </c>
      <c r="V20" s="363">
        <f t="shared" si="2"/>
        <v>0</v>
      </c>
      <c r="W20" s="339" t="str">
        <f>IFERROR(INDEX(Parametri_RA!$C:$C,MATCH('Risk Register'!S20,Parametri_RA!$B:$B,0)),"")</f>
        <v/>
      </c>
      <c r="X20" s="339" t="str">
        <f>IFERROR(INDEX(Parametri_RA!$C:$C,MATCH('Risk Register'!T20,Parametri_RA!$B:$B,0)),"")</f>
        <v/>
      </c>
      <c r="Y20" s="339" t="str">
        <f>IFERROR(INDEX(Parametri_RA!$C:$C,MATCH('Risk Register'!U20,Parametri_RA!$B:$B,0)),"")</f>
        <v/>
      </c>
      <c r="Z20" s="339" t="str">
        <f>IFERROR(INDEX(Parametri_RA!$C:$C,MATCH('Risk Register'!V20,Parametri_RA!$B:$B,0)),"")</f>
        <v/>
      </c>
      <c r="AA20" s="339" t="str">
        <f>IFERROR(INDEX(Parametri_RA!B$55:H$61,MATCH('Risk Register'!V20,Parametri_RA!B$55:B$61,0),MATCH('Risk Register'!R20,Parametri_RA!B$61:H$61,0)),"")</f>
        <v/>
      </c>
      <c r="AB20" s="364" t="str">
        <f ca="1">IFERROR(SUM(OFFSET('Valutazione controlli'!BR:BR,0,ROW()-8))/SUMIFS(OFFSET('Valutazione controlli'!I:I,0,ROW()-8),'Valutazione controlli'!BG:BG,"Applicabile",'Valutazione controlli'!G:G,"X"),"")</f>
        <v/>
      </c>
      <c r="AC20" s="365">
        <f ca="1">IFERROR(IF(AND(AB20&lt;=Parametri_RA!F$47,AB20&gt;Parametri_RA!F$48),Parametri_RA!F$46,IF(AND(AB20&lt;=Parametri_RA!E$47,AB20&gt;Parametri_RA!E$48),Parametri_RA!E$46,Parametri_RA!D$46)),"")</f>
        <v>0</v>
      </c>
      <c r="AD20" s="370" t="str">
        <f ca="1">INDEX(Parametri_RA!B:B,MATCH('Risk Register'!AC20,Parametri_RA!D:D,0))</f>
        <v>Non Implementato</v>
      </c>
      <c r="AE20" s="364" t="str">
        <f ca="1">IFERROR(SUM(OFFSET('Valutazione controlli'!CN:CN,0,ROW()-8))/SUMIFS(OFFSET('Valutazione controlli'!I:I,0,ROW()-8),'Valutazione controlli'!BG:BG,"Applicabile",'Valutazione controlli'!H:H,"X"),"")</f>
        <v/>
      </c>
      <c r="AF20" s="365">
        <f ca="1">IFERROR(IF(AND(AE20&lt;=Parametri_RA!F$32,AE20&gt;Parametri_RA!F$33),Parametri_RA!F$31,IF(AND(AE20&lt;=Parametri_RA!E$32,AE20&gt;Parametri_RA!E$33),Parametri_RA!E$31,Parametri_RA!D$31)),"")</f>
        <v>0</v>
      </c>
      <c r="AG20" s="370" t="str">
        <f ca="1">INDEX(Parametri_RA!B:B,MATCH('Risk Register'!AF20,Parametri_RA!D:D,0))</f>
        <v>Non Implementato</v>
      </c>
      <c r="AH20" s="339" t="str">
        <f ca="1">IFERROR(INDEX(Parametri_RA!B$40:F$46,MATCH('Risk Register'!R20,Parametri_RA!B$40:B$46,0),MATCH('Risk Register'!AC20,Parametri_RA!B$46:F$46,0)),"")</f>
        <v>Raro</v>
      </c>
      <c r="AI20" s="338">
        <f ca="1">IFERROR(INDEX(Parametri_RA!$B$40:$B$44,MATCH('Risk Register'!AH20,Parametri_RA!$C$40:$C$44,0)),"")</f>
        <v>1</v>
      </c>
      <c r="AJ20" s="339" t="str">
        <f ca="1">IFERROR(INDEX(Parametri_RA!B$25:F$31,MATCH('Risk Register'!V20,Parametri_RA!B$25:B$31,0),MATCH('Risk Register'!AF20,Parametri_RA!B$31:F$31,0)),"")</f>
        <v/>
      </c>
      <c r="AK20" s="338" t="str">
        <f ca="1">IFERROR(INDEX(Parametri_RA!B:B,MATCH('Risk Register'!AJ20,Parametri_RA!C:C,0)),"")</f>
        <v/>
      </c>
      <c r="AL20" s="371" t="str">
        <f ca="1">IFERROR(INDEX(Parametri_RA!B$55:H$61,MATCH('Risk Register'!AK20,Parametri_RA!B$55:B$61,0),MATCH('Risk Register'!AI20,Parametri_RA!B$61:H$61,0)),"")</f>
        <v/>
      </c>
    </row>
    <row r="21" spans="2:38" ht="68" x14ac:dyDescent="0.5">
      <c r="B21" s="293">
        <f>'Appoggio_BIA Servizio'!$B$5</f>
        <v>0</v>
      </c>
      <c r="C21" s="342" t="s">
        <v>1530</v>
      </c>
      <c r="D21" s="342" t="s">
        <v>1557</v>
      </c>
      <c r="E21" s="340" t="s">
        <v>633</v>
      </c>
      <c r="F21" s="336" t="s">
        <v>1565</v>
      </c>
      <c r="G21" s="331" t="s">
        <v>1510</v>
      </c>
      <c r="H21" s="331" t="s">
        <v>1534</v>
      </c>
      <c r="I21" s="347" t="s">
        <v>1512</v>
      </c>
      <c r="J21" s="339" t="s">
        <v>1538</v>
      </c>
      <c r="K21" s="347" t="s">
        <v>1566</v>
      </c>
      <c r="L21" s="339" t="str">
        <f>INDEX(Parametri_RA!B$8:B$12,MATCH('Risk Register'!R21,Parametri_RA!C$8:C$12,0))</f>
        <v>Raro</v>
      </c>
      <c r="M21" s="348" t="s">
        <v>1567</v>
      </c>
      <c r="N21" s="338" t="s">
        <v>655</v>
      </c>
      <c r="O21" s="338" t="s">
        <v>655</v>
      </c>
      <c r="P21" s="338" t="s">
        <v>655</v>
      </c>
      <c r="Q21" s="338">
        <f>IFERROR(INDEX(Parametri_RA!$B$40:$B$44,MATCH('Risk Register'!J21,Parametri_RA!$C$40:$C$44,0)),"")</f>
        <v>2</v>
      </c>
      <c r="R21" s="338">
        <f>IF('Engagement Scope'!E$23="Sì",Q21,1)</f>
        <v>1</v>
      </c>
      <c r="S21" s="363">
        <f>IFERROR(IF('Risk Register'!N21="X",MAX('Impatto RI'!S:S),""),"")</f>
        <v>0</v>
      </c>
      <c r="T21" s="363">
        <f>IFERROR(IF('Risk Register'!O21="X",MAX('Impatto RI'!X:X),""),"")</f>
        <v>0</v>
      </c>
      <c r="U21" s="363" t="str">
        <f>IFERROR(IF(P21="X",INDEX(Parametri_BIA!$F$6:$F$10,MATCH('BIA Servizio'!$N$11,Parametri_BIA!$E$6:$E$10,0)),""),"")</f>
        <v/>
      </c>
      <c r="V21" s="363">
        <f t="shared" si="2"/>
        <v>0</v>
      </c>
      <c r="W21" s="339" t="str">
        <f>IFERROR(INDEX(Parametri_RA!$C:$C,MATCH('Risk Register'!S21,Parametri_RA!$B:$B,0)),"")</f>
        <v/>
      </c>
      <c r="X21" s="339" t="str">
        <f>IFERROR(INDEX(Parametri_RA!$C:$C,MATCH('Risk Register'!T21,Parametri_RA!$B:$B,0)),"")</f>
        <v/>
      </c>
      <c r="Y21" s="339" t="str">
        <f>IFERROR(INDEX(Parametri_RA!$C:$C,MATCH('Risk Register'!U21,Parametri_RA!$B:$B,0)),"")</f>
        <v/>
      </c>
      <c r="Z21" s="339" t="str">
        <f>IFERROR(INDEX(Parametri_RA!$C:$C,MATCH('Risk Register'!V21,Parametri_RA!$B:$B,0)),"")</f>
        <v/>
      </c>
      <c r="AA21" s="339" t="str">
        <f>IFERROR(INDEX(Parametri_RA!B$55:H$61,MATCH('Risk Register'!V21,Parametri_RA!B$55:B$61,0),MATCH('Risk Register'!R21,Parametri_RA!B$61:H$61,0)),"")</f>
        <v/>
      </c>
      <c r="AB21" s="364" t="str">
        <f ca="1">IFERROR(SUM(OFFSET('Valutazione controlli'!BR:BR,0,ROW()-8))/SUMIFS(OFFSET('Valutazione controlli'!I:I,0,ROW()-8),'Valutazione controlli'!BG:BG,"Applicabile",'Valutazione controlli'!G:G,"X"),"")</f>
        <v/>
      </c>
      <c r="AC21" s="365">
        <f ca="1">IFERROR(IF(AND(AB21&lt;=Parametri_RA!F$47,AB21&gt;Parametri_RA!F$48),Parametri_RA!F$46,IF(AND(AB21&lt;=Parametri_RA!E$47,AB21&gt;Parametri_RA!E$48),Parametri_RA!E$46,Parametri_RA!D$46)),"")</f>
        <v>0</v>
      </c>
      <c r="AD21" s="370" t="str">
        <f ca="1">INDEX(Parametri_RA!B:B,MATCH('Risk Register'!AC21,Parametri_RA!D:D,0))</f>
        <v>Non Implementato</v>
      </c>
      <c r="AE21" s="364" t="str">
        <f ca="1">IFERROR(SUM(OFFSET('Valutazione controlli'!CN:CN,0,ROW()-8))/SUMIFS(OFFSET('Valutazione controlli'!I:I,0,ROW()-8),'Valutazione controlli'!BG:BG,"Applicabile",'Valutazione controlli'!H:H,"X"),"")</f>
        <v/>
      </c>
      <c r="AF21" s="365">
        <f ca="1">IFERROR(IF(AND(AE21&lt;=Parametri_RA!F$32,AE21&gt;Parametri_RA!F$33),Parametri_RA!F$31,IF(AND(AE21&lt;=Parametri_RA!E$32,AE21&gt;Parametri_RA!E$33),Parametri_RA!E$31,Parametri_RA!D$31)),"")</f>
        <v>0</v>
      </c>
      <c r="AG21" s="370" t="str">
        <f ca="1">INDEX(Parametri_RA!B:B,MATCH('Risk Register'!AF21,Parametri_RA!D:D,0))</f>
        <v>Non Implementato</v>
      </c>
      <c r="AH21" s="339" t="str">
        <f ca="1">IFERROR(INDEX(Parametri_RA!B$40:F$46,MATCH('Risk Register'!R21,Parametri_RA!B$40:B$46,0),MATCH('Risk Register'!AC21,Parametri_RA!B$46:F$46,0)),"")</f>
        <v>Raro</v>
      </c>
      <c r="AI21" s="338">
        <f ca="1">IFERROR(INDEX(Parametri_RA!$B$40:$B$44,MATCH('Risk Register'!AH21,Parametri_RA!$C$40:$C$44,0)),"")</f>
        <v>1</v>
      </c>
      <c r="AJ21" s="339" t="str">
        <f ca="1">IFERROR(INDEX(Parametri_RA!B$25:F$31,MATCH('Risk Register'!V21,Parametri_RA!B$25:B$31,0),MATCH('Risk Register'!AF21,Parametri_RA!B$31:F$31,0)),"")</f>
        <v/>
      </c>
      <c r="AK21" s="338" t="str">
        <f ca="1">IFERROR(INDEX(Parametri_RA!B:B,MATCH('Risk Register'!AJ21,Parametri_RA!C:C,0)),"")</f>
        <v/>
      </c>
      <c r="AL21" s="371" t="str">
        <f ca="1">IFERROR(INDEX(Parametri_RA!B$55:H$61,MATCH('Risk Register'!AK21,Parametri_RA!B$55:B$61,0),MATCH('Risk Register'!AI21,Parametri_RA!B$61:H$61,0)),"")</f>
        <v/>
      </c>
    </row>
    <row r="22" spans="2:38" ht="85" x14ac:dyDescent="0.5">
      <c r="B22" s="293">
        <f>'Appoggio_BIA Servizio'!$B$5</f>
        <v>0</v>
      </c>
      <c r="C22" s="342" t="s">
        <v>1568</v>
      </c>
      <c r="D22" s="342" t="s">
        <v>1569</v>
      </c>
      <c r="E22" s="340" t="s">
        <v>634</v>
      </c>
      <c r="F22" s="336" t="s">
        <v>1570</v>
      </c>
      <c r="G22" s="331" t="s">
        <v>1533</v>
      </c>
      <c r="H22" s="331" t="s">
        <v>1534</v>
      </c>
      <c r="I22" s="347" t="s">
        <v>1512</v>
      </c>
      <c r="J22" s="339" t="s">
        <v>1521</v>
      </c>
      <c r="K22" s="347" t="s">
        <v>1571</v>
      </c>
      <c r="L22" s="339" t="str">
        <f>INDEX(Parametri_RA!B$8:B$12,MATCH('Risk Register'!R22,Parametri_RA!C$8:C$12,0))</f>
        <v>Improbabile</v>
      </c>
      <c r="M22" s="348" t="s">
        <v>1572</v>
      </c>
      <c r="N22" s="338" t="s">
        <v>655</v>
      </c>
      <c r="O22" s="338" t="s">
        <v>655</v>
      </c>
      <c r="P22" s="338"/>
      <c r="Q22" s="338">
        <f>IFERROR(INDEX(Parametri_RA!$B$40:$B$44,MATCH('Risk Register'!J22,Parametri_RA!$C$40:$C$44,0)),"")</f>
        <v>3</v>
      </c>
      <c r="R22" s="338">
        <f>IF(OR('Engagement Scope'!E$7="Sì",'Engagement Scope'!E$8="Sì",'Engagement Scope'!E$6="Sì"),Q22,MAX(1,Q22-1))</f>
        <v>2</v>
      </c>
      <c r="S22" s="363">
        <f>IFERROR(IF('Risk Register'!N22="X",MAX('Impatto RI'!S:S),""),"")</f>
        <v>0</v>
      </c>
      <c r="T22" s="363">
        <f>IFERROR(IF('Risk Register'!O22="X",MAX('Impatto RI'!X:X),""),"")</f>
        <v>0</v>
      </c>
      <c r="U22" s="363" t="str">
        <f>IFERROR(IF(P22="X",INDEX(Parametri_BIA!$F$6:$F$10,MATCH('BIA Servizio'!$N$11,Parametri_BIA!$E$6:$E$10,0)),""),"")</f>
        <v/>
      </c>
      <c r="V22" s="363">
        <f t="shared" si="2"/>
        <v>0</v>
      </c>
      <c r="W22" s="339" t="str">
        <f>IFERROR(INDEX(Parametri_RA!$C:$C,MATCH('Risk Register'!S22,Parametri_RA!$B:$B,0)),"")</f>
        <v/>
      </c>
      <c r="X22" s="339" t="str">
        <f>IFERROR(INDEX(Parametri_RA!$C:$C,MATCH('Risk Register'!T22,Parametri_RA!$B:$B,0)),"")</f>
        <v/>
      </c>
      <c r="Y22" s="339" t="str">
        <f>IFERROR(INDEX(Parametri_RA!$C:$C,MATCH('Risk Register'!U22,Parametri_RA!$B:$B,0)),"")</f>
        <v/>
      </c>
      <c r="Z22" s="339" t="str">
        <f>IFERROR(INDEX(Parametri_RA!$C:$C,MATCH('Risk Register'!V22,Parametri_RA!$B:$B,0)),"")</f>
        <v/>
      </c>
      <c r="AA22" s="339" t="str">
        <f>IFERROR(INDEX(Parametri_RA!B$55:H$61,MATCH('Risk Register'!V22,Parametri_RA!B$55:B$61,0),MATCH('Risk Register'!R22,Parametri_RA!B$61:H$61,0)),"")</f>
        <v/>
      </c>
      <c r="AB22" s="364" t="str">
        <f ca="1">IFERROR(SUM(OFFSET('Valutazione controlli'!BR:BR,0,ROW()-8))/SUMIFS(OFFSET('Valutazione controlli'!I:I,0,ROW()-8),'Valutazione controlli'!BG:BG,"Applicabile",'Valutazione controlli'!G:G,"X"),"")</f>
        <v/>
      </c>
      <c r="AC22" s="365">
        <f ca="1">IFERROR(IF(AND(AB22&lt;=Parametri_RA!F$47,AB22&gt;Parametri_RA!F$48),Parametri_RA!F$46,IF(AND(AB22&lt;=Parametri_RA!E$47,AB22&gt;Parametri_RA!E$48),Parametri_RA!E$46,Parametri_RA!D$46)),"")</f>
        <v>0</v>
      </c>
      <c r="AD22" s="370" t="str">
        <f ca="1">INDEX(Parametri_RA!B:B,MATCH('Risk Register'!AC22,Parametri_RA!D:D,0))</f>
        <v>Non Implementato</v>
      </c>
      <c r="AE22" s="364" t="str">
        <f ca="1">IFERROR(SUM(OFFSET('Valutazione controlli'!CN:CN,0,ROW()-8))/SUMIFS(OFFSET('Valutazione controlli'!I:I,0,ROW()-8),'Valutazione controlli'!BG:BG,"Applicabile",'Valutazione controlli'!H:H,"X"),"")</f>
        <v/>
      </c>
      <c r="AF22" s="365">
        <f ca="1">IFERROR(IF(AND(AE22&lt;=Parametri_RA!F$32,AE22&gt;Parametri_RA!F$33),Parametri_RA!F$31,IF(AND(AE22&lt;=Parametri_RA!E$32,AE22&gt;Parametri_RA!E$33),Parametri_RA!E$31,Parametri_RA!D$31)),"")</f>
        <v>0</v>
      </c>
      <c r="AG22" s="370" t="str">
        <f ca="1">INDEX(Parametri_RA!B:B,MATCH('Risk Register'!AF22,Parametri_RA!D:D,0))</f>
        <v>Non Implementato</v>
      </c>
      <c r="AH22" s="339" t="str">
        <f ca="1">IFERROR(INDEX(Parametri_RA!B$40:F$46,MATCH('Risk Register'!R22,Parametri_RA!B$40:B$46,0),MATCH('Risk Register'!AC22,Parametri_RA!B$46:F$46,0)),"")</f>
        <v>Improbabile</v>
      </c>
      <c r="AI22" s="338">
        <f ca="1">IFERROR(INDEX(Parametri_RA!$B$40:$B$44,MATCH('Risk Register'!AH22,Parametri_RA!$C$40:$C$44,0)),"")</f>
        <v>2</v>
      </c>
      <c r="AJ22" s="339" t="str">
        <f ca="1">IFERROR(INDEX(Parametri_RA!B$25:F$31,MATCH('Risk Register'!V22,Parametri_RA!B$25:B$31,0),MATCH('Risk Register'!AF22,Parametri_RA!B$31:F$31,0)),"")</f>
        <v/>
      </c>
      <c r="AK22" s="338" t="str">
        <f ca="1">IFERROR(INDEX(Parametri_RA!B:B,MATCH('Risk Register'!AJ22,Parametri_RA!C:C,0)),"")</f>
        <v/>
      </c>
      <c r="AL22" s="371" t="str">
        <f ca="1">IFERROR(INDEX(Parametri_RA!B$55:H$61,MATCH('Risk Register'!AK22,Parametri_RA!B$55:B$61,0),MATCH('Risk Register'!AI22,Parametri_RA!B$61:H$61,0)),"")</f>
        <v/>
      </c>
    </row>
    <row r="23" spans="2:38" ht="68" x14ac:dyDescent="0.5">
      <c r="B23" s="293">
        <f>'Appoggio_BIA Servizio'!$B$5</f>
        <v>0</v>
      </c>
      <c r="C23" s="342" t="s">
        <v>1573</v>
      </c>
      <c r="D23" s="342" t="s">
        <v>1574</v>
      </c>
      <c r="E23" s="340" t="s">
        <v>635</v>
      </c>
      <c r="F23" s="336" t="s">
        <v>1575</v>
      </c>
      <c r="G23" s="331" t="s">
        <v>1576</v>
      </c>
      <c r="H23" s="331" t="s">
        <v>1551</v>
      </c>
      <c r="I23" s="347" t="s">
        <v>1512</v>
      </c>
      <c r="J23" s="339" t="s">
        <v>1538</v>
      </c>
      <c r="K23" s="347" t="s">
        <v>1577</v>
      </c>
      <c r="L23" s="339" t="str">
        <f>INDEX(Parametri_RA!B$8:B$12,MATCH('Risk Register'!R23,Parametri_RA!C$8:C$12,0))</f>
        <v>Raro</v>
      </c>
      <c r="M23" s="348" t="s">
        <v>1578</v>
      </c>
      <c r="N23" s="345"/>
      <c r="O23" s="345"/>
      <c r="P23" s="338" t="s">
        <v>655</v>
      </c>
      <c r="Q23" s="338">
        <f>IFERROR(INDEX(Parametri_RA!$B$40:$B$44,MATCH('Risk Register'!J23,Parametri_RA!$C$40:$C$44,0)),"")</f>
        <v>2</v>
      </c>
      <c r="R23" s="338">
        <f>IF(OR('Engagement Scope'!E$31="Sì",'Engagement Scope'!E$10="Sì"),Q23,1)</f>
        <v>1</v>
      </c>
      <c r="S23" s="363" t="str">
        <f>IFERROR(IF('Risk Register'!N23="X",MAX('Impatto RI'!S:S),""),"")</f>
        <v/>
      </c>
      <c r="T23" s="363" t="str">
        <f>IFERROR(IF('Risk Register'!O23="X",MAX('Impatto RI'!X:X),""),"")</f>
        <v/>
      </c>
      <c r="U23" s="363" t="str">
        <f>IFERROR(IF(P23="X",INDEX(Parametri_BIA!$F$6:$F$10,MATCH('BIA Servizio'!$N$11,Parametri_BIA!$E$6:$E$10,0)),""),"")</f>
        <v/>
      </c>
      <c r="V23" s="363">
        <f t="shared" si="2"/>
        <v>0</v>
      </c>
      <c r="W23" s="339" t="str">
        <f>IFERROR(INDEX(Parametri_RA!$C:$C,MATCH('Risk Register'!S23,Parametri_RA!$B:$B,0)),"")</f>
        <v/>
      </c>
      <c r="X23" s="339" t="str">
        <f>IFERROR(INDEX(Parametri_RA!$C:$C,MATCH('Risk Register'!T23,Parametri_RA!$B:$B,0)),"")</f>
        <v/>
      </c>
      <c r="Y23" s="339" t="str">
        <f>IFERROR(INDEX(Parametri_RA!$C:$C,MATCH('Risk Register'!U23,Parametri_RA!$B:$B,0)),"")</f>
        <v/>
      </c>
      <c r="Z23" s="339" t="str">
        <f>IFERROR(INDEX(Parametri_RA!$C:$C,MATCH('Risk Register'!V23,Parametri_RA!$B:$B,0)),"")</f>
        <v/>
      </c>
      <c r="AA23" s="339" t="str">
        <f>IFERROR(INDEX(Parametri_RA!B$55:H$61,MATCH('Risk Register'!V23,Parametri_RA!B$55:B$61,0),MATCH('Risk Register'!R23,Parametri_RA!B$61:H$61,0)),"")</f>
        <v/>
      </c>
      <c r="AB23" s="364" t="str">
        <f ca="1">IFERROR(SUM(OFFSET('Valutazione controlli'!BR:BR,0,ROW()-8))/SUMIFS(OFFSET('Valutazione controlli'!I:I,0,ROW()-8),'Valutazione controlli'!BG:BG,"Applicabile",'Valutazione controlli'!G:G,"X"),"")</f>
        <v/>
      </c>
      <c r="AC23" s="365">
        <f ca="1">IFERROR(IF(AND(AB23&lt;=Parametri_RA!F$47,AB23&gt;Parametri_RA!F$48),Parametri_RA!F$46,IF(AND(AB23&lt;=Parametri_RA!E$47,AB23&gt;Parametri_RA!E$48),Parametri_RA!E$46,Parametri_RA!D$46)),"")</f>
        <v>0</v>
      </c>
      <c r="AD23" s="370" t="str">
        <f ca="1">INDEX(Parametri_RA!B:B,MATCH('Risk Register'!AC23,Parametri_RA!D:D,0))</f>
        <v>Non Implementato</v>
      </c>
      <c r="AE23" s="364" t="str">
        <f ca="1">IFERROR(SUM(OFFSET('Valutazione controlli'!CN:CN,0,ROW()-8))/SUMIFS(OFFSET('Valutazione controlli'!I:I,0,ROW()-8),'Valutazione controlli'!BG:BG,"Applicabile",'Valutazione controlli'!H:H,"X"),"")</f>
        <v/>
      </c>
      <c r="AF23" s="365">
        <f ca="1">IFERROR(IF(AND(AE23&lt;=Parametri_RA!F$32,AE23&gt;Parametri_RA!F$33),Parametri_RA!F$31,IF(AND(AE23&lt;=Parametri_RA!E$32,AE23&gt;Parametri_RA!E$33),Parametri_RA!E$31,Parametri_RA!D$31)),"")</f>
        <v>0</v>
      </c>
      <c r="AG23" s="370" t="str">
        <f ca="1">INDEX(Parametri_RA!B:B,MATCH('Risk Register'!AF23,Parametri_RA!D:D,0))</f>
        <v>Non Implementato</v>
      </c>
      <c r="AH23" s="339" t="str">
        <f ca="1">IFERROR(INDEX(Parametri_RA!B$40:F$46,MATCH('Risk Register'!R23,Parametri_RA!B$40:B$46,0),MATCH('Risk Register'!AC23,Parametri_RA!B$46:F$46,0)),"")</f>
        <v>Raro</v>
      </c>
      <c r="AI23" s="338">
        <f ca="1">IFERROR(INDEX(Parametri_RA!$B$40:$B$44,MATCH('Risk Register'!AH23,Parametri_RA!$C$40:$C$44,0)),"")</f>
        <v>1</v>
      </c>
      <c r="AJ23" s="339" t="str">
        <f ca="1">IFERROR(INDEX(Parametri_RA!B$25:F$31,MATCH('Risk Register'!V23,Parametri_RA!B$25:B$31,0),MATCH('Risk Register'!AF23,Parametri_RA!B$31:F$31,0)),"")</f>
        <v/>
      </c>
      <c r="AK23" s="338" t="str">
        <f ca="1">IFERROR(INDEX(Parametri_RA!B:B,MATCH('Risk Register'!AJ23,Parametri_RA!C:C,0)),"")</f>
        <v/>
      </c>
      <c r="AL23" s="371" t="str">
        <f ca="1">IFERROR(INDEX(Parametri_RA!B$55:H$61,MATCH('Risk Register'!AK23,Parametri_RA!B$55:B$61,0),MATCH('Risk Register'!AI23,Parametri_RA!B$61:H$61,0)),"")</f>
        <v/>
      </c>
    </row>
    <row r="24" spans="2:38" ht="68" x14ac:dyDescent="0.5">
      <c r="B24" s="293">
        <f>'Appoggio_BIA Servizio'!$B$5</f>
        <v>0</v>
      </c>
      <c r="C24" s="342" t="s">
        <v>1573</v>
      </c>
      <c r="D24" s="342" t="s">
        <v>1579</v>
      </c>
      <c r="E24" s="340" t="s">
        <v>636</v>
      </c>
      <c r="F24" s="336" t="s">
        <v>1580</v>
      </c>
      <c r="G24" s="331" t="s">
        <v>1533</v>
      </c>
      <c r="H24" s="331" t="s">
        <v>1534</v>
      </c>
      <c r="I24" s="347" t="s">
        <v>1512</v>
      </c>
      <c r="J24" s="339" t="s">
        <v>1538</v>
      </c>
      <c r="K24" s="347" t="s">
        <v>1577</v>
      </c>
      <c r="L24" s="339" t="str">
        <f>INDEX(Parametri_RA!B$8:B$12,MATCH('Risk Register'!R24,Parametri_RA!C$8:C$12,0))</f>
        <v>Raro</v>
      </c>
      <c r="M24" s="348" t="s">
        <v>1578</v>
      </c>
      <c r="N24" s="345"/>
      <c r="O24" s="345"/>
      <c r="P24" s="338" t="s">
        <v>655</v>
      </c>
      <c r="Q24" s="338">
        <f>IFERROR(INDEX(Parametri_RA!$B$40:$B$44,MATCH('Risk Register'!J24,Parametri_RA!$C$40:$C$44,0)),"")</f>
        <v>2</v>
      </c>
      <c r="R24" s="338">
        <f>IF(OR('Engagement Scope'!E$31="Sì",'Engagement Scope'!E$10="Sì"),Q24,1)</f>
        <v>1</v>
      </c>
      <c r="S24" s="363" t="str">
        <f>IFERROR(IF('Risk Register'!N24="X",MAX('Impatto RI'!S:S),""),"")</f>
        <v/>
      </c>
      <c r="T24" s="363" t="str">
        <f>IFERROR(IF('Risk Register'!O24="X",MAX('Impatto RI'!X:X),""),"")</f>
        <v/>
      </c>
      <c r="U24" s="363" t="str">
        <f>IFERROR(IF(P24="X",INDEX(Parametri_BIA!$F$6:$F$10,MATCH('BIA Servizio'!$N$11,Parametri_BIA!$E$6:$E$10,0)),""),"")</f>
        <v/>
      </c>
      <c r="V24" s="363">
        <f t="shared" si="2"/>
        <v>0</v>
      </c>
      <c r="W24" s="339" t="str">
        <f>IFERROR(INDEX(Parametri_RA!$C:$C,MATCH('Risk Register'!S24,Parametri_RA!$B:$B,0)),"")</f>
        <v/>
      </c>
      <c r="X24" s="339" t="str">
        <f>IFERROR(INDEX(Parametri_RA!$C:$C,MATCH('Risk Register'!T24,Parametri_RA!$B:$B,0)),"")</f>
        <v/>
      </c>
      <c r="Y24" s="339" t="str">
        <f>IFERROR(INDEX(Parametri_RA!$C:$C,MATCH('Risk Register'!U24,Parametri_RA!$B:$B,0)),"")</f>
        <v/>
      </c>
      <c r="Z24" s="339" t="str">
        <f>IFERROR(INDEX(Parametri_RA!$C:$C,MATCH('Risk Register'!V24,Parametri_RA!$B:$B,0)),"")</f>
        <v/>
      </c>
      <c r="AA24" s="339" t="str">
        <f>IFERROR(INDEX(Parametri_RA!B$55:H$61,MATCH('Risk Register'!V24,Parametri_RA!B$55:B$61,0),MATCH('Risk Register'!R24,Parametri_RA!B$61:H$61,0)),"")</f>
        <v/>
      </c>
      <c r="AB24" s="364" t="str">
        <f ca="1">IFERROR(SUM(OFFSET('Valutazione controlli'!BR:BR,0,ROW()-8))/SUMIFS(OFFSET('Valutazione controlli'!I:I,0,ROW()-8),'Valutazione controlli'!BG:BG,"Applicabile",'Valutazione controlli'!G:G,"X"),"")</f>
        <v/>
      </c>
      <c r="AC24" s="365">
        <f ca="1">IFERROR(IF(AND(AB24&lt;=Parametri_RA!F$47,AB24&gt;Parametri_RA!F$48),Parametri_RA!F$46,IF(AND(AB24&lt;=Parametri_RA!E$47,AB24&gt;Parametri_RA!E$48),Parametri_RA!E$46,Parametri_RA!D$46)),"")</f>
        <v>0</v>
      </c>
      <c r="AD24" s="370" t="str">
        <f ca="1">INDEX(Parametri_RA!B:B,MATCH('Risk Register'!AC24,Parametri_RA!D:D,0))</f>
        <v>Non Implementato</v>
      </c>
      <c r="AE24" s="364" t="str">
        <f ca="1">IFERROR(SUM(OFFSET('Valutazione controlli'!CN:CN,0,ROW()-8))/SUMIFS(OFFSET('Valutazione controlli'!I:I,0,ROW()-8),'Valutazione controlli'!BG:BG,"Applicabile",'Valutazione controlli'!H:H,"X"),"")</f>
        <v/>
      </c>
      <c r="AF24" s="365">
        <f ca="1">IFERROR(IF(AND(AE24&lt;=Parametri_RA!F$32,AE24&gt;Parametri_RA!F$33),Parametri_RA!F$31,IF(AND(AE24&lt;=Parametri_RA!E$32,AE24&gt;Parametri_RA!E$33),Parametri_RA!E$31,Parametri_RA!D$31)),"")</f>
        <v>0</v>
      </c>
      <c r="AG24" s="370" t="str">
        <f ca="1">INDEX(Parametri_RA!B:B,MATCH('Risk Register'!AF24,Parametri_RA!D:D,0))</f>
        <v>Non Implementato</v>
      </c>
      <c r="AH24" s="339" t="str">
        <f ca="1">IFERROR(INDEX(Parametri_RA!B$40:F$46,MATCH('Risk Register'!R24,Parametri_RA!B$40:B$46,0),MATCH('Risk Register'!AC24,Parametri_RA!B$46:F$46,0)),"")</f>
        <v>Raro</v>
      </c>
      <c r="AI24" s="338">
        <f ca="1">IFERROR(INDEX(Parametri_RA!$B$40:$B$44,MATCH('Risk Register'!AH24,Parametri_RA!$C$40:$C$44,0)),"")</f>
        <v>1</v>
      </c>
      <c r="AJ24" s="339" t="str">
        <f ca="1">IFERROR(INDEX(Parametri_RA!B$25:F$31,MATCH('Risk Register'!V24,Parametri_RA!B$25:B$31,0),MATCH('Risk Register'!AF24,Parametri_RA!B$31:F$31,0)),"")</f>
        <v/>
      </c>
      <c r="AK24" s="338" t="str">
        <f ca="1">IFERROR(INDEX(Parametri_RA!B:B,MATCH('Risk Register'!AJ24,Parametri_RA!C:C,0)),"")</f>
        <v/>
      </c>
      <c r="AL24" s="371" t="str">
        <f ca="1">IFERROR(INDEX(Parametri_RA!B$55:H$61,MATCH('Risk Register'!AK24,Parametri_RA!B$55:B$61,0),MATCH('Risk Register'!AI24,Parametri_RA!B$61:H$61,0)),"")</f>
        <v/>
      </c>
    </row>
    <row r="25" spans="2:38" ht="68" x14ac:dyDescent="0.5">
      <c r="B25" s="293">
        <f>'Appoggio_BIA Servizio'!$B$5</f>
        <v>0</v>
      </c>
      <c r="C25" s="342" t="s">
        <v>1573</v>
      </c>
      <c r="D25" s="342" t="s">
        <v>1579</v>
      </c>
      <c r="E25" s="340" t="s">
        <v>637</v>
      </c>
      <c r="F25" s="336" t="s">
        <v>1581</v>
      </c>
      <c r="G25" s="331" t="s">
        <v>1576</v>
      </c>
      <c r="H25" s="331" t="s">
        <v>1551</v>
      </c>
      <c r="I25" s="347" t="s">
        <v>1512</v>
      </c>
      <c r="J25" s="339" t="s">
        <v>1521</v>
      </c>
      <c r="K25" s="347" t="s">
        <v>1582</v>
      </c>
      <c r="L25" s="339" t="str">
        <f>INDEX(Parametri_RA!B$8:B$12,MATCH('Risk Register'!R25,Parametri_RA!C$8:C$12,0))</f>
        <v>Raro</v>
      </c>
      <c r="M25" s="348" t="s">
        <v>1578</v>
      </c>
      <c r="N25" s="345"/>
      <c r="O25" s="345"/>
      <c r="P25" s="338" t="s">
        <v>655</v>
      </c>
      <c r="Q25" s="338">
        <f>IFERROR(INDEX(Parametri_RA!$B$40:$B$44,MATCH('Risk Register'!J25,Parametri_RA!$C$40:$C$44,0)),"")</f>
        <v>3</v>
      </c>
      <c r="R25" s="338">
        <f>IF(OR('Engagement Scope'!E$31="Sì",'Engagement Scope'!E$10="Sì"),Q25,1)</f>
        <v>1</v>
      </c>
      <c r="S25" s="363" t="str">
        <f>IFERROR(IF('Risk Register'!N25="X",MAX('Impatto RI'!S:S),""),"")</f>
        <v/>
      </c>
      <c r="T25" s="363" t="str">
        <f>IFERROR(IF('Risk Register'!O25="X",MAX('Impatto RI'!X:X),""),"")</f>
        <v/>
      </c>
      <c r="U25" s="363" t="str">
        <f>IFERROR(IF(P25="X",INDEX(Parametri_BIA!$F$6:$F$10,MATCH('BIA Servizio'!$N$11,Parametri_BIA!$E$6:$E$10,0)),""),"")</f>
        <v/>
      </c>
      <c r="V25" s="363">
        <f t="shared" si="2"/>
        <v>0</v>
      </c>
      <c r="W25" s="339" t="str">
        <f>IFERROR(INDEX(Parametri_RA!$C:$C,MATCH('Risk Register'!S25,Parametri_RA!$B:$B,0)),"")</f>
        <v/>
      </c>
      <c r="X25" s="339" t="str">
        <f>IFERROR(INDEX(Parametri_RA!$C:$C,MATCH('Risk Register'!T25,Parametri_RA!$B:$B,0)),"")</f>
        <v/>
      </c>
      <c r="Y25" s="339" t="str">
        <f>IFERROR(INDEX(Parametri_RA!$C:$C,MATCH('Risk Register'!U25,Parametri_RA!$B:$B,0)),"")</f>
        <v/>
      </c>
      <c r="Z25" s="339" t="str">
        <f>IFERROR(INDEX(Parametri_RA!$C:$C,MATCH('Risk Register'!V25,Parametri_RA!$B:$B,0)),"")</f>
        <v/>
      </c>
      <c r="AA25" s="339" t="str">
        <f>IFERROR(INDEX(Parametri_RA!B$55:H$61,MATCH('Risk Register'!V25,Parametri_RA!B$55:B$61,0),MATCH('Risk Register'!R25,Parametri_RA!B$61:H$61,0)),"")</f>
        <v/>
      </c>
      <c r="AB25" s="364" t="str">
        <f ca="1">IFERROR(SUM(OFFSET('Valutazione controlli'!BR:BR,0,ROW()-8))/SUMIFS(OFFSET('Valutazione controlli'!I:I,0,ROW()-8),'Valutazione controlli'!BG:BG,"Applicabile",'Valutazione controlli'!G:G,"X"),"")</f>
        <v/>
      </c>
      <c r="AC25" s="365">
        <f ca="1">IFERROR(IF(AND(AB25&lt;=Parametri_RA!F$47,AB25&gt;Parametri_RA!F$48),Parametri_RA!F$46,IF(AND(AB25&lt;=Parametri_RA!E$47,AB25&gt;Parametri_RA!E$48),Parametri_RA!E$46,Parametri_RA!D$46)),"")</f>
        <v>0</v>
      </c>
      <c r="AD25" s="370" t="str">
        <f ca="1">INDEX(Parametri_RA!B:B,MATCH('Risk Register'!AC25,Parametri_RA!D:D,0))</f>
        <v>Non Implementato</v>
      </c>
      <c r="AE25" s="364" t="str">
        <f ca="1">IFERROR(SUM(OFFSET('Valutazione controlli'!CN:CN,0,ROW()-8))/SUMIFS(OFFSET('Valutazione controlli'!I:I,0,ROW()-8),'Valutazione controlli'!BG:BG,"Applicabile",'Valutazione controlli'!H:H,"X"),"")</f>
        <v/>
      </c>
      <c r="AF25" s="365">
        <f ca="1">IFERROR(IF(AND(AE25&lt;=Parametri_RA!F$32,AE25&gt;Parametri_RA!F$33),Parametri_RA!F$31,IF(AND(AE25&lt;=Parametri_RA!E$32,AE25&gt;Parametri_RA!E$33),Parametri_RA!E$31,Parametri_RA!D$31)),"")</f>
        <v>0</v>
      </c>
      <c r="AG25" s="370" t="str">
        <f ca="1">INDEX(Parametri_RA!B:B,MATCH('Risk Register'!AF25,Parametri_RA!D:D,0))</f>
        <v>Non Implementato</v>
      </c>
      <c r="AH25" s="339" t="str">
        <f ca="1">IFERROR(INDEX(Parametri_RA!B$40:F$46,MATCH('Risk Register'!R25,Parametri_RA!B$40:B$46,0),MATCH('Risk Register'!AC25,Parametri_RA!B$46:F$46,0)),"")</f>
        <v>Raro</v>
      </c>
      <c r="AI25" s="338">
        <f ca="1">IFERROR(INDEX(Parametri_RA!$B$40:$B$44,MATCH('Risk Register'!AH25,Parametri_RA!$C$40:$C$44,0)),"")</f>
        <v>1</v>
      </c>
      <c r="AJ25" s="339" t="str">
        <f ca="1">IFERROR(INDEX(Parametri_RA!B$25:F$31,MATCH('Risk Register'!V25,Parametri_RA!B$25:B$31,0),MATCH('Risk Register'!AF25,Parametri_RA!B$31:F$31,0)),"")</f>
        <v/>
      </c>
      <c r="AK25" s="338" t="str">
        <f ca="1">IFERROR(INDEX(Parametri_RA!B:B,MATCH('Risk Register'!AJ25,Parametri_RA!C:C,0)),"")</f>
        <v/>
      </c>
      <c r="AL25" s="371" t="str">
        <f ca="1">IFERROR(INDEX(Parametri_RA!B$55:H$61,MATCH('Risk Register'!AK25,Parametri_RA!B$55:B$61,0),MATCH('Risk Register'!AI25,Parametri_RA!B$61:H$61,0)),"")</f>
        <v/>
      </c>
    </row>
    <row r="26" spans="2:38" ht="68" x14ac:dyDescent="0.5">
      <c r="B26" s="293">
        <f>'Appoggio_BIA Servizio'!$B$5</f>
        <v>0</v>
      </c>
      <c r="C26" s="342" t="s">
        <v>1573</v>
      </c>
      <c r="D26" s="342" t="s">
        <v>1579</v>
      </c>
      <c r="E26" s="340" t="s">
        <v>638</v>
      </c>
      <c r="F26" s="336" t="s">
        <v>1583</v>
      </c>
      <c r="G26" s="331" t="s">
        <v>1510</v>
      </c>
      <c r="H26" s="331" t="s">
        <v>1534</v>
      </c>
      <c r="I26" s="347" t="s">
        <v>1512</v>
      </c>
      <c r="J26" s="339" t="s">
        <v>1584</v>
      </c>
      <c r="K26" s="347" t="s">
        <v>1585</v>
      </c>
      <c r="L26" s="339" t="str">
        <f>INDEX(Parametri_RA!B$8:B$12,MATCH('Risk Register'!R26,Parametri_RA!C$8:C$12,0))</f>
        <v>Raro</v>
      </c>
      <c r="M26" s="348" t="s">
        <v>1578</v>
      </c>
      <c r="N26" s="345"/>
      <c r="O26" s="338" t="s">
        <v>655</v>
      </c>
      <c r="P26" s="338" t="s">
        <v>655</v>
      </c>
      <c r="Q26" s="338">
        <f>IFERROR(INDEX(Parametri_RA!$B$40:$B$44,MATCH('Risk Register'!J26,Parametri_RA!$C$40:$C$44,0)),"")</f>
        <v>1</v>
      </c>
      <c r="R26" s="338">
        <f>IF(OR('Engagement Scope'!E$31="Sì",'Engagement Scope'!E$10="Sì"),Q26,1)</f>
        <v>1</v>
      </c>
      <c r="S26" s="363" t="str">
        <f>IFERROR(IF('Risk Register'!N26="X",MAX('Impatto RI'!S:S),""),"")</f>
        <v/>
      </c>
      <c r="T26" s="363">
        <f>IFERROR(IF('Risk Register'!O26="X",MAX('Impatto RI'!X:X),""),"")</f>
        <v>0</v>
      </c>
      <c r="U26" s="363" t="str">
        <f>IFERROR(IF(P26="X",INDEX(Parametri_BIA!$F$6:$F$10,MATCH('BIA Servizio'!$N$11,Parametri_BIA!$E$6:$E$10,0)),""),"")</f>
        <v/>
      </c>
      <c r="V26" s="363">
        <f t="shared" si="2"/>
        <v>0</v>
      </c>
      <c r="W26" s="339" t="str">
        <f>IFERROR(INDEX(Parametri_RA!$C:$C,MATCH('Risk Register'!S26,Parametri_RA!$B:$B,0)),"")</f>
        <v/>
      </c>
      <c r="X26" s="339" t="str">
        <f>IFERROR(INDEX(Parametri_RA!$C:$C,MATCH('Risk Register'!T26,Parametri_RA!$B:$B,0)),"")</f>
        <v/>
      </c>
      <c r="Y26" s="339" t="str">
        <f>IFERROR(INDEX(Parametri_RA!$C:$C,MATCH('Risk Register'!U26,Parametri_RA!$B:$B,0)),"")</f>
        <v/>
      </c>
      <c r="Z26" s="339" t="str">
        <f>IFERROR(INDEX(Parametri_RA!$C:$C,MATCH('Risk Register'!V26,Parametri_RA!$B:$B,0)),"")</f>
        <v/>
      </c>
      <c r="AA26" s="339" t="str">
        <f>IFERROR(INDEX(Parametri_RA!B$55:H$61,MATCH('Risk Register'!V26,Parametri_RA!B$55:B$61,0),MATCH('Risk Register'!R26,Parametri_RA!B$61:H$61,0)),"")</f>
        <v/>
      </c>
      <c r="AB26" s="364" t="str">
        <f ca="1">IFERROR(SUM(OFFSET('Valutazione controlli'!BR:BR,0,ROW()-8))/SUMIFS(OFFSET('Valutazione controlli'!I:I,0,ROW()-8),'Valutazione controlli'!BG:BG,"Applicabile",'Valutazione controlli'!G:G,"X"),"")</f>
        <v/>
      </c>
      <c r="AC26" s="365">
        <f ca="1">IFERROR(IF(AND(AB26&lt;=Parametri_RA!F$47,AB26&gt;Parametri_RA!F$48),Parametri_RA!F$46,IF(AND(AB26&lt;=Parametri_RA!E$47,AB26&gt;Parametri_RA!E$48),Parametri_RA!E$46,Parametri_RA!D$46)),"")</f>
        <v>0</v>
      </c>
      <c r="AD26" s="370" t="str">
        <f ca="1">INDEX(Parametri_RA!B:B,MATCH('Risk Register'!AC26,Parametri_RA!D:D,0))</f>
        <v>Non Implementato</v>
      </c>
      <c r="AE26" s="364" t="str">
        <f ca="1">IFERROR(SUM(OFFSET('Valutazione controlli'!CN:CN,0,ROW()-8))/SUMIFS(OFFSET('Valutazione controlli'!I:I,0,ROW()-8),'Valutazione controlli'!BG:BG,"Applicabile",'Valutazione controlli'!H:H,"X"),"")</f>
        <v/>
      </c>
      <c r="AF26" s="365">
        <f ca="1">IFERROR(IF(AND(AE26&lt;=Parametri_RA!F$32,AE26&gt;Parametri_RA!F$33),Parametri_RA!F$31,IF(AND(AE26&lt;=Parametri_RA!E$32,AE26&gt;Parametri_RA!E$33),Parametri_RA!E$31,Parametri_RA!D$31)),"")</f>
        <v>0</v>
      </c>
      <c r="AG26" s="370" t="str">
        <f ca="1">INDEX(Parametri_RA!B:B,MATCH('Risk Register'!AF26,Parametri_RA!D:D,0))</f>
        <v>Non Implementato</v>
      </c>
      <c r="AH26" s="339" t="str">
        <f ca="1">IFERROR(INDEX(Parametri_RA!B$40:F$46,MATCH('Risk Register'!R26,Parametri_RA!B$40:B$46,0),MATCH('Risk Register'!AC26,Parametri_RA!B$46:F$46,0)),"")</f>
        <v>Raro</v>
      </c>
      <c r="AI26" s="338">
        <f ca="1">IFERROR(INDEX(Parametri_RA!$B$40:$B$44,MATCH('Risk Register'!AH26,Parametri_RA!$C$40:$C$44,0)),"")</f>
        <v>1</v>
      </c>
      <c r="AJ26" s="339" t="str">
        <f ca="1">IFERROR(INDEX(Parametri_RA!B$25:F$31,MATCH('Risk Register'!V26,Parametri_RA!B$25:B$31,0),MATCH('Risk Register'!AF26,Parametri_RA!B$31:F$31,0)),"")</f>
        <v/>
      </c>
      <c r="AK26" s="338" t="str">
        <f ca="1">IFERROR(INDEX(Parametri_RA!B:B,MATCH('Risk Register'!AJ26,Parametri_RA!C:C,0)),"")</f>
        <v/>
      </c>
      <c r="AL26" s="371" t="str">
        <f ca="1">IFERROR(INDEX(Parametri_RA!B$55:H$61,MATCH('Risk Register'!AK26,Parametri_RA!B$55:B$61,0),MATCH('Risk Register'!AI26,Parametri_RA!B$61:H$61,0)),"")</f>
        <v/>
      </c>
    </row>
    <row r="27" spans="2:38" ht="153" x14ac:dyDescent="0.5">
      <c r="B27" s="293">
        <f>'Appoggio_BIA Servizio'!$B$5</f>
        <v>0</v>
      </c>
      <c r="C27" s="342" t="s">
        <v>1573</v>
      </c>
      <c r="D27" s="342" t="s">
        <v>1586</v>
      </c>
      <c r="E27" s="340" t="s">
        <v>639</v>
      </c>
      <c r="F27" s="336" t="s">
        <v>1587</v>
      </c>
      <c r="G27" s="331" t="s">
        <v>1588</v>
      </c>
      <c r="H27" s="331" t="s">
        <v>1589</v>
      </c>
      <c r="I27" s="347" t="s">
        <v>1512</v>
      </c>
      <c r="J27" s="339" t="s">
        <v>1538</v>
      </c>
      <c r="K27" s="347" t="s">
        <v>1590</v>
      </c>
      <c r="L27" s="339" t="str">
        <f>INDEX(Parametri_RA!B$8:B$12,MATCH('Risk Register'!R27,Parametri_RA!C$8:C$12,0))</f>
        <v>Improbabile</v>
      </c>
      <c r="M27" s="348" t="s">
        <v>1526</v>
      </c>
      <c r="N27" s="345"/>
      <c r="O27" s="345"/>
      <c r="P27" s="338" t="s">
        <v>655</v>
      </c>
      <c r="Q27" s="338">
        <f>IFERROR(INDEX(Parametri_RA!$B$40:$B$44,MATCH('Risk Register'!J27,Parametri_RA!$C$40:$C$44,0)),"")</f>
        <v>2</v>
      </c>
      <c r="R27" s="376">
        <f>DB_Risk[[#This Row],[Val prob ine est]]</f>
        <v>2</v>
      </c>
      <c r="S27" s="363" t="str">
        <f>IFERROR(IF('Risk Register'!N27="X",MAX('Impatto RI'!S:S),""),"")</f>
        <v/>
      </c>
      <c r="T27" s="363" t="str">
        <f>IFERROR(IF('Risk Register'!O27="X",MAX('Impatto RI'!X:X),""),"")</f>
        <v/>
      </c>
      <c r="U27" s="363" t="str">
        <f>IFERROR(IF(P27="X",INDEX(Parametri_BIA!$F$6:$F$10,MATCH('BIA Servizio'!$N$11,Parametri_BIA!$E$6:$E$10,0)),""),"")</f>
        <v/>
      </c>
      <c r="V27" s="363">
        <f t="shared" si="2"/>
        <v>0</v>
      </c>
      <c r="W27" s="339" t="str">
        <f>IFERROR(INDEX(Parametri_RA!$C:$C,MATCH('Risk Register'!S27,Parametri_RA!$B:$B,0)),"")</f>
        <v/>
      </c>
      <c r="X27" s="339" t="str">
        <f>IFERROR(INDEX(Parametri_RA!$C:$C,MATCH('Risk Register'!T27,Parametri_RA!$B:$B,0)),"")</f>
        <v/>
      </c>
      <c r="Y27" s="339" t="str">
        <f>IFERROR(INDEX(Parametri_RA!$C:$C,MATCH('Risk Register'!U27,Parametri_RA!$B:$B,0)),"")</f>
        <v/>
      </c>
      <c r="Z27" s="339" t="str">
        <f>IFERROR(INDEX(Parametri_RA!$C:$C,MATCH('Risk Register'!V27,Parametri_RA!$B:$B,0)),"")</f>
        <v/>
      </c>
      <c r="AA27" s="339" t="str">
        <f>IFERROR(INDEX(Parametri_RA!B$55:H$61,MATCH('Risk Register'!V27,Parametri_RA!B$55:B$61,0),MATCH('Risk Register'!R27,Parametri_RA!B$61:H$61,0)),"")</f>
        <v/>
      </c>
      <c r="AB27" s="364" t="str">
        <f ca="1">IFERROR(SUM(OFFSET('Valutazione controlli'!BR:BR,0,ROW()-8))/SUMIFS(OFFSET('Valutazione controlli'!I:I,0,ROW()-8),'Valutazione controlli'!BG:BG,"Applicabile",'Valutazione controlli'!G:G,"X"),"")</f>
        <v/>
      </c>
      <c r="AC27" s="365">
        <f ca="1">IFERROR(IF(AND(AB27&lt;=Parametri_RA!F$47,AB27&gt;Parametri_RA!F$48),Parametri_RA!F$46,IF(AND(AB27&lt;=Parametri_RA!E$47,AB27&gt;Parametri_RA!E$48),Parametri_RA!E$46,Parametri_RA!D$46)),"")</f>
        <v>0</v>
      </c>
      <c r="AD27" s="370" t="str">
        <f ca="1">INDEX(Parametri_RA!B:B,MATCH('Risk Register'!AC27,Parametri_RA!D:D,0))</f>
        <v>Non Implementato</v>
      </c>
      <c r="AE27" s="364" t="str">
        <f ca="1">IFERROR(SUM(OFFSET('Valutazione controlli'!CN:CN,0,ROW()-8))/SUMIFS(OFFSET('Valutazione controlli'!I:I,0,ROW()-8),'Valutazione controlli'!BG:BG,"Applicabile",'Valutazione controlli'!H:H,"X"),"")</f>
        <v/>
      </c>
      <c r="AF27" s="365">
        <f ca="1">IFERROR(IF(AND(AE27&lt;=Parametri_RA!F$32,AE27&gt;Parametri_RA!F$33),Parametri_RA!F$31,IF(AND(AE27&lt;=Parametri_RA!E$32,AE27&gt;Parametri_RA!E$33),Parametri_RA!E$31,Parametri_RA!D$31)),"")</f>
        <v>0</v>
      </c>
      <c r="AG27" s="370" t="str">
        <f ca="1">INDEX(Parametri_RA!B:B,MATCH('Risk Register'!AF27,Parametri_RA!D:D,0))</f>
        <v>Non Implementato</v>
      </c>
      <c r="AH27" s="339" t="str">
        <f ca="1">IFERROR(INDEX(Parametri_RA!B$40:F$46,MATCH('Risk Register'!R27,Parametri_RA!B$40:B$46,0),MATCH('Risk Register'!AC27,Parametri_RA!B$46:F$46,0)),"")</f>
        <v>Improbabile</v>
      </c>
      <c r="AI27" s="338">
        <f ca="1">IFERROR(INDEX(Parametri_RA!$B$40:$B$44,MATCH('Risk Register'!AH27,Parametri_RA!$C$40:$C$44,0)),"")</f>
        <v>2</v>
      </c>
      <c r="AJ27" s="339" t="str">
        <f ca="1">IFERROR(INDEX(Parametri_RA!B$25:F$31,MATCH('Risk Register'!V27,Parametri_RA!B$25:B$31,0),MATCH('Risk Register'!AF27,Parametri_RA!B$31:F$31,0)),"")</f>
        <v/>
      </c>
      <c r="AK27" s="338" t="str">
        <f ca="1">IFERROR(INDEX(Parametri_RA!B:B,MATCH('Risk Register'!AJ27,Parametri_RA!C:C,0)),"")</f>
        <v/>
      </c>
      <c r="AL27" s="371" t="str">
        <f ca="1">IFERROR(INDEX(Parametri_RA!B$55:H$61,MATCH('Risk Register'!AK27,Parametri_RA!B$55:B$61,0),MATCH('Risk Register'!AI27,Parametri_RA!B$61:H$61,0)),"")</f>
        <v/>
      </c>
    </row>
    <row r="28" spans="2:38" ht="102" x14ac:dyDescent="0.5">
      <c r="B28" s="293">
        <f>'Appoggio_BIA Servizio'!$B$5</f>
        <v>0</v>
      </c>
      <c r="C28" s="342" t="s">
        <v>1573</v>
      </c>
      <c r="D28" s="342" t="s">
        <v>1591</v>
      </c>
      <c r="E28" s="340" t="s">
        <v>640</v>
      </c>
      <c r="F28" s="336" t="s">
        <v>1592</v>
      </c>
      <c r="G28" s="331" t="s">
        <v>1576</v>
      </c>
      <c r="H28" s="331" t="s">
        <v>1551</v>
      </c>
      <c r="I28" s="347" t="s">
        <v>1512</v>
      </c>
      <c r="J28" s="339" t="s">
        <v>1538</v>
      </c>
      <c r="K28" s="347" t="s">
        <v>1593</v>
      </c>
      <c r="L28" s="339" t="str">
        <f>INDEX(Parametri_RA!B$8:B$12,MATCH('Risk Register'!R28,Parametri_RA!C$8:C$12,0))</f>
        <v>Raro</v>
      </c>
      <c r="M28" s="348" t="s">
        <v>1594</v>
      </c>
      <c r="N28" s="345"/>
      <c r="O28" s="345"/>
      <c r="P28" s="338" t="s">
        <v>655</v>
      </c>
      <c r="Q28" s="338">
        <f>IFERROR(INDEX(Parametri_RA!$B$40:$B$44,MATCH('Risk Register'!J28,Parametri_RA!$C$40:$C$44,0)),"")</f>
        <v>2</v>
      </c>
      <c r="R28" s="376">
        <f>IF(OR(MAX(Fornitori!Z$6:Z$100)=4,MAX(Fornitori!AA$6:AA$100)&gt;=3),Q28,1)</f>
        <v>1</v>
      </c>
      <c r="S28" s="363" t="str">
        <f>IFERROR(IF('Risk Register'!N28="X",MAX('Impatto RI'!S:S),""),"")</f>
        <v/>
      </c>
      <c r="T28" s="363" t="str">
        <f>IFERROR(IF('Risk Register'!O28="X",MAX('Impatto RI'!X:X),""),"")</f>
        <v/>
      </c>
      <c r="U28" s="363" t="str">
        <f>IFERROR(IF(P28="X",INDEX(Parametri_BIA!$F$6:$F$10,MATCH('BIA Servizio'!$N$11,Parametri_BIA!$E$6:$E$10,0)),""),"")</f>
        <v/>
      </c>
      <c r="V28" s="363">
        <f t="shared" si="2"/>
        <v>0</v>
      </c>
      <c r="W28" s="339" t="str">
        <f>IFERROR(INDEX(Parametri_RA!$C:$C,MATCH('Risk Register'!S28,Parametri_RA!$B:$B,0)),"")</f>
        <v/>
      </c>
      <c r="X28" s="339" t="str">
        <f>IFERROR(INDEX(Parametri_RA!$C:$C,MATCH('Risk Register'!T28,Parametri_RA!$B:$B,0)),"")</f>
        <v/>
      </c>
      <c r="Y28" s="339" t="str">
        <f>IFERROR(INDEX(Parametri_RA!$C:$C,MATCH('Risk Register'!U28,Parametri_RA!$B:$B,0)),"")</f>
        <v/>
      </c>
      <c r="Z28" s="339" t="str">
        <f>IFERROR(INDEX(Parametri_RA!$C:$C,MATCH('Risk Register'!V28,Parametri_RA!$B:$B,0)),"")</f>
        <v/>
      </c>
      <c r="AA28" s="339" t="str">
        <f>IFERROR(INDEX(Parametri_RA!B$55:H$61,MATCH('Risk Register'!V28,Parametri_RA!B$55:B$61,0),MATCH('Risk Register'!R28,Parametri_RA!B$61:H$61,0)),"")</f>
        <v/>
      </c>
      <c r="AB28" s="364" t="str">
        <f ca="1">IFERROR(SUM(OFFSET('Valutazione controlli'!BR:BR,0,ROW()-8))/SUMIFS(OFFSET('Valutazione controlli'!I:I,0,ROW()-8),'Valutazione controlli'!BG:BG,"Applicabile",'Valutazione controlli'!G:G,"X"),"")</f>
        <v/>
      </c>
      <c r="AC28" s="365">
        <f ca="1">IFERROR(IF(AND(AB28&lt;=Parametri_RA!F$47,AB28&gt;Parametri_RA!F$48),Parametri_RA!F$46,IF(AND(AB28&lt;=Parametri_RA!E$47,AB28&gt;Parametri_RA!E$48),Parametri_RA!E$46,Parametri_RA!D$46)),"")</f>
        <v>0</v>
      </c>
      <c r="AD28" s="370" t="str">
        <f ca="1">INDEX(Parametri_RA!B:B,MATCH('Risk Register'!AC28,Parametri_RA!D:D,0))</f>
        <v>Non Implementato</v>
      </c>
      <c r="AE28" s="364" t="str">
        <f ca="1">IFERROR(SUM(OFFSET('Valutazione controlli'!CN:CN,0,ROW()-8))/SUMIFS(OFFSET('Valutazione controlli'!I:I,0,ROW()-8),'Valutazione controlli'!BG:BG,"Applicabile",'Valutazione controlli'!H:H,"X"),"")</f>
        <v/>
      </c>
      <c r="AF28" s="365">
        <f ca="1">IFERROR(IF(AND(AE28&lt;=Parametri_RA!F$32,AE28&gt;Parametri_RA!F$33),Parametri_RA!F$31,IF(AND(AE28&lt;=Parametri_RA!E$32,AE28&gt;Parametri_RA!E$33),Parametri_RA!E$31,Parametri_RA!D$31)),"")</f>
        <v>0</v>
      </c>
      <c r="AG28" s="370" t="str">
        <f ca="1">INDEX(Parametri_RA!B:B,MATCH('Risk Register'!AF28,Parametri_RA!D:D,0))</f>
        <v>Non Implementato</v>
      </c>
      <c r="AH28" s="339" t="str">
        <f ca="1">IFERROR(INDEX(Parametri_RA!B$40:F$46,MATCH('Risk Register'!R28,Parametri_RA!B$40:B$46,0),MATCH('Risk Register'!AC28,Parametri_RA!B$46:F$46,0)),"")</f>
        <v>Raro</v>
      </c>
      <c r="AI28" s="338">
        <f ca="1">IFERROR(INDEX(Parametri_RA!$B$40:$B$44,MATCH('Risk Register'!AH28,Parametri_RA!$C$40:$C$44,0)),"")</f>
        <v>1</v>
      </c>
      <c r="AJ28" s="339" t="str">
        <f ca="1">IFERROR(INDEX(Parametri_RA!B$25:F$31,MATCH('Risk Register'!V28,Parametri_RA!B$25:B$31,0),MATCH('Risk Register'!AF28,Parametri_RA!B$31:F$31,0)),"")</f>
        <v/>
      </c>
      <c r="AK28" s="338" t="str">
        <f ca="1">IFERROR(INDEX(Parametri_RA!B:B,MATCH('Risk Register'!AJ28,Parametri_RA!C:C,0)),"")</f>
        <v/>
      </c>
      <c r="AL28" s="371" t="str">
        <f ca="1">IFERROR(INDEX(Parametri_RA!B$55:H$61,MATCH('Risk Register'!AK28,Parametri_RA!B$55:B$61,0),MATCH('Risk Register'!AI28,Parametri_RA!B$61:H$61,0)),"")</f>
        <v/>
      </c>
    </row>
    <row r="29" spans="2:38" ht="85" x14ac:dyDescent="0.5">
      <c r="B29" s="293">
        <f>'Appoggio_BIA Servizio'!$B$5</f>
        <v>0</v>
      </c>
      <c r="C29" s="342" t="s">
        <v>1595</v>
      </c>
      <c r="D29" s="342" t="s">
        <v>1596</v>
      </c>
      <c r="E29" s="340" t="s">
        <v>641</v>
      </c>
      <c r="F29" s="336" t="s">
        <v>1597</v>
      </c>
      <c r="G29" s="331" t="s">
        <v>1510</v>
      </c>
      <c r="H29" s="331" t="s">
        <v>1511</v>
      </c>
      <c r="I29" s="347" t="s">
        <v>1512</v>
      </c>
      <c r="J29" s="339" t="s">
        <v>1538</v>
      </c>
      <c r="K29" s="347" t="s">
        <v>1598</v>
      </c>
      <c r="L29" s="339" t="str">
        <f>INDEX(Parametri_RA!B$8:B$12,MATCH('Risk Register'!R29,Parametri_RA!C$8:C$12,0))</f>
        <v>Raro</v>
      </c>
      <c r="M29" s="348" t="s">
        <v>1578</v>
      </c>
      <c r="N29" s="338" t="s">
        <v>655</v>
      </c>
      <c r="O29" s="338" t="s">
        <v>655</v>
      </c>
      <c r="P29" s="338" t="s">
        <v>655</v>
      </c>
      <c r="Q29" s="338">
        <f>IFERROR(INDEX(Parametri_RA!$B$40:$B$44,MATCH('Risk Register'!J29,Parametri_RA!$C$40:$C$44,0)),"")</f>
        <v>2</v>
      </c>
      <c r="R29" s="338">
        <f>IF(OR('Engagement Scope'!E$31="Sì",'Engagement Scope'!E$10="Sì"),Q29,1)</f>
        <v>1</v>
      </c>
      <c r="S29" s="363">
        <f>IFERROR(IF('Risk Register'!N29="X",MAX('Impatto RI'!S:S),""),"")</f>
        <v>0</v>
      </c>
      <c r="T29" s="363">
        <f>IFERROR(IF('Risk Register'!O29="X",MAX('Impatto RI'!X:X),""),"")</f>
        <v>0</v>
      </c>
      <c r="U29" s="363" t="str">
        <f>IFERROR(IF(P29="X",INDEX(Parametri_BIA!$F$6:$F$10,MATCH('BIA Servizio'!$N$11,Parametri_BIA!$E$6:$E$10,0)),""),"")</f>
        <v/>
      </c>
      <c r="V29" s="363">
        <f t="shared" si="2"/>
        <v>0</v>
      </c>
      <c r="W29" s="339" t="str">
        <f>IFERROR(INDEX(Parametri_RA!$C:$C,MATCH('Risk Register'!S29,Parametri_RA!$B:$B,0)),"")</f>
        <v/>
      </c>
      <c r="X29" s="339" t="str">
        <f>IFERROR(INDEX(Parametri_RA!$C:$C,MATCH('Risk Register'!T29,Parametri_RA!$B:$B,0)),"")</f>
        <v/>
      </c>
      <c r="Y29" s="339" t="str">
        <f>IFERROR(INDEX(Parametri_RA!$C:$C,MATCH('Risk Register'!U29,Parametri_RA!$B:$B,0)),"")</f>
        <v/>
      </c>
      <c r="Z29" s="339" t="str">
        <f>IFERROR(INDEX(Parametri_RA!$C:$C,MATCH('Risk Register'!V29,Parametri_RA!$B:$B,0)),"")</f>
        <v/>
      </c>
      <c r="AA29" s="339" t="str">
        <f>IFERROR(INDEX(Parametri_RA!B$55:H$61,MATCH('Risk Register'!V29,Parametri_RA!B$55:B$61,0),MATCH('Risk Register'!R29,Parametri_RA!B$61:H$61,0)),"")</f>
        <v/>
      </c>
      <c r="AB29" s="364" t="str">
        <f ca="1">IFERROR(SUM(OFFSET('Valutazione controlli'!BR:BR,0,ROW()-8))/SUMIFS(OFFSET('Valutazione controlli'!I:I,0,ROW()-8),'Valutazione controlli'!BG:BG,"Applicabile",'Valutazione controlli'!G:G,"X"),"")</f>
        <v/>
      </c>
      <c r="AC29" s="365">
        <f ca="1">IFERROR(IF(AND(AB29&lt;=Parametri_RA!F$47,AB29&gt;Parametri_RA!F$48),Parametri_RA!F$46,IF(AND(AB29&lt;=Parametri_RA!E$47,AB29&gt;Parametri_RA!E$48),Parametri_RA!E$46,Parametri_RA!D$46)),"")</f>
        <v>0</v>
      </c>
      <c r="AD29" s="370" t="str">
        <f ca="1">INDEX(Parametri_RA!B:B,MATCH('Risk Register'!AC29,Parametri_RA!D:D,0))</f>
        <v>Non Implementato</v>
      </c>
      <c r="AE29" s="364" t="str">
        <f ca="1">IFERROR(SUM(OFFSET('Valutazione controlli'!CN:CN,0,ROW()-8))/SUMIFS(OFFSET('Valutazione controlli'!I:I,0,ROW()-8),'Valutazione controlli'!BG:BG,"Applicabile",'Valutazione controlli'!H:H,"X"),"")</f>
        <v/>
      </c>
      <c r="AF29" s="365">
        <f ca="1">IFERROR(IF(AND(AE29&lt;=Parametri_RA!F$32,AE29&gt;Parametri_RA!F$33),Parametri_RA!F$31,IF(AND(AE29&lt;=Parametri_RA!E$32,AE29&gt;Parametri_RA!E$33),Parametri_RA!E$31,Parametri_RA!D$31)),"")</f>
        <v>0</v>
      </c>
      <c r="AG29" s="370" t="str">
        <f ca="1">INDEX(Parametri_RA!B:B,MATCH('Risk Register'!AF29,Parametri_RA!D:D,0))</f>
        <v>Non Implementato</v>
      </c>
      <c r="AH29" s="339" t="str">
        <f ca="1">IFERROR(INDEX(Parametri_RA!B$40:F$46,MATCH('Risk Register'!R29,Parametri_RA!B$40:B$46,0),MATCH('Risk Register'!AC29,Parametri_RA!B$46:F$46,0)),"")</f>
        <v>Raro</v>
      </c>
      <c r="AI29" s="338">
        <f ca="1">IFERROR(INDEX(Parametri_RA!$B$40:$B$44,MATCH('Risk Register'!AH29,Parametri_RA!$C$40:$C$44,0)),"")</f>
        <v>1</v>
      </c>
      <c r="AJ29" s="339" t="str">
        <f ca="1">IFERROR(INDEX(Parametri_RA!B$25:F$31,MATCH('Risk Register'!V29,Parametri_RA!B$25:B$31,0),MATCH('Risk Register'!AF29,Parametri_RA!B$31:F$31,0)),"")</f>
        <v/>
      </c>
      <c r="AK29" s="338" t="str">
        <f ca="1">IFERROR(INDEX(Parametri_RA!B:B,MATCH('Risk Register'!AJ29,Parametri_RA!C:C,0)),"")</f>
        <v/>
      </c>
      <c r="AL29" s="371" t="str">
        <f ca="1">IFERROR(INDEX(Parametri_RA!B$55:H$61,MATCH('Risk Register'!AK29,Parametri_RA!B$55:B$61,0),MATCH('Risk Register'!AI29,Parametri_RA!B$61:H$61,0)),"")</f>
        <v/>
      </c>
    </row>
  </sheetData>
  <sheetProtection algorithmName="SHA-512" hashValue="hITvcnUPx4443y34qDBwdS3DL6n2hjMZ5G4HA6mXZkCmUxxT/pTzHuojiBE9i+lmKKpyk6GRiLTDa76RP55ODQ==" saltValue="1aMI1wTL/hoDyz4+gVs5mA==" spinCount="100000" sheet="1" objects="1" scenarios="1"/>
  <mergeCells count="5">
    <mergeCell ref="F2:N2"/>
    <mergeCell ref="Q6:AA6"/>
    <mergeCell ref="AB6:AL6"/>
    <mergeCell ref="B6:P6"/>
    <mergeCell ref="B4:N4"/>
  </mergeCells>
  <conditionalFormatting sqref="AL8:AL29 AA8:AA29">
    <cfRule type="cellIs" dxfId="74" priority="96" operator="equal">
      <formula>"Basso"</formula>
    </cfRule>
    <cfRule type="cellIs" dxfId="73" priority="97" operator="equal">
      <formula>"Medio"</formula>
    </cfRule>
    <cfRule type="cellIs" dxfId="72" priority="99" operator="equal">
      <formula>"Alto"</formula>
    </cfRule>
  </conditionalFormatting>
  <conditionalFormatting sqref="AD8:AD29 AG8:AG29">
    <cfRule type="cellIs" dxfId="71" priority="79" operator="equal">
      <formula>"Non Implementato"</formula>
    </cfRule>
    <cfRule type="cellIs" dxfId="70" priority="81" operator="equal">
      <formula>"Parzialmente Implementato"</formula>
    </cfRule>
    <cfRule type="cellIs" dxfId="69" priority="83" operator="equal">
      <formula>"Implementato"</formula>
    </cfRule>
  </conditionalFormatting>
  <conditionalFormatting sqref="L15:M15 L8:L14 M28 J8:J29 L16:L29 AH8:AH29 M17:M26">
    <cfRule type="cellIs" dxfId="68" priority="46" operator="equal">
      <formula>"Probabile"</formula>
    </cfRule>
    <cfRule type="cellIs" dxfId="67" priority="60" operator="equal">
      <formula>"Raro"</formula>
    </cfRule>
    <cfRule type="cellIs" dxfId="66" priority="61" operator="equal">
      <formula>"Improbabile"</formula>
    </cfRule>
    <cfRule type="cellIs" dxfId="65" priority="62" operator="equal">
      <formula>"Moderato"</formula>
    </cfRule>
    <cfRule type="cellIs" dxfId="64" priority="63" operator="equal">
      <formula>"Possibile"</formula>
    </cfRule>
  </conditionalFormatting>
  <conditionalFormatting sqref="W8:Z29 AJ8:AJ29">
    <cfRule type="cellIs" dxfId="63" priority="41" operator="equal">
      <formula>"Estremo"</formula>
    </cfRule>
    <cfRule type="cellIs" dxfId="62" priority="42" operator="equal">
      <formula>"Trascurabile"</formula>
    </cfRule>
    <cfRule type="cellIs" dxfId="61" priority="43" operator="equal">
      <formula>"Contenuto"</formula>
    </cfRule>
    <cfRule type="cellIs" dxfId="60" priority="44" operator="equal">
      <formula>"Significativo"</formula>
    </cfRule>
    <cfRule type="cellIs" dxfId="59" priority="45" operator="equal">
      <formula>"Alto"</formula>
    </cfRule>
  </conditionalFormatting>
  <conditionalFormatting sqref="M29">
    <cfRule type="cellIs" dxfId="58" priority="1" operator="equal">
      <formula>"Probabile"</formula>
    </cfRule>
    <cfRule type="cellIs" dxfId="57" priority="2" operator="equal">
      <formula>"Raro"</formula>
    </cfRule>
    <cfRule type="cellIs" dxfId="56" priority="3" operator="equal">
      <formula>"Improbabile"</formula>
    </cfRule>
    <cfRule type="cellIs" dxfId="55" priority="4" operator="equal">
      <formula>"Moderato"</formula>
    </cfRule>
    <cfRule type="cellIs" dxfId="54" priority="5" operator="equal">
      <formula>"Possibile"</formula>
    </cfRule>
  </conditionalFormatting>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B5058AF-866B-4F4E-9732-7F68056B8CAC}">
          <x14:formula1>
            <xm:f>Parametri_RA!$B$8:$B$12</xm:f>
          </x14:formula1>
          <xm:sqref>J8:J29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3DED1-2A1F-4EDB-A9F4-75E77E796256}">
  <sheetPr codeName="Foglio26">
    <tabColor rgb="FFC39BE1"/>
  </sheetPr>
  <dimension ref="A1:BN83"/>
  <sheetViews>
    <sheetView showGridLines="0" zoomScale="60" zoomScaleNormal="60" workbookViewId="0">
      <selection activeCell="H63" sqref="H63"/>
    </sheetView>
  </sheetViews>
  <sheetFormatPr defaultColWidth="8.6328125" defaultRowHeight="17" x14ac:dyDescent="0.5"/>
  <cols>
    <col min="1" max="2" width="8.6328125" style="1" customWidth="1"/>
    <col min="3" max="3" width="40.453125" style="1" bestFit="1" customWidth="1"/>
    <col min="4" max="10" width="20" style="1" customWidth="1"/>
    <col min="11" max="18" width="8.6328125" style="2" customWidth="1"/>
    <col min="19" max="19" width="9.6328125" style="2" bestFit="1" customWidth="1"/>
    <col min="20" max="20" width="11.453125" style="2" customWidth="1"/>
    <col min="21" max="22" width="8.6328125" style="38" customWidth="1"/>
    <col min="23" max="23" width="36.6328125" style="2" customWidth="1"/>
    <col min="24" max="24" width="10.453125" style="2" bestFit="1" customWidth="1"/>
    <col min="25" max="25" width="11.54296875" style="2" bestFit="1" customWidth="1"/>
    <col min="26" max="26" width="12.453125" style="2" bestFit="1" customWidth="1"/>
    <col min="27" max="27" width="13.54296875" style="2" bestFit="1" customWidth="1"/>
    <col min="28" max="29" width="8.6328125" style="2"/>
    <col min="30" max="32" width="8.6328125" style="38"/>
    <col min="33" max="33" width="15.453125" style="38" customWidth="1"/>
    <col min="34" max="44" width="8.6328125" style="38"/>
    <col min="45" max="16384" width="8.6328125" style="1"/>
  </cols>
  <sheetData>
    <row r="1" spans="2:66" x14ac:dyDescent="0.5">
      <c r="AS1" s="38"/>
      <c r="AT1" s="38"/>
      <c r="AU1" s="38"/>
      <c r="AV1" s="38"/>
    </row>
    <row r="2" spans="2:66" ht="27" customHeight="1" x14ac:dyDescent="0.5">
      <c r="S2" s="37"/>
      <c r="V2" s="402"/>
      <c r="W2" s="54"/>
      <c r="X2" s="55"/>
      <c r="Y2" s="55"/>
      <c r="Z2" s="55"/>
      <c r="AA2" s="55"/>
      <c r="AB2" s="55"/>
      <c r="AC2" s="55"/>
      <c r="AD2" s="39"/>
      <c r="AE2" s="39"/>
      <c r="AF2" s="39"/>
      <c r="AG2" s="39"/>
      <c r="AH2" s="39"/>
      <c r="AI2" s="377"/>
      <c r="AJ2" s="377"/>
      <c r="AK2" s="39"/>
      <c r="AL2" s="39"/>
      <c r="AM2" s="39"/>
      <c r="AN2" s="40"/>
      <c r="AO2" s="40"/>
      <c r="AP2" s="40"/>
      <c r="AQ2" s="40"/>
      <c r="AR2" s="40"/>
      <c r="AS2" s="40"/>
      <c r="AT2" s="40"/>
      <c r="AU2" s="40"/>
      <c r="AV2" s="40"/>
      <c r="AW2" s="30"/>
      <c r="AX2" s="30"/>
      <c r="AY2" s="30"/>
      <c r="AZ2" s="30"/>
      <c r="BA2" s="30"/>
      <c r="BB2" s="30"/>
      <c r="BC2" s="30"/>
      <c r="BD2" s="31"/>
      <c r="BE2" s="31"/>
      <c r="BF2" s="31"/>
      <c r="BG2" s="31"/>
      <c r="BH2" s="31"/>
      <c r="BI2" s="31"/>
      <c r="BJ2" s="31"/>
      <c r="BK2" s="31"/>
      <c r="BL2" s="31"/>
      <c r="BM2" s="31"/>
      <c r="BN2" s="31"/>
    </row>
    <row r="3" spans="2:66" s="32" customFormat="1" ht="24" customHeight="1" x14ac:dyDescent="0.5">
      <c r="B3" s="475" t="s">
        <v>1599</v>
      </c>
      <c r="C3" s="475"/>
      <c r="D3" s="475"/>
      <c r="E3" s="475"/>
      <c r="F3" s="475"/>
      <c r="G3" s="475"/>
      <c r="H3" s="475"/>
      <c r="I3" s="475"/>
      <c r="J3" s="475"/>
      <c r="K3" s="475"/>
      <c r="L3" s="475"/>
      <c r="M3" s="475"/>
      <c r="N3" s="475"/>
      <c r="O3" s="475"/>
      <c r="P3" s="475"/>
      <c r="Q3" s="475"/>
      <c r="R3" s="475"/>
      <c r="S3" s="475"/>
      <c r="T3" s="475"/>
      <c r="U3" s="38"/>
      <c r="V3" s="38"/>
      <c r="W3" s="2"/>
      <c r="X3" s="2"/>
      <c r="Y3" s="2"/>
      <c r="Z3" s="2"/>
      <c r="AA3" s="2"/>
      <c r="AB3" s="2"/>
      <c r="AC3" s="2"/>
      <c r="AD3" s="38"/>
      <c r="AE3" s="38"/>
      <c r="AF3" s="38"/>
      <c r="AG3" s="38"/>
      <c r="AH3" s="38"/>
      <c r="AI3" s="1"/>
      <c r="AJ3" s="1"/>
      <c r="AK3" s="38"/>
      <c r="AL3" s="38"/>
      <c r="AM3" s="38"/>
      <c r="AN3" s="38"/>
      <c r="AO3" s="38"/>
      <c r="AP3" s="38"/>
      <c r="AQ3" s="38"/>
      <c r="AR3" s="38"/>
      <c r="AS3" s="38"/>
      <c r="AT3" s="38"/>
      <c r="AU3" s="38"/>
      <c r="AV3" s="38"/>
      <c r="AW3" s="1"/>
      <c r="AX3" s="1"/>
      <c r="AY3" s="1"/>
    </row>
    <row r="4" spans="2:66" ht="17.5" thickBot="1" x14ac:dyDescent="0.55000000000000004">
      <c r="AI4" s="1"/>
      <c r="AJ4" s="1"/>
      <c r="AS4" s="38"/>
      <c r="AT4" s="38"/>
      <c r="AU4" s="38"/>
      <c r="AV4" s="38"/>
    </row>
    <row r="5" spans="2:66" ht="25.5" x14ac:dyDescent="0.75">
      <c r="B5" s="472" t="s">
        <v>1600</v>
      </c>
      <c r="C5" s="473"/>
      <c r="D5" s="473"/>
      <c r="E5" s="473"/>
      <c r="F5" s="473"/>
      <c r="G5" s="473"/>
      <c r="H5" s="473"/>
      <c r="I5" s="473"/>
      <c r="J5" s="473"/>
      <c r="K5" s="473"/>
      <c r="L5" s="473"/>
      <c r="M5" s="473"/>
      <c r="N5" s="473"/>
      <c r="O5" s="473"/>
      <c r="P5" s="473"/>
      <c r="Q5" s="473"/>
      <c r="R5" s="473"/>
      <c r="S5" s="473"/>
      <c r="T5" s="474"/>
      <c r="AI5" s="1"/>
      <c r="AJ5" s="1"/>
      <c r="AS5" s="38"/>
      <c r="AT5" s="38"/>
      <c r="AU5" s="38"/>
      <c r="AV5" s="38"/>
    </row>
    <row r="6" spans="2:66" x14ac:dyDescent="0.5">
      <c r="B6" s="41"/>
      <c r="L6" s="38"/>
      <c r="M6" s="38"/>
      <c r="N6" s="38"/>
      <c r="O6" s="38"/>
      <c r="P6" s="38"/>
      <c r="Q6" s="38"/>
      <c r="R6" s="38"/>
      <c r="S6" s="38"/>
      <c r="T6" s="232"/>
      <c r="AI6" s="1"/>
      <c r="AJ6" s="1"/>
      <c r="AS6" s="38"/>
      <c r="AT6" s="38"/>
      <c r="AU6" s="38"/>
      <c r="AV6" s="38"/>
    </row>
    <row r="7" spans="2:66" ht="37" x14ac:dyDescent="0.5">
      <c r="B7" s="41"/>
      <c r="C7" s="233" t="str">
        <f>'Risk Register'!E7</f>
        <v>Nome Minaccia</v>
      </c>
      <c r="D7" s="234" t="s">
        <v>1601</v>
      </c>
      <c r="E7" s="234" t="s">
        <v>1602</v>
      </c>
      <c r="L7" s="38"/>
      <c r="M7" s="38"/>
      <c r="N7" s="38"/>
      <c r="O7" s="38"/>
      <c r="P7" s="38"/>
      <c r="Q7" s="38"/>
      <c r="T7" s="42"/>
      <c r="W7" s="378" t="str">
        <f>'Risk Register'!E7</f>
        <v>Nome Minaccia</v>
      </c>
      <c r="X7" s="378" t="s">
        <v>1603</v>
      </c>
      <c r="Y7" s="378" t="s">
        <v>1604</v>
      </c>
      <c r="Z7" s="378" t="s">
        <v>1605</v>
      </c>
      <c r="AA7" s="378" t="s">
        <v>1606</v>
      </c>
      <c r="AB7" s="404"/>
      <c r="AI7" s="1"/>
      <c r="AJ7" s="1"/>
      <c r="AS7" s="38"/>
      <c r="AT7" s="38"/>
      <c r="AU7" s="38"/>
      <c r="AV7" s="38"/>
    </row>
    <row r="8" spans="2:66" ht="18.5" x14ac:dyDescent="0.5">
      <c r="B8" s="41"/>
      <c r="C8" s="235" t="s">
        <v>620</v>
      </c>
      <c r="D8" s="236" t="str">
        <f>INDEX('Risk Register'!AA:AA,MATCH(Dashboard!C8,'Risk Register'!E:E,0))</f>
        <v/>
      </c>
      <c r="E8" s="236" t="str">
        <f ca="1">INDEX('Risk Register'!AL:AL,MATCH(Dashboard!C8,'Risk Register'!E:E,0))</f>
        <v/>
      </c>
      <c r="L8" s="38"/>
      <c r="M8" s="38"/>
      <c r="N8" s="38"/>
      <c r="O8" s="38"/>
      <c r="P8" s="38"/>
      <c r="Q8" s="38"/>
      <c r="T8" s="42"/>
      <c r="U8" s="403"/>
      <c r="W8" s="378" t="str">
        <f>'Risk Register'!E8</f>
        <v>Ransomware</v>
      </c>
      <c r="X8" s="379">
        <f>'Risk Register'!V8-0.5</f>
        <v>-0.5</v>
      </c>
      <c r="Y8" s="379">
        <f>'Risk Register'!Q8-0.5</f>
        <v>4.5</v>
      </c>
      <c r="Z8" s="378" t="str">
        <f ca="1">IFERROR('Risk Register'!AK8-0.5,"")</f>
        <v/>
      </c>
      <c r="AA8" s="378">
        <f ca="1">IFERROR('Risk Register'!AI8-0.5,"")</f>
        <v>4.5</v>
      </c>
      <c r="AB8" s="404"/>
      <c r="AI8" s="1"/>
      <c r="AJ8" s="1"/>
      <c r="AS8" s="38"/>
      <c r="AT8" s="38"/>
      <c r="AU8" s="38"/>
      <c r="AV8" s="38"/>
    </row>
    <row r="9" spans="2:66" ht="18.5" x14ac:dyDescent="0.5">
      <c r="B9" s="41"/>
      <c r="C9" s="235" t="s">
        <v>621</v>
      </c>
      <c r="D9" s="236" t="str">
        <f>INDEX('Risk Register'!AA:AA,MATCH(Dashboard!C9,'Risk Register'!E:E,0))</f>
        <v/>
      </c>
      <c r="E9" s="236" t="str">
        <f ca="1">INDEX('Risk Register'!AL:AL,MATCH(Dashboard!C9,'Risk Register'!E:E,0))</f>
        <v/>
      </c>
      <c r="L9" s="38"/>
      <c r="M9" s="38"/>
      <c r="N9" s="38"/>
      <c r="O9" s="38"/>
      <c r="P9" s="38"/>
      <c r="Q9" s="38"/>
      <c r="T9" s="42"/>
      <c r="W9" s="378" t="str">
        <f>'Risk Register'!E9</f>
        <v>Malware</v>
      </c>
      <c r="X9" s="379">
        <f>'Risk Register'!V9-0.5</f>
        <v>-0.5</v>
      </c>
      <c r="Y9" s="379">
        <f>'Risk Register'!Q9-0.5</f>
        <v>3.5</v>
      </c>
      <c r="Z9" s="378" t="str">
        <f ca="1">IFERROR('Risk Register'!AK9-0.5,"")</f>
        <v/>
      </c>
      <c r="AA9" s="378">
        <f ca="1">IFERROR('Risk Register'!AI9-0.5,"")</f>
        <v>3.5</v>
      </c>
      <c r="AB9" s="404"/>
      <c r="AI9" s="1"/>
      <c r="AJ9" s="1"/>
      <c r="AS9" s="38"/>
      <c r="AT9" s="38"/>
      <c r="AU9" s="38"/>
      <c r="AV9" s="38"/>
    </row>
    <row r="10" spans="2:66" ht="18.5" x14ac:dyDescent="0.5">
      <c r="B10" s="41"/>
      <c r="C10" s="235" t="s">
        <v>622</v>
      </c>
      <c r="D10" s="236" t="str">
        <f>INDEX('Risk Register'!AA:AA,MATCH(Dashboard!C10,'Risk Register'!E:E,0))</f>
        <v/>
      </c>
      <c r="E10" s="236" t="str">
        <f ca="1">INDEX('Risk Register'!AL:AL,MATCH(Dashboard!C10,'Risk Register'!E:E,0))</f>
        <v/>
      </c>
      <c r="L10" s="38"/>
      <c r="M10" s="38"/>
      <c r="N10" s="38"/>
      <c r="O10" s="38"/>
      <c r="P10" s="38"/>
      <c r="Q10" s="38"/>
      <c r="T10" s="42"/>
      <c r="W10" s="378" t="str">
        <f>'Risk Register'!E10</f>
        <v>Supply Chain Attacks</v>
      </c>
      <c r="X10" s="379">
        <f>'Risk Register'!V10-0.5</f>
        <v>-0.5</v>
      </c>
      <c r="Y10" s="379">
        <f>'Risk Register'!Q10-0.5</f>
        <v>2.5</v>
      </c>
      <c r="Z10" s="378" t="str">
        <f ca="1">IFERROR('Risk Register'!AK10-0.5,"")</f>
        <v/>
      </c>
      <c r="AA10" s="378">
        <f ca="1">IFERROR('Risk Register'!AI10-0.5,"")</f>
        <v>0.5</v>
      </c>
      <c r="AB10" s="404"/>
      <c r="AI10" s="1"/>
      <c r="AJ10" s="1"/>
      <c r="AS10" s="38"/>
      <c r="AT10" s="38"/>
      <c r="AU10" s="38"/>
      <c r="AV10" s="38"/>
    </row>
    <row r="11" spans="2:66" ht="18.5" x14ac:dyDescent="0.5">
      <c r="B11" s="41"/>
      <c r="C11" s="235" t="s">
        <v>623</v>
      </c>
      <c r="D11" s="236" t="str">
        <f>INDEX('Risk Register'!AA:AA,MATCH(Dashboard!C11,'Risk Register'!E:E,0))</f>
        <v/>
      </c>
      <c r="E11" s="236" t="str">
        <f ca="1">INDEX('Risk Register'!AL:AL,MATCH(Dashboard!C11,'Risk Register'!E:E,0))</f>
        <v/>
      </c>
      <c r="L11" s="38"/>
      <c r="M11" s="38"/>
      <c r="N11" s="38"/>
      <c r="O11" s="38"/>
      <c r="P11" s="38"/>
      <c r="Q11" s="38"/>
      <c r="T11" s="42"/>
      <c r="W11" s="378" t="str">
        <f>'Risk Register'!E11</f>
        <v>Minacce su dispositivi mobili</v>
      </c>
      <c r="X11" s="379">
        <f>'Risk Register'!V11-0.5</f>
        <v>-0.5</v>
      </c>
      <c r="Y11" s="379">
        <f>'Risk Register'!Q11-0.5</f>
        <v>2.5</v>
      </c>
      <c r="Z11" s="378" t="str">
        <f ca="1">IFERROR('Risk Register'!AK11-0.5,"")</f>
        <v/>
      </c>
      <c r="AA11" s="378">
        <f ca="1">IFERROR('Risk Register'!AI11-0.5,"")</f>
        <v>2.5</v>
      </c>
      <c r="AB11" s="404"/>
      <c r="AI11" s="1"/>
      <c r="AJ11" s="1"/>
      <c r="AS11" s="38"/>
      <c r="AT11" s="38"/>
      <c r="AU11" s="38"/>
      <c r="AV11" s="38"/>
    </row>
    <row r="12" spans="2:66" ht="18.5" x14ac:dyDescent="0.5">
      <c r="B12" s="41"/>
      <c r="C12" s="235" t="s">
        <v>624</v>
      </c>
      <c r="D12" s="236" t="str">
        <f>INDEX('Risk Register'!AA:AA,MATCH(Dashboard!C12,'Risk Register'!E:E,0))</f>
        <v/>
      </c>
      <c r="E12" s="236" t="str">
        <f ca="1">INDEX('Risk Register'!AL:AL,MATCH(Dashboard!C12,'Risk Register'!E:E,0))</f>
        <v/>
      </c>
      <c r="L12" s="38"/>
      <c r="M12" s="38"/>
      <c r="N12" s="38"/>
      <c r="O12" s="38"/>
      <c r="P12" s="38"/>
      <c r="Q12" s="38"/>
      <c r="T12" s="42"/>
      <c r="W12" s="378" t="str">
        <f>'Risk Register'!E12</f>
        <v>Social Engineering</v>
      </c>
      <c r="X12" s="379">
        <f>'Risk Register'!V12-0.5</f>
        <v>-0.5</v>
      </c>
      <c r="Y12" s="379">
        <f>'Risk Register'!Q12-0.5</f>
        <v>3.5</v>
      </c>
      <c r="Z12" s="378" t="str">
        <f ca="1">IFERROR('Risk Register'!AK12-0.5,"")</f>
        <v/>
      </c>
      <c r="AA12" s="378">
        <f ca="1">IFERROR('Risk Register'!AI12-0.5,"")</f>
        <v>2.5</v>
      </c>
      <c r="AB12" s="404"/>
      <c r="AI12" s="1"/>
      <c r="AJ12" s="1"/>
      <c r="AS12" s="38"/>
      <c r="AT12" s="38"/>
      <c r="AU12" s="38"/>
      <c r="AV12" s="38"/>
    </row>
    <row r="13" spans="2:66" ht="37" x14ac:dyDescent="0.5">
      <c r="B13" s="41"/>
      <c r="C13" s="235" t="s">
        <v>625</v>
      </c>
      <c r="D13" s="236" t="str">
        <f>INDEX('Risk Register'!AA:AA,MATCH(Dashboard!C13,'Risk Register'!E:E,0))</f>
        <v/>
      </c>
      <c r="E13" s="236" t="str">
        <f ca="1">INDEX('Risk Register'!AL:AL,MATCH(Dashboard!C13,'Risk Register'!E:E,0))</f>
        <v/>
      </c>
      <c r="L13" s="38"/>
      <c r="M13" s="38"/>
      <c r="N13" s="38"/>
      <c r="O13" s="38"/>
      <c r="P13" s="38"/>
      <c r="Q13" s="38"/>
      <c r="T13" s="42"/>
      <c r="W13" s="378" t="str">
        <f>'Risk Register'!E13</f>
        <v>Data Breach, Data Leakage &amp; Data Manipulation</v>
      </c>
      <c r="X13" s="379">
        <f>'Risk Register'!V13-0.5</f>
        <v>-0.5</v>
      </c>
      <c r="Y13" s="379">
        <f>'Risk Register'!Q13-0.5</f>
        <v>4.5</v>
      </c>
      <c r="Z13" s="378" t="str">
        <f ca="1">IFERROR('Risk Register'!AK13-0.5,"")</f>
        <v/>
      </c>
      <c r="AA13" s="378">
        <f ca="1">IFERROR('Risk Register'!AI13-0.5,"")</f>
        <v>4.5</v>
      </c>
      <c r="AB13" s="404"/>
      <c r="AI13" s="1"/>
      <c r="AJ13" s="1"/>
      <c r="AS13" s="38"/>
      <c r="AT13" s="38"/>
      <c r="AU13" s="38"/>
      <c r="AV13" s="38"/>
    </row>
    <row r="14" spans="2:66" ht="37" x14ac:dyDescent="0.5">
      <c r="B14" s="41"/>
      <c r="C14" s="235" t="s">
        <v>626</v>
      </c>
      <c r="D14" s="236" t="str">
        <f>INDEX('Risk Register'!AA:AA,MATCH(Dashboard!C14,'Risk Register'!E:E,0))</f>
        <v/>
      </c>
      <c r="E14" s="236" t="str">
        <f ca="1">INDEX('Risk Register'!AL:AL,MATCH(Dashboard!C14,'Risk Register'!E:E,0))</f>
        <v/>
      </c>
      <c r="L14" s="38"/>
      <c r="M14" s="38"/>
      <c r="N14" s="38"/>
      <c r="O14" s="38"/>
      <c r="P14" s="38"/>
      <c r="Q14" s="38"/>
      <c r="T14" s="42"/>
      <c r="W14" s="378" t="str">
        <f>'Risk Register'!E14</f>
        <v>Furto o smarrimento di dispositivi, storage o apparati aziendali</v>
      </c>
      <c r="X14" s="379">
        <f>'Risk Register'!V14-0.5</f>
        <v>-0.5</v>
      </c>
      <c r="Y14" s="379">
        <f>'Risk Register'!Q14-0.5</f>
        <v>1.5</v>
      </c>
      <c r="Z14" s="378" t="str">
        <f ca="1">IFERROR('Risk Register'!AK14-0.5,"")</f>
        <v/>
      </c>
      <c r="AA14" s="378">
        <f ca="1">IFERROR('Risk Register'!AI14-0.5,"")</f>
        <v>0.5</v>
      </c>
      <c r="AB14" s="404"/>
      <c r="AI14" s="1"/>
      <c r="AJ14" s="1"/>
      <c r="AS14" s="38"/>
      <c r="AT14" s="38"/>
      <c r="AU14" s="38"/>
      <c r="AV14" s="38"/>
    </row>
    <row r="15" spans="2:66" ht="37" x14ac:dyDescent="0.5">
      <c r="B15" s="41"/>
      <c r="C15" s="235" t="s">
        <v>627</v>
      </c>
      <c r="D15" s="236" t="str">
        <f>INDEX('Risk Register'!AA:AA,MATCH(Dashboard!C15,'Risk Register'!E:E,0))</f>
        <v/>
      </c>
      <c r="E15" s="236" t="str">
        <f ca="1">INDEX('Risk Register'!AL:AL,MATCH(Dashboard!C15,'Risk Register'!E:E,0))</f>
        <v/>
      </c>
      <c r="L15" s="38"/>
      <c r="M15" s="38"/>
      <c r="N15" s="38"/>
      <c r="O15" s="38"/>
      <c r="P15" s="38"/>
      <c r="Q15" s="38"/>
      <c r="T15" s="42"/>
      <c r="W15" s="378" t="str">
        <f>'Risk Register'!E15</f>
        <v>Sfruttamento di vulnerabilità note e zero-day</v>
      </c>
      <c r="X15" s="379">
        <f>'Risk Register'!V15-0.5</f>
        <v>-0.5</v>
      </c>
      <c r="Y15" s="379">
        <f>'Risk Register'!Q15-0.5</f>
        <v>3.5</v>
      </c>
      <c r="Z15" s="378" t="str">
        <f ca="1">IFERROR('Risk Register'!AK15-0.5,"")</f>
        <v/>
      </c>
      <c r="AA15" s="378">
        <f ca="1">IFERROR('Risk Register'!AI15-0.5,"")</f>
        <v>3.5</v>
      </c>
      <c r="AB15" s="404"/>
      <c r="AI15" s="1"/>
      <c r="AJ15" s="1"/>
      <c r="AS15" s="38"/>
      <c r="AT15" s="38"/>
      <c r="AU15" s="38"/>
      <c r="AV15" s="38"/>
    </row>
    <row r="16" spans="2:66" ht="18.5" x14ac:dyDescent="0.5">
      <c r="B16" s="41"/>
      <c r="C16" s="235" t="s">
        <v>628</v>
      </c>
      <c r="D16" s="236" t="str">
        <f>INDEX('Risk Register'!AA:AA,MATCH(Dashboard!C16,'Risk Register'!E:E,0))</f>
        <v/>
      </c>
      <c r="E16" s="236" t="str">
        <f ca="1">INDEX('Risk Register'!AL:AL,MATCH(Dashboard!C16,'Risk Register'!E:E,0))</f>
        <v/>
      </c>
      <c r="L16" s="38"/>
      <c r="M16" s="38"/>
      <c r="N16" s="38"/>
      <c r="O16" s="38"/>
      <c r="P16" s="38"/>
      <c r="Q16" s="38"/>
      <c r="T16" s="42"/>
      <c r="W16" s="378" t="str">
        <f>'Risk Register'!E16</f>
        <v>DDoS</v>
      </c>
      <c r="X16" s="379">
        <f>'Risk Register'!V16-0.5</f>
        <v>-0.5</v>
      </c>
      <c r="Y16" s="379">
        <f>'Risk Register'!Q16-0.5</f>
        <v>4.5</v>
      </c>
      <c r="Z16" s="378" t="str">
        <f ca="1">IFERROR('Risk Register'!AK16-0.5,"")</f>
        <v/>
      </c>
      <c r="AA16" s="378">
        <f ca="1">IFERROR('Risk Register'!AI16-0.5,"")</f>
        <v>4.5</v>
      </c>
      <c r="AB16" s="404"/>
      <c r="AI16" s="1"/>
      <c r="AJ16" s="1"/>
      <c r="AS16" s="38"/>
      <c r="AT16" s="38"/>
      <c r="AU16" s="38"/>
      <c r="AV16" s="38"/>
    </row>
    <row r="17" spans="2:48" ht="37" x14ac:dyDescent="0.5">
      <c r="B17" s="41"/>
      <c r="C17" s="235" t="s">
        <v>629</v>
      </c>
      <c r="D17" s="236" t="str">
        <f>INDEX('Risk Register'!AA:AA,MATCH(Dashboard!C17,'Risk Register'!E:E,0))</f>
        <v/>
      </c>
      <c r="E17" s="236" t="str">
        <f ca="1">INDEX('Risk Register'!AL:AL,MATCH(Dashboard!C17,'Risk Register'!E:E,0))</f>
        <v/>
      </c>
      <c r="L17" s="38"/>
      <c r="M17" s="38"/>
      <c r="N17" s="38"/>
      <c r="O17" s="38"/>
      <c r="P17" s="38"/>
      <c r="Q17" s="38"/>
      <c r="T17" s="42"/>
      <c r="W17" s="378" t="str">
        <f>'Risk Register'!E17</f>
        <v>Guasto HW e obsolescenza tecnologica</v>
      </c>
      <c r="X17" s="379">
        <f>'Risk Register'!V17-0.5</f>
        <v>-0.5</v>
      </c>
      <c r="Y17" s="379">
        <f>'Risk Register'!Q17-0.5</f>
        <v>2.5</v>
      </c>
      <c r="Z17" s="378" t="str">
        <f ca="1">IFERROR('Risk Register'!AK17-0.5,"")</f>
        <v/>
      </c>
      <c r="AA17" s="378">
        <f ca="1">IFERROR('Risk Register'!AI17-0.5,"")</f>
        <v>0.5</v>
      </c>
      <c r="AB17" s="404"/>
      <c r="AI17" s="1"/>
      <c r="AJ17" s="1"/>
      <c r="AS17" s="38"/>
      <c r="AT17" s="38"/>
      <c r="AU17" s="38"/>
      <c r="AV17" s="38"/>
    </row>
    <row r="18" spans="2:48" ht="18.5" x14ac:dyDescent="0.5">
      <c r="B18" s="41"/>
      <c r="C18" s="235" t="s">
        <v>630</v>
      </c>
      <c r="D18" s="236" t="str">
        <f>INDEX('Risk Register'!AA:AA,MATCH(Dashboard!C18,'Risk Register'!E:E,0))</f>
        <v/>
      </c>
      <c r="E18" s="236" t="str">
        <f ca="1">INDEX('Risk Register'!AL:AL,MATCH(Dashboard!C18,'Risk Register'!E:E,0))</f>
        <v/>
      </c>
      <c r="L18" s="38"/>
      <c r="M18" s="38"/>
      <c r="N18" s="38"/>
      <c r="O18" s="38"/>
      <c r="P18" s="38"/>
      <c r="Q18" s="38"/>
      <c r="T18" s="42"/>
      <c r="W18" s="378" t="str">
        <f>'Risk Register'!E18</f>
        <v>Anomalia SW</v>
      </c>
      <c r="X18" s="379">
        <f>'Risk Register'!V18-0.5</f>
        <v>-0.5</v>
      </c>
      <c r="Y18" s="379">
        <f>'Risk Register'!Q18-0.5</f>
        <v>2.5</v>
      </c>
      <c r="Z18" s="378" t="str">
        <f ca="1">IFERROR('Risk Register'!AK18-0.5,"")</f>
        <v/>
      </c>
      <c r="AA18" s="378">
        <f ca="1">IFERROR('Risk Register'!AI18-0.5,"")</f>
        <v>0.5</v>
      </c>
      <c r="AB18" s="404"/>
      <c r="AI18" s="1"/>
      <c r="AJ18" s="1"/>
      <c r="AS18" s="38"/>
      <c r="AT18" s="38"/>
      <c r="AU18" s="38"/>
      <c r="AV18" s="38"/>
    </row>
    <row r="19" spans="2:48" ht="18.5" x14ac:dyDescent="0.5">
      <c r="B19" s="41"/>
      <c r="C19" s="235" t="s">
        <v>631</v>
      </c>
      <c r="D19" s="236" t="str">
        <f>INDEX('Risk Register'!AA:AA,MATCH(Dashboard!C19,'Risk Register'!E:E,0))</f>
        <v/>
      </c>
      <c r="E19" s="236" t="str">
        <f ca="1">INDEX('Risk Register'!AL:AL,MATCH(Dashboard!C19,'Risk Register'!E:E,0))</f>
        <v/>
      </c>
      <c r="L19" s="38"/>
      <c r="M19" s="38"/>
      <c r="N19" s="38"/>
      <c r="O19" s="38"/>
      <c r="P19" s="38"/>
      <c r="Q19" s="38"/>
      <c r="T19" s="42"/>
      <c r="W19" s="378" t="str">
        <f>'Risk Register'!E19</f>
        <v>Furto e abuso di credenziali</v>
      </c>
      <c r="X19" s="379">
        <f>'Risk Register'!V19-0.5</f>
        <v>-0.5</v>
      </c>
      <c r="Y19" s="379">
        <f>'Risk Register'!Q19-0.5</f>
        <v>3.5</v>
      </c>
      <c r="Z19" s="378" t="str">
        <f ca="1">IFERROR('Risk Register'!AK19-0.5,"")</f>
        <v/>
      </c>
      <c r="AA19" s="378">
        <f ca="1">IFERROR('Risk Register'!AI19-0.5,"")</f>
        <v>3.5</v>
      </c>
      <c r="AB19" s="404"/>
      <c r="AI19" s="1"/>
      <c r="AJ19" s="1"/>
      <c r="AS19" s="38"/>
      <c r="AT19" s="38"/>
      <c r="AU19" s="38"/>
      <c r="AV19" s="38"/>
    </row>
    <row r="20" spans="2:48" ht="18.5" x14ac:dyDescent="0.5">
      <c r="B20" s="41"/>
      <c r="C20" s="235" t="s">
        <v>632</v>
      </c>
      <c r="D20" s="236" t="str">
        <f>INDEX('Risk Register'!AA:AA,MATCH(Dashboard!C20,'Risk Register'!E:E,0))</f>
        <v/>
      </c>
      <c r="E20" s="236" t="str">
        <f ca="1">INDEX('Risk Register'!AL:AL,MATCH(Dashboard!C20,'Risk Register'!E:E,0))</f>
        <v/>
      </c>
      <c r="L20" s="38"/>
      <c r="M20" s="38"/>
      <c r="N20" s="38"/>
      <c r="O20" s="38"/>
      <c r="P20" s="38"/>
      <c r="Q20" s="38"/>
      <c r="T20" s="42"/>
      <c r="W20" s="378" t="str">
        <f>'Risk Register'!E20</f>
        <v>Azioni improprie o errore umano</v>
      </c>
      <c r="X20" s="379">
        <f>'Risk Register'!V20-0.5</f>
        <v>-0.5</v>
      </c>
      <c r="Y20" s="379">
        <f>'Risk Register'!Q20-0.5</f>
        <v>2.5</v>
      </c>
      <c r="Z20" s="378" t="str">
        <f ca="1">IFERROR('Risk Register'!AK20-0.5,"")</f>
        <v/>
      </c>
      <c r="AA20" s="378">
        <f ca="1">IFERROR('Risk Register'!AI20-0.5,"")</f>
        <v>0.5</v>
      </c>
      <c r="AB20" s="404"/>
      <c r="AI20" s="1"/>
      <c r="AJ20" s="1"/>
      <c r="AS20" s="38"/>
      <c r="AT20" s="38"/>
      <c r="AU20" s="38"/>
      <c r="AV20" s="38"/>
    </row>
    <row r="21" spans="2:48" ht="37" x14ac:dyDescent="0.5">
      <c r="B21" s="41"/>
      <c r="C21" s="235" t="s">
        <v>633</v>
      </c>
      <c r="D21" s="236" t="str">
        <f>INDEX('Risk Register'!AA:AA,MATCH(Dashboard!C21,'Risk Register'!E:E,0))</f>
        <v/>
      </c>
      <c r="E21" s="236" t="str">
        <f ca="1">INDEX('Risk Register'!AL:AL,MATCH(Dashboard!C21,'Risk Register'!E:E,0))</f>
        <v/>
      </c>
      <c r="L21" s="38"/>
      <c r="M21" s="38"/>
      <c r="N21" s="38"/>
      <c r="O21" s="38"/>
      <c r="P21" s="38"/>
      <c r="Q21" s="38"/>
      <c r="T21" s="42"/>
      <c r="W21" s="378" t="str">
        <f>'Risk Register'!E21</f>
        <v>Connessione non autorizzata alla rete fisica o wireless</v>
      </c>
      <c r="X21" s="379">
        <f>'Risk Register'!V21-0.5</f>
        <v>-0.5</v>
      </c>
      <c r="Y21" s="379">
        <f>'Risk Register'!Q21-0.5</f>
        <v>1.5</v>
      </c>
      <c r="Z21" s="378" t="str">
        <f ca="1">IFERROR('Risk Register'!AK21-0.5,"")</f>
        <v/>
      </c>
      <c r="AA21" s="378">
        <f ca="1">IFERROR('Risk Register'!AI21-0.5,"")</f>
        <v>0.5</v>
      </c>
      <c r="AB21" s="404"/>
      <c r="AI21" s="1"/>
      <c r="AJ21" s="1"/>
      <c r="AS21" s="38"/>
      <c r="AT21" s="38"/>
      <c r="AU21" s="38"/>
      <c r="AV21" s="38"/>
    </row>
    <row r="22" spans="2:48" ht="37" x14ac:dyDescent="0.5">
      <c r="B22" s="41"/>
      <c r="C22" s="235" t="s">
        <v>634</v>
      </c>
      <c r="D22" s="236" t="str">
        <f>INDEX('Risk Register'!AA:AA,MATCH(Dashboard!C22,'Risk Register'!E:E,0))</f>
        <v/>
      </c>
      <c r="E22" s="236" t="str">
        <f ca="1">INDEX('Risk Register'!AL:AL,MATCH(Dashboard!C22,'Risk Register'!E:E,0))</f>
        <v/>
      </c>
      <c r="L22" s="38"/>
      <c r="M22" s="38"/>
      <c r="N22" s="38"/>
      <c r="O22" s="38"/>
      <c r="P22" s="38"/>
      <c r="Q22" s="38"/>
      <c r="T22" s="42"/>
      <c r="W22" s="378" t="str">
        <f>'Risk Register'!E22</f>
        <v>Mancato rispetto di normative o requisiti contrattuali di sicurezza</v>
      </c>
      <c r="X22" s="379">
        <f>'Risk Register'!V22-0.5</f>
        <v>-0.5</v>
      </c>
      <c r="Y22" s="379">
        <f>'Risk Register'!Q22-0.5</f>
        <v>2.5</v>
      </c>
      <c r="Z22" s="378" t="str">
        <f ca="1">IFERROR('Risk Register'!AK22-0.5,"")</f>
        <v/>
      </c>
      <c r="AA22" s="378">
        <f ca="1">IFERROR('Risk Register'!AI22-0.5,"")</f>
        <v>1.5</v>
      </c>
      <c r="AB22" s="404"/>
      <c r="AI22" s="1"/>
      <c r="AJ22" s="1"/>
      <c r="AS22" s="38"/>
      <c r="AT22" s="38"/>
      <c r="AU22" s="38"/>
      <c r="AV22" s="38"/>
    </row>
    <row r="23" spans="2:48" ht="37" x14ac:dyDescent="0.5">
      <c r="B23" s="41"/>
      <c r="C23" s="235" t="s">
        <v>635</v>
      </c>
      <c r="D23" s="236" t="str">
        <f>INDEX('Risk Register'!AA:AA,MATCH(Dashboard!C23,'Risk Register'!E:E,0))</f>
        <v/>
      </c>
      <c r="E23" s="236" t="str">
        <f ca="1">INDEX('Risk Register'!AL:AL,MATCH(Dashboard!C23,'Risk Register'!E:E,0))</f>
        <v/>
      </c>
      <c r="L23" s="38"/>
      <c r="M23" s="38"/>
      <c r="N23" s="38"/>
      <c r="O23" s="38"/>
      <c r="P23" s="38"/>
      <c r="Q23" s="38"/>
      <c r="T23" s="42"/>
      <c r="W23" s="378" t="str">
        <f>'Risk Register'!E23</f>
        <v>Evento naturale o meteorologico estremo</v>
      </c>
      <c r="X23" s="379">
        <f>'Risk Register'!V23-0.5</f>
        <v>-0.5</v>
      </c>
      <c r="Y23" s="379">
        <f>'Risk Register'!Q23-0.5</f>
        <v>1.5</v>
      </c>
      <c r="Z23" s="378" t="str">
        <f ca="1">IFERROR('Risk Register'!AK23-0.5,"")</f>
        <v/>
      </c>
      <c r="AA23" s="378">
        <f ca="1">IFERROR('Risk Register'!AI23-0.5,"")</f>
        <v>0.5</v>
      </c>
      <c r="AB23" s="404"/>
      <c r="AI23" s="1"/>
      <c r="AJ23" s="1"/>
      <c r="AS23" s="38"/>
      <c r="AT23" s="38"/>
      <c r="AU23" s="38"/>
      <c r="AV23" s="38"/>
    </row>
    <row r="24" spans="2:48" ht="18.5" x14ac:dyDescent="0.5">
      <c r="B24" s="41"/>
      <c r="C24" s="235" t="s">
        <v>636</v>
      </c>
      <c r="D24" s="236" t="str">
        <f>INDEX('Risk Register'!AA:AA,MATCH(Dashboard!C24,'Risk Register'!E:E,0))</f>
        <v/>
      </c>
      <c r="E24" s="236" t="str">
        <f ca="1">INDEX('Risk Register'!AL:AL,MATCH(Dashboard!C24,'Risk Register'!E:E,0))</f>
        <v/>
      </c>
      <c r="L24" s="38"/>
      <c r="M24" s="38"/>
      <c r="N24" s="38"/>
      <c r="O24" s="38"/>
      <c r="P24" s="38"/>
      <c r="Q24" s="38"/>
      <c r="T24" s="42"/>
      <c r="W24" s="378" t="str">
        <f>'Risk Register'!E24</f>
        <v>Incendio o allagamento</v>
      </c>
      <c r="X24" s="379">
        <f>'Risk Register'!V24-0.5</f>
        <v>-0.5</v>
      </c>
      <c r="Y24" s="379">
        <f>'Risk Register'!Q24-0.5</f>
        <v>1.5</v>
      </c>
      <c r="Z24" s="378" t="str">
        <f ca="1">IFERROR('Risk Register'!AK24-0.5,"")</f>
        <v/>
      </c>
      <c r="AA24" s="378">
        <f ca="1">IFERROR('Risk Register'!AI24-0.5,"")</f>
        <v>0.5</v>
      </c>
      <c r="AB24" s="404"/>
      <c r="AI24" s="1"/>
      <c r="AJ24" s="1"/>
      <c r="AS24" s="38"/>
      <c r="AT24" s="38"/>
      <c r="AU24" s="38"/>
      <c r="AV24" s="38"/>
    </row>
    <row r="25" spans="2:48" ht="18.5" x14ac:dyDescent="0.5">
      <c r="B25" s="41"/>
      <c r="C25" s="235" t="s">
        <v>637</v>
      </c>
      <c r="D25" s="236" t="str">
        <f>INDEX('Risk Register'!AA:AA,MATCH(Dashboard!C25,'Risk Register'!E:E,0))</f>
        <v/>
      </c>
      <c r="E25" s="236" t="str">
        <f ca="1">INDEX('Risk Register'!AL:AL,MATCH(Dashboard!C25,'Risk Register'!E:E,0))</f>
        <v/>
      </c>
      <c r="L25" s="38"/>
      <c r="M25" s="38"/>
      <c r="N25" s="38"/>
      <c r="O25" s="38"/>
      <c r="P25" s="38"/>
      <c r="Q25" s="38"/>
      <c r="T25" s="42"/>
      <c r="W25" s="378" t="str">
        <f>'Risk Register'!E25</f>
        <v>Interruzione di utilities</v>
      </c>
      <c r="X25" s="379">
        <f>'Risk Register'!V25-0.5</f>
        <v>-0.5</v>
      </c>
      <c r="Y25" s="379">
        <f>'Risk Register'!Q25-0.5</f>
        <v>2.5</v>
      </c>
      <c r="Z25" s="378" t="str">
        <f ca="1">IFERROR('Risk Register'!AK25-0.5,"")</f>
        <v/>
      </c>
      <c r="AA25" s="378">
        <f ca="1">IFERROR('Risk Register'!AI25-0.5,"")</f>
        <v>0.5</v>
      </c>
      <c r="AB25" s="404"/>
      <c r="AI25" s="1"/>
      <c r="AJ25" s="1"/>
      <c r="AS25" s="38"/>
      <c r="AT25" s="38"/>
      <c r="AU25" s="38"/>
      <c r="AV25" s="38"/>
    </row>
    <row r="26" spans="2:48" ht="37" x14ac:dyDescent="0.5">
      <c r="B26" s="41"/>
      <c r="C26" s="235" t="s">
        <v>638</v>
      </c>
      <c r="D26" s="236" t="str">
        <f>INDEX('Risk Register'!AA:AA,MATCH(Dashboard!C26,'Risk Register'!E:E,0))</f>
        <v/>
      </c>
      <c r="E26" s="236" t="str">
        <f ca="1">INDEX('Risk Register'!AL:AL,MATCH(Dashboard!C26,'Risk Register'!E:E,0))</f>
        <v/>
      </c>
      <c r="L26" s="38"/>
      <c r="M26" s="38"/>
      <c r="N26" s="38"/>
      <c r="O26" s="38"/>
      <c r="P26" s="38"/>
      <c r="Q26" s="38"/>
      <c r="T26" s="42"/>
      <c r="W26" s="378" t="str">
        <f>'Risk Register'!E26</f>
        <v>Vandalismo, sabotaggio fisico o provvedimento delle autorità</v>
      </c>
      <c r="X26" s="379">
        <f>'Risk Register'!V26-0.5</f>
        <v>-0.5</v>
      </c>
      <c r="Y26" s="379">
        <f>'Risk Register'!Q26-0.5</f>
        <v>0.5</v>
      </c>
      <c r="Z26" s="378" t="str">
        <f ca="1">IFERROR('Risk Register'!AK26-0.5,"")</f>
        <v/>
      </c>
      <c r="AA26" s="378">
        <f ca="1">IFERROR('Risk Register'!AI26-0.5,"")</f>
        <v>0.5</v>
      </c>
      <c r="AB26" s="404"/>
      <c r="AI26" s="1"/>
      <c r="AJ26" s="1"/>
      <c r="AS26" s="38"/>
      <c r="AT26" s="38"/>
      <c r="AU26" s="38"/>
      <c r="AV26" s="38"/>
    </row>
    <row r="27" spans="2:48" ht="37" x14ac:dyDescent="0.5">
      <c r="B27" s="41"/>
      <c r="C27" s="235" t="s">
        <v>639</v>
      </c>
      <c r="D27" s="236" t="str">
        <f>INDEX('Risk Register'!AA:AA,MATCH(Dashboard!C27,'Risk Register'!E:E,0))</f>
        <v/>
      </c>
      <c r="E27" s="236" t="str">
        <f ca="1">INDEX('Risk Register'!AL:AL,MATCH(Dashboard!C27,'Risk Register'!E:E,0))</f>
        <v/>
      </c>
      <c r="L27" s="38"/>
      <c r="M27" s="38"/>
      <c r="N27" s="38"/>
      <c r="O27" s="38"/>
      <c r="P27" s="38"/>
      <c r="Q27" s="38"/>
      <c r="T27" s="42"/>
      <c r="W27" s="378" t="str">
        <f>'Risk Register'!E27</f>
        <v>Assenza di personale operativo e figure chiave</v>
      </c>
      <c r="X27" s="379">
        <f>'Risk Register'!V27-0.5</f>
        <v>-0.5</v>
      </c>
      <c r="Y27" s="379">
        <f>'Risk Register'!Q27-0.5</f>
        <v>1.5</v>
      </c>
      <c r="Z27" s="378" t="str">
        <f ca="1">IFERROR('Risk Register'!AK27-0.5,"")</f>
        <v/>
      </c>
      <c r="AA27" s="378">
        <f ca="1">IFERROR('Risk Register'!AI27-0.5,"")</f>
        <v>1.5</v>
      </c>
      <c r="AB27" s="404"/>
      <c r="AI27" s="1"/>
      <c r="AJ27" s="1"/>
      <c r="AS27" s="38"/>
      <c r="AT27" s="38"/>
      <c r="AU27" s="38"/>
      <c r="AV27" s="38"/>
    </row>
    <row r="28" spans="2:48" ht="18.5" x14ac:dyDescent="0.5">
      <c r="B28" s="41"/>
      <c r="C28" s="235" t="s">
        <v>640</v>
      </c>
      <c r="D28" s="236" t="str">
        <f>INDEX('Risk Register'!AA:AA,MATCH(Dashboard!C28,'Risk Register'!E:E,0))</f>
        <v/>
      </c>
      <c r="E28" s="236" t="str">
        <f ca="1">INDEX('Risk Register'!AL:AL,MATCH(Dashboard!C28,'Risk Register'!E:E,0))</f>
        <v/>
      </c>
      <c r="L28" s="38"/>
      <c r="M28" s="38"/>
      <c r="N28" s="38"/>
      <c r="O28" s="38"/>
      <c r="P28" s="38"/>
      <c r="Q28" s="38"/>
      <c r="T28" s="42"/>
      <c r="W28" s="378" t="str">
        <f>'Risk Register'!E28</f>
        <v>Fault del fornitore</v>
      </c>
      <c r="X28" s="379">
        <f>'Risk Register'!V28-0.5</f>
        <v>-0.5</v>
      </c>
      <c r="Y28" s="379">
        <f>'Risk Register'!Q28-0.5</f>
        <v>1.5</v>
      </c>
      <c r="Z28" s="378" t="str">
        <f ca="1">IFERROR('Risk Register'!AK28-0.5,"")</f>
        <v/>
      </c>
      <c r="AA28" s="378">
        <f ca="1">IFERROR('Risk Register'!AI28-0.5,"")</f>
        <v>0.5</v>
      </c>
      <c r="AB28" s="404"/>
      <c r="AI28" s="1"/>
      <c r="AJ28" s="1"/>
      <c r="AS28" s="38"/>
      <c r="AT28" s="38"/>
      <c r="AU28" s="38"/>
      <c r="AV28" s="38"/>
    </row>
    <row r="29" spans="2:48" ht="37" x14ac:dyDescent="0.5">
      <c r="B29" s="41"/>
      <c r="C29" s="235" t="s">
        <v>641</v>
      </c>
      <c r="D29" s="236" t="str">
        <f>INDEX('Risk Register'!AA:AA,MATCH(Dashboard!C29,'Risk Register'!E:E,0))</f>
        <v/>
      </c>
      <c r="E29" s="236" t="str">
        <f ca="1">INDEX('Risk Register'!AL:AL,MATCH(Dashboard!C29,'Risk Register'!E:E,0))</f>
        <v/>
      </c>
      <c r="L29" s="38"/>
      <c r="M29" s="38"/>
      <c r="N29" s="38"/>
      <c r="O29" s="38"/>
      <c r="P29" s="38"/>
      <c r="Q29" s="38"/>
      <c r="T29" s="42"/>
      <c r="AB29" s="404"/>
      <c r="AI29" s="1"/>
      <c r="AJ29" s="1"/>
      <c r="AS29" s="38"/>
      <c r="AT29" s="38"/>
      <c r="AU29" s="38"/>
      <c r="AV29" s="38"/>
    </row>
    <row r="30" spans="2:48" x14ac:dyDescent="0.5">
      <c r="B30" s="41"/>
      <c r="L30" s="38"/>
      <c r="M30" s="38"/>
      <c r="N30" s="38"/>
      <c r="O30" s="38"/>
      <c r="P30" s="38"/>
      <c r="Q30" s="38"/>
      <c r="R30" s="38"/>
      <c r="S30" s="38"/>
      <c r="T30" s="232"/>
      <c r="W30" s="380"/>
      <c r="AI30" s="1"/>
      <c r="AJ30" s="1"/>
      <c r="AS30" s="38"/>
      <c r="AT30" s="38"/>
      <c r="AU30" s="38"/>
      <c r="AV30" s="38"/>
    </row>
    <row r="31" spans="2:48" x14ac:dyDescent="0.5">
      <c r="B31" s="41"/>
      <c r="L31" s="38"/>
      <c r="M31" s="38"/>
      <c r="N31" s="38"/>
      <c r="O31" s="38"/>
      <c r="P31" s="38"/>
      <c r="Q31" s="38"/>
      <c r="R31" s="38"/>
      <c r="S31" s="38"/>
      <c r="T31" s="232"/>
      <c r="W31" s="380"/>
      <c r="AI31" s="1"/>
      <c r="AJ31" s="1"/>
      <c r="AS31" s="38"/>
      <c r="AT31" s="38"/>
      <c r="AU31" s="38"/>
      <c r="AV31" s="38"/>
    </row>
    <row r="32" spans="2:48" x14ac:dyDescent="0.5">
      <c r="B32" s="41"/>
      <c r="L32" s="38"/>
      <c r="M32" s="38"/>
      <c r="N32" s="38"/>
      <c r="O32" s="38"/>
      <c r="P32" s="38"/>
      <c r="Q32" s="38"/>
      <c r="R32" s="38"/>
      <c r="S32" s="38"/>
      <c r="T32" s="232"/>
      <c r="W32" s="380"/>
      <c r="AI32" s="1"/>
      <c r="AJ32" s="1"/>
      <c r="AS32" s="38"/>
      <c r="AT32" s="38"/>
      <c r="AU32" s="38"/>
      <c r="AV32" s="38"/>
    </row>
    <row r="33" spans="2:48" x14ac:dyDescent="0.5">
      <c r="B33" s="41"/>
      <c r="L33" s="38"/>
      <c r="M33" s="38"/>
      <c r="N33" s="38"/>
      <c r="O33" s="38"/>
      <c r="P33" s="38"/>
      <c r="Q33" s="38"/>
      <c r="R33" s="38"/>
      <c r="S33" s="38"/>
      <c r="T33" s="232"/>
      <c r="W33" s="380"/>
      <c r="AI33" s="1"/>
      <c r="AJ33" s="1"/>
      <c r="AS33" s="38"/>
      <c r="AT33" s="38"/>
      <c r="AU33" s="38"/>
      <c r="AV33" s="38"/>
    </row>
    <row r="34" spans="2:48" x14ac:dyDescent="0.5">
      <c r="B34" s="41"/>
      <c r="P34" s="1"/>
      <c r="Q34" s="1"/>
      <c r="R34" s="1"/>
      <c r="S34" s="1"/>
      <c r="T34" s="44"/>
      <c r="AI34" s="1"/>
      <c r="AJ34" s="1"/>
      <c r="AS34" s="38"/>
      <c r="AT34" s="38"/>
      <c r="AU34" s="38"/>
      <c r="AV34" s="38"/>
    </row>
    <row r="35" spans="2:48" ht="17.5" thickBot="1" x14ac:dyDescent="0.55000000000000004">
      <c r="B35" s="45"/>
      <c r="C35" s="46"/>
      <c r="D35" s="46"/>
      <c r="E35" s="46"/>
      <c r="F35" s="46"/>
      <c r="G35" s="46"/>
      <c r="H35" s="46"/>
      <c r="I35" s="46"/>
      <c r="J35" s="46"/>
      <c r="K35" s="47"/>
      <c r="L35" s="47"/>
      <c r="M35" s="47"/>
      <c r="N35" s="47"/>
      <c r="O35" s="47"/>
      <c r="P35" s="47"/>
      <c r="Q35" s="47"/>
      <c r="R35" s="47"/>
      <c r="S35" s="47"/>
      <c r="T35" s="48"/>
      <c r="AI35" s="1"/>
      <c r="AJ35" s="1"/>
      <c r="AS35" s="38"/>
      <c r="AT35" s="38"/>
      <c r="AU35" s="38"/>
      <c r="AV35" s="38"/>
    </row>
    <row r="36" spans="2:48" x14ac:dyDescent="0.5">
      <c r="AI36" s="1"/>
      <c r="AJ36" s="1"/>
      <c r="AS36" s="38"/>
      <c r="AT36" s="38"/>
      <c r="AU36" s="38"/>
      <c r="AV36" s="38"/>
    </row>
    <row r="37" spans="2:48" ht="17.5" thickBot="1" x14ac:dyDescent="0.55000000000000004">
      <c r="AI37" s="1"/>
      <c r="AJ37" s="1"/>
      <c r="AS37" s="38"/>
      <c r="AT37" s="38"/>
      <c r="AU37" s="38"/>
      <c r="AV37" s="38"/>
    </row>
    <row r="38" spans="2:48" ht="25.5" x14ac:dyDescent="0.75">
      <c r="B38" s="472" t="s">
        <v>1607</v>
      </c>
      <c r="C38" s="473"/>
      <c r="D38" s="473"/>
      <c r="E38" s="473"/>
      <c r="F38" s="473"/>
      <c r="G38" s="473"/>
      <c r="H38" s="473"/>
      <c r="I38" s="473"/>
      <c r="J38" s="473"/>
      <c r="K38" s="473"/>
      <c r="L38" s="473"/>
      <c r="M38" s="473"/>
      <c r="N38" s="473"/>
      <c r="O38" s="473"/>
      <c r="P38" s="473"/>
      <c r="Q38" s="473"/>
      <c r="R38" s="473"/>
      <c r="S38" s="473"/>
      <c r="T38" s="474"/>
      <c r="AS38" s="38"/>
      <c r="AT38" s="38"/>
      <c r="AU38" s="38"/>
      <c r="AV38" s="38"/>
    </row>
    <row r="39" spans="2:48" x14ac:dyDescent="0.5">
      <c r="B39" s="41"/>
      <c r="T39" s="42"/>
      <c r="AS39" s="38"/>
      <c r="AT39" s="38"/>
      <c r="AU39" s="38"/>
      <c r="AV39" s="38"/>
    </row>
    <row r="40" spans="2:48" x14ac:dyDescent="0.5">
      <c r="B40" s="41"/>
      <c r="C40" s="50" t="s">
        <v>1608</v>
      </c>
      <c r="T40" s="42"/>
      <c r="AS40" s="38"/>
      <c r="AT40" s="38"/>
      <c r="AU40" s="38"/>
      <c r="AV40" s="38"/>
    </row>
    <row r="41" spans="2:48" ht="37" x14ac:dyDescent="0.5">
      <c r="B41" s="41"/>
      <c r="C41" s="233" t="s">
        <v>1609</v>
      </c>
      <c r="D41" s="307" t="s">
        <v>1610</v>
      </c>
      <c r="E41" s="308" t="s">
        <v>1611</v>
      </c>
      <c r="F41" s="309" t="s">
        <v>1612</v>
      </c>
      <c r="G41" s="310" t="s">
        <v>1613</v>
      </c>
      <c r="H41" s="49"/>
      <c r="I41" s="49"/>
      <c r="J41" s="49"/>
      <c r="T41" s="42"/>
      <c r="AS41" s="38"/>
      <c r="AT41" s="38"/>
      <c r="AU41" s="38"/>
      <c r="AV41" s="38"/>
    </row>
    <row r="42" spans="2:48" ht="18.5" x14ac:dyDescent="0.5">
      <c r="B42" s="41"/>
      <c r="C42" s="311" t="str">
        <f>'Risk Register'!E8</f>
        <v>Ransomware</v>
      </c>
      <c r="D42" s="211">
        <f ca="1">COUNTIFS(OFFSET('Valutazione controlli'!$I:$I,0,ROW()-42),"&lt;&gt;",'Valutazione controlli'!$BJ:$BJ,Dashboard!D$41)</f>
        <v>0</v>
      </c>
      <c r="E42" s="211">
        <f ca="1">COUNTIFS(OFFSET('Valutazione controlli'!$I:$I,0,ROW()-42),"&lt;&gt;",'Valutazione controlli'!$BJ:$BJ,Dashboard!E$41)</f>
        <v>0</v>
      </c>
      <c r="F42" s="211">
        <f ca="1">COUNTIFS(OFFSET('Valutazione controlli'!$I:$I,0,ROW()-42),"&lt;&gt;",'Valutazione controlli'!$BJ:$BJ,Dashboard!F$41)</f>
        <v>0</v>
      </c>
      <c r="G42" s="211">
        <f ca="1">COUNTIFS(OFFSET('Valutazione controlli'!$I$6:$I$9995,0,ROW()-42),"&lt;&gt;",'Valutazione controlli'!$BJ$6:$BJ$9995,"",'Valutazione controlli'!$BG$6:$BG$9995,"Applicabile")</f>
        <v>0</v>
      </c>
      <c r="H42" s="31"/>
      <c r="I42" s="31"/>
      <c r="J42" s="31"/>
      <c r="T42" s="42"/>
      <c r="AS42" s="38"/>
      <c r="AT42" s="38"/>
      <c r="AU42" s="38"/>
      <c r="AV42" s="38"/>
    </row>
    <row r="43" spans="2:48" ht="18.5" x14ac:dyDescent="0.5">
      <c r="B43" s="41"/>
      <c r="C43" s="311" t="str">
        <f>'Risk Register'!E9</f>
        <v>Malware</v>
      </c>
      <c r="D43" s="211">
        <f ca="1">COUNTIFS(OFFSET('Valutazione controlli'!$I:$I,0,ROW()-42),"&lt;&gt;",'Valutazione controlli'!$BJ:$BJ,Dashboard!D$41)</f>
        <v>0</v>
      </c>
      <c r="E43" s="211">
        <f ca="1">COUNTIFS(OFFSET('Valutazione controlli'!$I:$I,0,ROW()-42),"&lt;&gt;",'Valutazione controlli'!$BJ:$BJ,Dashboard!E$41)</f>
        <v>0</v>
      </c>
      <c r="F43" s="211">
        <f ca="1">COUNTIFS(OFFSET('Valutazione controlli'!$I:$I,0,ROW()-42),"&lt;&gt;",'Valutazione controlli'!$BJ:$BJ,Dashboard!F$41)</f>
        <v>0</v>
      </c>
      <c r="G43" s="211">
        <f ca="1">COUNTIFS(OFFSET('Valutazione controlli'!$I$6:$I$9995,0,ROW()-42),"&lt;&gt;",'Valutazione controlli'!$BJ$6:$BJ$9995,"",'Valutazione controlli'!$BG$6:$BG$9995,"Applicabile")</f>
        <v>0</v>
      </c>
      <c r="H43" s="31"/>
      <c r="I43" s="31"/>
      <c r="J43" s="31"/>
      <c r="T43" s="42"/>
      <c r="AS43" s="38"/>
      <c r="AT43" s="38"/>
      <c r="AU43" s="38"/>
      <c r="AV43" s="38"/>
    </row>
    <row r="44" spans="2:48" ht="18.5" x14ac:dyDescent="0.5">
      <c r="B44" s="41"/>
      <c r="C44" s="311" t="str">
        <f>'Risk Register'!E10</f>
        <v>Supply Chain Attacks</v>
      </c>
      <c r="D44" s="211">
        <f ca="1">COUNTIFS(OFFSET('Valutazione controlli'!$I:$I,0,ROW()-42),"&lt;&gt;",'Valutazione controlli'!$BJ:$BJ,Dashboard!D$41)</f>
        <v>0</v>
      </c>
      <c r="E44" s="211">
        <f ca="1">COUNTIFS(OFFSET('Valutazione controlli'!$I:$I,0,ROW()-42),"&lt;&gt;",'Valutazione controlli'!$BJ:$BJ,Dashboard!E$41)</f>
        <v>0</v>
      </c>
      <c r="F44" s="211">
        <f ca="1">COUNTIFS(OFFSET('Valutazione controlli'!$I:$I,0,ROW()-42),"&lt;&gt;",'Valutazione controlli'!$BJ:$BJ,Dashboard!F$41)</f>
        <v>0</v>
      </c>
      <c r="G44" s="211">
        <f ca="1">COUNTIFS(OFFSET('Valutazione controlli'!$I$6:$I$9995,0,ROW()-42),"&lt;&gt;",'Valutazione controlli'!$BJ$6:$BJ$9995,"",'Valutazione controlli'!$BG$6:$BG$9995,"Applicabile")</f>
        <v>0</v>
      </c>
      <c r="H44" s="31"/>
      <c r="I44" s="31"/>
      <c r="J44" s="31"/>
      <c r="T44" s="42"/>
      <c r="AS44" s="38"/>
      <c r="AT44" s="38"/>
      <c r="AU44" s="38"/>
      <c r="AV44" s="38"/>
    </row>
    <row r="45" spans="2:48" ht="18.5" x14ac:dyDescent="0.5">
      <c r="B45" s="41"/>
      <c r="C45" s="311" t="str">
        <f>'Risk Register'!E11</f>
        <v>Minacce su dispositivi mobili</v>
      </c>
      <c r="D45" s="211">
        <f ca="1">COUNTIFS(OFFSET('Valutazione controlli'!$I:$I,0,ROW()-42),"&lt;&gt;",'Valutazione controlli'!$BJ:$BJ,Dashboard!D$41)</f>
        <v>0</v>
      </c>
      <c r="E45" s="211">
        <f ca="1">COUNTIFS(OFFSET('Valutazione controlli'!$I:$I,0,ROW()-42),"&lt;&gt;",'Valutazione controlli'!$BJ:$BJ,Dashboard!E$41)</f>
        <v>0</v>
      </c>
      <c r="F45" s="211">
        <f ca="1">COUNTIFS(OFFSET('Valutazione controlli'!$I:$I,0,ROW()-42),"&lt;&gt;",'Valutazione controlli'!$BJ:$BJ,Dashboard!F$41)</f>
        <v>0</v>
      </c>
      <c r="G45" s="211">
        <f ca="1">COUNTIFS(OFFSET('Valutazione controlli'!$I$6:$I$9995,0,ROW()-42),"&lt;&gt;",'Valutazione controlli'!$BJ$6:$BJ$9995,"",'Valutazione controlli'!$BG$6:$BG$9995,"Applicabile")</f>
        <v>0</v>
      </c>
      <c r="H45" s="31"/>
      <c r="I45" s="31"/>
      <c r="J45" s="31"/>
      <c r="T45" s="42"/>
      <c r="AS45" s="38"/>
      <c r="AT45" s="38"/>
      <c r="AU45" s="38"/>
      <c r="AV45" s="38"/>
    </row>
    <row r="46" spans="2:48" ht="18.5" x14ac:dyDescent="0.5">
      <c r="B46" s="41"/>
      <c r="C46" s="311" t="str">
        <f>'Risk Register'!E12</f>
        <v>Social Engineering</v>
      </c>
      <c r="D46" s="211">
        <f ca="1">COUNTIFS(OFFSET('Valutazione controlli'!$I:$I,0,ROW()-42),"&lt;&gt;",'Valutazione controlli'!$BJ:$BJ,Dashboard!D$41)</f>
        <v>0</v>
      </c>
      <c r="E46" s="211">
        <f ca="1">COUNTIFS(OFFSET('Valutazione controlli'!$I:$I,0,ROW()-42),"&lt;&gt;",'Valutazione controlli'!$BJ:$BJ,Dashboard!E$41)</f>
        <v>0</v>
      </c>
      <c r="F46" s="211">
        <f ca="1">COUNTIFS(OFFSET('Valutazione controlli'!$I:$I,0,ROW()-42),"&lt;&gt;",'Valutazione controlli'!$BJ:$BJ,Dashboard!F$41)</f>
        <v>0</v>
      </c>
      <c r="G46" s="211">
        <f ca="1">COUNTIFS(OFFSET('Valutazione controlli'!$I$6:$I$9995,0,ROW()-42),"&lt;&gt;",'Valutazione controlli'!$BJ$6:$BJ$9995,"",'Valutazione controlli'!$BG$6:$BG$9995,"Applicabile")</f>
        <v>0</v>
      </c>
      <c r="H46" s="31"/>
      <c r="I46" s="31"/>
      <c r="J46" s="31"/>
      <c r="T46" s="42"/>
      <c r="AS46" s="38"/>
      <c r="AT46" s="38"/>
      <c r="AU46" s="38"/>
      <c r="AV46" s="38"/>
    </row>
    <row r="47" spans="2:48" ht="37" x14ac:dyDescent="0.5">
      <c r="B47" s="41"/>
      <c r="C47" s="311" t="str">
        <f>'Risk Register'!E13</f>
        <v>Data Breach, Data Leakage &amp; Data Manipulation</v>
      </c>
      <c r="D47" s="211">
        <f ca="1">COUNTIFS(OFFSET('Valutazione controlli'!$I:$I,0,ROW()-42),"&lt;&gt;",'Valutazione controlli'!$BJ:$BJ,Dashboard!D$41)</f>
        <v>0</v>
      </c>
      <c r="E47" s="211">
        <f ca="1">COUNTIFS(OFFSET('Valutazione controlli'!$I:$I,0,ROW()-42),"&lt;&gt;",'Valutazione controlli'!$BJ:$BJ,Dashboard!E$41)</f>
        <v>0</v>
      </c>
      <c r="F47" s="211">
        <f ca="1">COUNTIFS(OFFSET('Valutazione controlli'!$I:$I,0,ROW()-42),"&lt;&gt;",'Valutazione controlli'!$BJ:$BJ,Dashboard!F$41)</f>
        <v>0</v>
      </c>
      <c r="G47" s="211">
        <f ca="1">COUNTIFS(OFFSET('Valutazione controlli'!$I$6:$I$9995,0,ROW()-42),"&lt;&gt;",'Valutazione controlli'!$BJ$6:$BJ$9995,"",'Valutazione controlli'!$BG$6:$BG$9995,"Applicabile")</f>
        <v>0</v>
      </c>
      <c r="H47" s="31"/>
      <c r="I47" s="31"/>
      <c r="J47" s="31"/>
      <c r="T47" s="42"/>
      <c r="AS47" s="38"/>
      <c r="AT47" s="38"/>
      <c r="AU47" s="38"/>
      <c r="AV47" s="38"/>
    </row>
    <row r="48" spans="2:48" ht="37" x14ac:dyDescent="0.5">
      <c r="B48" s="41"/>
      <c r="C48" s="311" t="str">
        <f>'Risk Register'!E14</f>
        <v>Furto o smarrimento di dispositivi, storage o apparati aziendali</v>
      </c>
      <c r="D48" s="211">
        <f ca="1">COUNTIFS(OFFSET('Valutazione controlli'!$I:$I,0,ROW()-42),"&lt;&gt;",'Valutazione controlli'!$BJ:$BJ,Dashboard!D$41)</f>
        <v>0</v>
      </c>
      <c r="E48" s="211">
        <f ca="1">COUNTIFS(OFFSET('Valutazione controlli'!$I:$I,0,ROW()-42),"&lt;&gt;",'Valutazione controlli'!$BJ:$BJ,Dashboard!E$41)</f>
        <v>0</v>
      </c>
      <c r="F48" s="211">
        <f ca="1">COUNTIFS(OFFSET('Valutazione controlli'!$I:$I,0,ROW()-42),"&lt;&gt;",'Valutazione controlli'!$BJ:$BJ,Dashboard!F$41)</f>
        <v>0</v>
      </c>
      <c r="G48" s="211">
        <f ca="1">COUNTIFS(OFFSET('Valutazione controlli'!$I$6:$I$9995,0,ROW()-42),"&lt;&gt;",'Valutazione controlli'!$BJ$6:$BJ$9995,"",'Valutazione controlli'!$BG$6:$BG$9995,"Applicabile")</f>
        <v>0</v>
      </c>
      <c r="H48" s="28"/>
      <c r="I48" s="28"/>
      <c r="J48" s="28"/>
      <c r="T48" s="42"/>
      <c r="AS48" s="38"/>
      <c r="AT48" s="38"/>
      <c r="AU48" s="38"/>
      <c r="AV48" s="38"/>
    </row>
    <row r="49" spans="2:48" ht="37" x14ac:dyDescent="0.5">
      <c r="B49" s="41"/>
      <c r="C49" s="311" t="str">
        <f>'Risk Register'!E15</f>
        <v>Sfruttamento di vulnerabilità note e zero-day</v>
      </c>
      <c r="D49" s="211">
        <f ca="1">COUNTIFS(OFFSET('Valutazione controlli'!$I:$I,0,ROW()-42),"&lt;&gt;",'Valutazione controlli'!$BJ:$BJ,Dashboard!D$41)</f>
        <v>0</v>
      </c>
      <c r="E49" s="211">
        <f ca="1">COUNTIFS(OFFSET('Valutazione controlli'!$I:$I,0,ROW()-42),"&lt;&gt;",'Valutazione controlli'!$BJ:$BJ,Dashboard!E$41)</f>
        <v>0</v>
      </c>
      <c r="F49" s="211">
        <f ca="1">COUNTIFS(OFFSET('Valutazione controlli'!$I:$I,0,ROW()-42),"&lt;&gt;",'Valutazione controlli'!$BJ:$BJ,Dashboard!F$41)</f>
        <v>0</v>
      </c>
      <c r="G49" s="211">
        <f ca="1">COUNTIFS(OFFSET('Valutazione controlli'!$I$6:$I$9995,0,ROW()-42),"&lt;&gt;",'Valutazione controlli'!$BJ$6:$BJ$9995,"",'Valutazione controlli'!$BG$6:$BG$9995,"Applicabile")</f>
        <v>0</v>
      </c>
      <c r="H49" s="28"/>
      <c r="I49" s="28"/>
      <c r="J49" s="28"/>
      <c r="T49" s="42"/>
      <c r="AS49" s="38"/>
      <c r="AT49" s="38"/>
      <c r="AU49" s="38"/>
      <c r="AV49" s="38"/>
    </row>
    <row r="50" spans="2:48" ht="18.5" x14ac:dyDescent="0.5">
      <c r="B50" s="41"/>
      <c r="C50" s="311" t="str">
        <f>'Risk Register'!E16</f>
        <v>DDoS</v>
      </c>
      <c r="D50" s="211">
        <f ca="1">COUNTIFS(OFFSET('Valutazione controlli'!$I:$I,0,ROW()-42),"&lt;&gt;",'Valutazione controlli'!$BJ:$BJ,Dashboard!D$41)</f>
        <v>0</v>
      </c>
      <c r="E50" s="211">
        <f ca="1">COUNTIFS(OFFSET('Valutazione controlli'!$I:$I,0,ROW()-42),"&lt;&gt;",'Valutazione controlli'!$BJ:$BJ,Dashboard!E$41)</f>
        <v>0</v>
      </c>
      <c r="F50" s="211">
        <f ca="1">COUNTIFS(OFFSET('Valutazione controlli'!$I:$I,0,ROW()-42),"&lt;&gt;",'Valutazione controlli'!$BJ:$BJ,Dashboard!F$41)</f>
        <v>0</v>
      </c>
      <c r="G50" s="211">
        <f ca="1">COUNTIFS(OFFSET('Valutazione controlli'!$I$6:$I$9995,0,ROW()-42),"&lt;&gt;",'Valutazione controlli'!$BJ$6:$BJ$9995,"",'Valutazione controlli'!$BG$6:$BG$9995,"Applicabile")</f>
        <v>0</v>
      </c>
      <c r="H50" s="28"/>
      <c r="I50" s="28"/>
      <c r="J50" s="28"/>
      <c r="T50" s="42"/>
      <c r="AS50" s="38"/>
      <c r="AT50" s="38"/>
      <c r="AU50" s="38"/>
      <c r="AV50" s="38"/>
    </row>
    <row r="51" spans="2:48" ht="37" x14ac:dyDescent="0.5">
      <c r="B51" s="41"/>
      <c r="C51" s="311" t="str">
        <f>'Risk Register'!E17</f>
        <v>Guasto HW e obsolescenza tecnologica</v>
      </c>
      <c r="D51" s="211">
        <f ca="1">COUNTIFS(OFFSET('Valutazione controlli'!$I:$I,0,ROW()-42),"&lt;&gt;",'Valutazione controlli'!$BJ:$BJ,Dashboard!D$41)</f>
        <v>0</v>
      </c>
      <c r="E51" s="211">
        <f ca="1">COUNTIFS(OFFSET('Valutazione controlli'!$I:$I,0,ROW()-42),"&lt;&gt;",'Valutazione controlli'!$BJ:$BJ,Dashboard!E$41)</f>
        <v>0</v>
      </c>
      <c r="F51" s="211">
        <f ca="1">COUNTIFS(OFFSET('Valutazione controlli'!$I:$I,0,ROW()-42),"&lt;&gt;",'Valutazione controlli'!$BJ:$BJ,Dashboard!F$41)</f>
        <v>0</v>
      </c>
      <c r="G51" s="211">
        <f ca="1">COUNTIFS(OFFSET('Valutazione controlli'!$I$6:$I$9995,0,ROW()-42),"&lt;&gt;",'Valutazione controlli'!$BJ$6:$BJ$9995,"",'Valutazione controlli'!$BG$6:$BG$9995,"Applicabile")</f>
        <v>0</v>
      </c>
      <c r="H51" s="28"/>
      <c r="I51" s="28"/>
      <c r="J51" s="28"/>
      <c r="T51" s="42"/>
      <c r="AS51" s="38"/>
      <c r="AT51" s="38"/>
      <c r="AU51" s="38"/>
      <c r="AV51" s="38"/>
    </row>
    <row r="52" spans="2:48" ht="18.5" x14ac:dyDescent="0.5">
      <c r="B52" s="41"/>
      <c r="C52" s="311" t="str">
        <f>'Risk Register'!E18</f>
        <v>Anomalia SW</v>
      </c>
      <c r="D52" s="211">
        <f ca="1">COUNTIFS(OFFSET('Valutazione controlli'!$I:$I,0,ROW()-42),"&lt;&gt;",'Valutazione controlli'!$BJ:$BJ,Dashboard!D$41)</f>
        <v>0</v>
      </c>
      <c r="E52" s="211">
        <f ca="1">COUNTIFS(OFFSET('Valutazione controlli'!$I:$I,0,ROW()-42),"&lt;&gt;",'Valutazione controlli'!$BJ:$BJ,Dashboard!E$41)</f>
        <v>0</v>
      </c>
      <c r="F52" s="211">
        <f ca="1">COUNTIFS(OFFSET('Valutazione controlli'!$I:$I,0,ROW()-42),"&lt;&gt;",'Valutazione controlli'!$BJ:$BJ,Dashboard!F$41)</f>
        <v>0</v>
      </c>
      <c r="G52" s="211">
        <f ca="1">COUNTIFS(OFFSET('Valutazione controlli'!$I$6:$I$9995,0,ROW()-42),"&lt;&gt;",'Valutazione controlli'!$BJ$6:$BJ$9995,"",'Valutazione controlli'!$BG$6:$BG$9995,"Applicabile")</f>
        <v>0</v>
      </c>
      <c r="H52" s="28"/>
      <c r="I52" s="28"/>
      <c r="J52" s="28"/>
      <c r="T52" s="42"/>
      <c r="AS52" s="38"/>
      <c r="AT52" s="38"/>
      <c r="AU52" s="38"/>
      <c r="AV52" s="38"/>
    </row>
    <row r="53" spans="2:48" ht="18.5" x14ac:dyDescent="0.5">
      <c r="B53" s="41"/>
      <c r="C53" s="311" t="str">
        <f>'Risk Register'!E19</f>
        <v>Furto e abuso di credenziali</v>
      </c>
      <c r="D53" s="211">
        <f ca="1">COUNTIFS(OFFSET('Valutazione controlli'!$I:$I,0,ROW()-42),"&lt;&gt;",'Valutazione controlli'!$BJ:$BJ,Dashboard!D$41)</f>
        <v>0</v>
      </c>
      <c r="E53" s="211">
        <f ca="1">COUNTIFS(OFFSET('Valutazione controlli'!$I:$I,0,ROW()-42),"&lt;&gt;",'Valutazione controlli'!$BJ:$BJ,Dashboard!E$41)</f>
        <v>0</v>
      </c>
      <c r="F53" s="211">
        <f ca="1">COUNTIFS(OFFSET('Valutazione controlli'!$I:$I,0,ROW()-42),"&lt;&gt;",'Valutazione controlli'!$BJ:$BJ,Dashboard!F$41)</f>
        <v>0</v>
      </c>
      <c r="G53" s="211">
        <f ca="1">COUNTIFS(OFFSET('Valutazione controlli'!$I$6:$I$9995,0,ROW()-42),"&lt;&gt;",'Valutazione controlli'!$BJ$6:$BJ$9995,"",'Valutazione controlli'!$BG$6:$BG$9995,"Applicabile")</f>
        <v>0</v>
      </c>
      <c r="T53" s="42"/>
      <c r="AS53" s="38"/>
      <c r="AT53" s="38"/>
      <c r="AU53" s="38"/>
      <c r="AV53" s="38"/>
    </row>
    <row r="54" spans="2:48" ht="18.5" x14ac:dyDescent="0.5">
      <c r="B54" s="41"/>
      <c r="C54" s="311" t="str">
        <f>'Risk Register'!E20</f>
        <v>Azioni improprie o errore umano</v>
      </c>
      <c r="D54" s="211">
        <f ca="1">COUNTIFS(OFFSET('Valutazione controlli'!$I:$I,0,ROW()-42),"&lt;&gt;",'Valutazione controlli'!$BJ:$BJ,Dashboard!D$41)</f>
        <v>0</v>
      </c>
      <c r="E54" s="211">
        <f ca="1">COUNTIFS(OFFSET('Valutazione controlli'!$I:$I,0,ROW()-42),"&lt;&gt;",'Valutazione controlli'!$BJ:$BJ,Dashboard!E$41)</f>
        <v>0</v>
      </c>
      <c r="F54" s="211">
        <f ca="1">COUNTIFS(OFFSET('Valutazione controlli'!$I:$I,0,ROW()-42),"&lt;&gt;",'Valutazione controlli'!$BJ:$BJ,Dashboard!F$41)</f>
        <v>0</v>
      </c>
      <c r="G54" s="211">
        <f ca="1">COUNTIFS(OFFSET('Valutazione controlli'!$I$6:$I$9995,0,ROW()-42),"&lt;&gt;",'Valutazione controlli'!$BJ$6:$BJ$9995,"",'Valutazione controlli'!$BG$6:$BG$9995,"Applicabile")</f>
        <v>0</v>
      </c>
      <c r="T54" s="42"/>
      <c r="AS54" s="38"/>
      <c r="AT54" s="38"/>
      <c r="AU54" s="38"/>
      <c r="AV54" s="38"/>
    </row>
    <row r="55" spans="2:48" ht="37" x14ac:dyDescent="0.5">
      <c r="B55" s="41"/>
      <c r="C55" s="311" t="str">
        <f>'Risk Register'!E21</f>
        <v>Connessione non autorizzata alla rete fisica o wireless</v>
      </c>
      <c r="D55" s="211">
        <f ca="1">COUNTIFS(OFFSET('Valutazione controlli'!$I:$I,0,ROW()-42),"&lt;&gt;",'Valutazione controlli'!$BJ:$BJ,Dashboard!D$41)</f>
        <v>0</v>
      </c>
      <c r="E55" s="211">
        <f ca="1">COUNTIFS(OFFSET('Valutazione controlli'!$I:$I,0,ROW()-42),"&lt;&gt;",'Valutazione controlli'!$BJ:$BJ,Dashboard!E$41)</f>
        <v>0</v>
      </c>
      <c r="F55" s="211">
        <f ca="1">COUNTIFS(OFFSET('Valutazione controlli'!$I:$I,0,ROW()-42),"&lt;&gt;",'Valutazione controlli'!$BJ:$BJ,Dashboard!F$41)</f>
        <v>0</v>
      </c>
      <c r="G55" s="211">
        <f ca="1">COUNTIFS(OFFSET('Valutazione controlli'!$I$6:$I$9995,0,ROW()-42),"&lt;&gt;",'Valutazione controlli'!$BJ$6:$BJ$9995,"",'Valutazione controlli'!$BG$6:$BG$9995,"Applicabile")</f>
        <v>0</v>
      </c>
      <c r="T55" s="42"/>
      <c r="AS55" s="38"/>
      <c r="AT55" s="38"/>
      <c r="AU55" s="38"/>
      <c r="AV55" s="38"/>
    </row>
    <row r="56" spans="2:48" ht="37" x14ac:dyDescent="0.5">
      <c r="B56" s="41"/>
      <c r="C56" s="311" t="str">
        <f>'Risk Register'!E22</f>
        <v>Mancato rispetto di normative o requisiti contrattuali di sicurezza</v>
      </c>
      <c r="D56" s="211">
        <f ca="1">COUNTIFS(OFFSET('Valutazione controlli'!$I:$I,0,ROW()-42),"&lt;&gt;",'Valutazione controlli'!$BJ:$BJ,Dashboard!D$41)</f>
        <v>0</v>
      </c>
      <c r="E56" s="211">
        <f ca="1">COUNTIFS(OFFSET('Valutazione controlli'!$I:$I,0,ROW()-42),"&lt;&gt;",'Valutazione controlli'!$BJ:$BJ,Dashboard!E$41)</f>
        <v>0</v>
      </c>
      <c r="F56" s="211">
        <f ca="1">COUNTIFS(OFFSET('Valutazione controlli'!$I:$I,0,ROW()-42),"&lt;&gt;",'Valutazione controlli'!$BJ:$BJ,Dashboard!F$41)</f>
        <v>0</v>
      </c>
      <c r="G56" s="211">
        <f ca="1">COUNTIFS(OFFSET('Valutazione controlli'!$I$6:$I$9995,0,ROW()-42),"&lt;&gt;",'Valutazione controlli'!$BJ$6:$BJ$9995,"",'Valutazione controlli'!$BG$6:$BG$9995,"Applicabile")</f>
        <v>0</v>
      </c>
      <c r="T56" s="42"/>
      <c r="AS56" s="38"/>
      <c r="AT56" s="38"/>
      <c r="AU56" s="38"/>
      <c r="AV56" s="38"/>
    </row>
    <row r="57" spans="2:48" ht="37" x14ac:dyDescent="0.5">
      <c r="B57" s="41"/>
      <c r="C57" s="311" t="str">
        <f>'Risk Register'!E23</f>
        <v>Evento naturale o meteorologico estremo</v>
      </c>
      <c r="D57" s="211">
        <f ca="1">COUNTIFS(OFFSET('Valutazione controlli'!$I:$I,0,ROW()-42),"&lt;&gt;",'Valutazione controlli'!$BJ:$BJ,Dashboard!D$41)</f>
        <v>0</v>
      </c>
      <c r="E57" s="211">
        <f ca="1">COUNTIFS(OFFSET('Valutazione controlli'!$I:$I,0,ROW()-42),"&lt;&gt;",'Valutazione controlli'!$BJ:$BJ,Dashboard!E$41)</f>
        <v>0</v>
      </c>
      <c r="F57" s="211">
        <f ca="1">COUNTIFS(OFFSET('Valutazione controlli'!$I:$I,0,ROW()-42),"&lt;&gt;",'Valutazione controlli'!$BJ:$BJ,Dashboard!F$41)</f>
        <v>0</v>
      </c>
      <c r="G57" s="211">
        <f ca="1">COUNTIFS(OFFSET('Valutazione controlli'!$I$6:$I$9995,0,ROW()-42),"&lt;&gt;",'Valutazione controlli'!$BJ$6:$BJ$9995,"",'Valutazione controlli'!$BG$6:$BG$9995,"Applicabile")</f>
        <v>0</v>
      </c>
      <c r="T57" s="42"/>
      <c r="AS57" s="38"/>
      <c r="AT57" s="38"/>
      <c r="AU57" s="38"/>
      <c r="AV57" s="38"/>
    </row>
    <row r="58" spans="2:48" ht="18.5" x14ac:dyDescent="0.5">
      <c r="B58" s="41"/>
      <c r="C58" s="311" t="str">
        <f>'Risk Register'!E24</f>
        <v>Incendio o allagamento</v>
      </c>
      <c r="D58" s="211">
        <f ca="1">COUNTIFS(OFFSET('Valutazione controlli'!$I:$I,0,ROW()-42),"&lt;&gt;",'Valutazione controlli'!$BJ:$BJ,Dashboard!D$41)</f>
        <v>0</v>
      </c>
      <c r="E58" s="211">
        <f ca="1">COUNTIFS(OFFSET('Valutazione controlli'!$I:$I,0,ROW()-42),"&lt;&gt;",'Valutazione controlli'!$BJ:$BJ,Dashboard!E$41)</f>
        <v>0</v>
      </c>
      <c r="F58" s="211">
        <f ca="1">COUNTIFS(OFFSET('Valutazione controlli'!$I:$I,0,ROW()-42),"&lt;&gt;",'Valutazione controlli'!$BJ:$BJ,Dashboard!F$41)</f>
        <v>0</v>
      </c>
      <c r="G58" s="211">
        <f ca="1">COUNTIFS(OFFSET('Valutazione controlli'!$I$6:$I$9995,0,ROW()-42),"&lt;&gt;",'Valutazione controlli'!$BJ$6:$BJ$9995,"",'Valutazione controlli'!$BG$6:$BG$9995,"Applicabile")</f>
        <v>0</v>
      </c>
      <c r="T58" s="42"/>
      <c r="AS58" s="38"/>
      <c r="AT58" s="38"/>
      <c r="AU58" s="38"/>
      <c r="AV58" s="38"/>
    </row>
    <row r="59" spans="2:48" ht="18.5" x14ac:dyDescent="0.5">
      <c r="B59" s="41"/>
      <c r="C59" s="311" t="str">
        <f>'Risk Register'!E25</f>
        <v>Interruzione di utilities</v>
      </c>
      <c r="D59" s="211">
        <f ca="1">COUNTIFS(OFFSET('Valutazione controlli'!$I:$I,0,ROW()-42),"&lt;&gt;",'Valutazione controlli'!$BJ:$BJ,Dashboard!D$41)</f>
        <v>0</v>
      </c>
      <c r="E59" s="211">
        <f ca="1">COUNTIFS(OFFSET('Valutazione controlli'!$I:$I,0,ROW()-42),"&lt;&gt;",'Valutazione controlli'!$BJ:$BJ,Dashboard!E$41)</f>
        <v>0</v>
      </c>
      <c r="F59" s="211">
        <f ca="1">COUNTIFS(OFFSET('Valutazione controlli'!$I:$I,0,ROW()-42),"&lt;&gt;",'Valutazione controlli'!$BJ:$BJ,Dashboard!F$41)</f>
        <v>0</v>
      </c>
      <c r="G59" s="211">
        <f ca="1">COUNTIFS(OFFSET('Valutazione controlli'!$I$6:$I$9995,0,ROW()-42),"&lt;&gt;",'Valutazione controlli'!$BJ$6:$BJ$9995,"",'Valutazione controlli'!$BG$6:$BG$9995,"Applicabile")</f>
        <v>0</v>
      </c>
      <c r="T59" s="42"/>
      <c r="AS59" s="38"/>
      <c r="AT59" s="38"/>
      <c r="AU59" s="38"/>
      <c r="AV59" s="38"/>
    </row>
    <row r="60" spans="2:48" ht="37" x14ac:dyDescent="0.5">
      <c r="B60" s="41"/>
      <c r="C60" s="311" t="str">
        <f>'Risk Register'!E26</f>
        <v>Vandalismo, sabotaggio fisico o provvedimento delle autorità</v>
      </c>
      <c r="D60" s="211">
        <f ca="1">COUNTIFS(OFFSET('Valutazione controlli'!$I:$I,0,ROW()-42),"&lt;&gt;",'Valutazione controlli'!$BJ:$BJ,Dashboard!D$41)</f>
        <v>0</v>
      </c>
      <c r="E60" s="211">
        <f ca="1">COUNTIFS(OFFSET('Valutazione controlli'!$I:$I,0,ROW()-42),"&lt;&gt;",'Valutazione controlli'!$BJ:$BJ,Dashboard!E$41)</f>
        <v>0</v>
      </c>
      <c r="F60" s="211">
        <f ca="1">COUNTIFS(OFFSET('Valutazione controlli'!$I:$I,0,ROW()-42),"&lt;&gt;",'Valutazione controlli'!$BJ:$BJ,Dashboard!F$41)</f>
        <v>0</v>
      </c>
      <c r="G60" s="211">
        <f ca="1">COUNTIFS(OFFSET('Valutazione controlli'!$I$6:$I$9995,0,ROW()-42),"&lt;&gt;",'Valutazione controlli'!$BJ$6:$BJ$9995,"",'Valutazione controlli'!$BG$6:$BG$9995,"Applicabile")</f>
        <v>0</v>
      </c>
      <c r="T60" s="42"/>
      <c r="AS60" s="38"/>
      <c r="AT60" s="38"/>
      <c r="AU60" s="38"/>
      <c r="AV60" s="38"/>
    </row>
    <row r="61" spans="2:48" ht="37" x14ac:dyDescent="0.5">
      <c r="B61" s="41"/>
      <c r="C61" s="311" t="str">
        <f>'Risk Register'!E27</f>
        <v>Assenza di personale operativo e figure chiave</v>
      </c>
      <c r="D61" s="211">
        <f ca="1">COUNTIFS(OFFSET('Valutazione controlli'!$I:$I,0,ROW()-42),"&lt;&gt;",'Valutazione controlli'!$BJ:$BJ,Dashboard!D$41)</f>
        <v>0</v>
      </c>
      <c r="E61" s="211">
        <f ca="1">COUNTIFS(OFFSET('Valutazione controlli'!$I:$I,0,ROW()-42),"&lt;&gt;",'Valutazione controlli'!$BJ:$BJ,Dashboard!E$41)</f>
        <v>0</v>
      </c>
      <c r="F61" s="211">
        <f ca="1">COUNTIFS(OFFSET('Valutazione controlli'!$I:$I,0,ROW()-42),"&lt;&gt;",'Valutazione controlli'!$BJ:$BJ,Dashboard!F$41)</f>
        <v>0</v>
      </c>
      <c r="G61" s="211">
        <f ca="1">COUNTIFS(OFFSET('Valutazione controlli'!$I$6:$I$9995,0,ROW()-42),"&lt;&gt;",'Valutazione controlli'!$BJ$6:$BJ$9995,"",'Valutazione controlli'!$BG$6:$BG$9995,"Applicabile")</f>
        <v>0</v>
      </c>
      <c r="T61" s="42"/>
      <c r="AS61" s="38"/>
      <c r="AT61" s="38"/>
      <c r="AU61" s="38"/>
      <c r="AV61" s="38"/>
    </row>
    <row r="62" spans="2:48" ht="18.5" x14ac:dyDescent="0.5">
      <c r="B62" s="41"/>
      <c r="C62" s="311" t="str">
        <f>'Risk Register'!E28</f>
        <v>Fault del fornitore</v>
      </c>
      <c r="D62" s="211">
        <f ca="1">COUNTIFS(OFFSET('Valutazione controlli'!$I:$I,0,ROW()-42),"&lt;&gt;",'Valutazione controlli'!$BJ:$BJ,Dashboard!D$41)</f>
        <v>0</v>
      </c>
      <c r="E62" s="211">
        <f ca="1">COUNTIFS(OFFSET('Valutazione controlli'!$I:$I,0,ROW()-42),"&lt;&gt;",'Valutazione controlli'!$BJ:$BJ,Dashboard!E$41)</f>
        <v>0</v>
      </c>
      <c r="F62" s="211">
        <f ca="1">COUNTIFS(OFFSET('Valutazione controlli'!$I:$I,0,ROW()-42),"&lt;&gt;",'Valutazione controlli'!$BJ:$BJ,Dashboard!F$41)</f>
        <v>0</v>
      </c>
      <c r="G62" s="211">
        <f ca="1">COUNTIFS(OFFSET('Valutazione controlli'!$I$6:$I$9995,0,ROW()-42),"&lt;&gt;",'Valutazione controlli'!$BJ$6:$BJ$9995,"",'Valutazione controlli'!$BG$6:$BG$9995,"Applicabile")</f>
        <v>0</v>
      </c>
      <c r="T62" s="42"/>
      <c r="AS62" s="38"/>
      <c r="AT62" s="38"/>
      <c r="AU62" s="38"/>
      <c r="AV62" s="38"/>
    </row>
    <row r="63" spans="2:48" ht="37" x14ac:dyDescent="0.5">
      <c r="B63" s="41"/>
      <c r="C63" s="311" t="str">
        <f>'Risk Register'!E29</f>
        <v>Intrusione fraudolenta in uffici, locali tecnici o data center</v>
      </c>
      <c r="D63" s="211">
        <f ca="1">COUNTIFS(OFFSET('Valutazione controlli'!$I:$I,0,ROW()-42),"&lt;&gt;",'Valutazione controlli'!$BJ:$BJ,Dashboard!D$41)</f>
        <v>0</v>
      </c>
      <c r="E63" s="211">
        <f ca="1">COUNTIFS(OFFSET('Valutazione controlli'!$I:$I,0,ROW()-42),"&lt;&gt;",'Valutazione controlli'!$BJ:$BJ,Dashboard!E$41)</f>
        <v>0</v>
      </c>
      <c r="F63" s="211">
        <f ca="1">COUNTIFS(OFFSET('Valutazione controlli'!$I:$I,0,ROW()-42),"&lt;&gt;",'Valutazione controlli'!$BJ:$BJ,Dashboard!F$41)</f>
        <v>0</v>
      </c>
      <c r="G63" s="211">
        <f ca="1">COUNTIFS(OFFSET('Valutazione controlli'!$I$6:$I$9995,0,ROW()-42),"&lt;&gt;",'Valutazione controlli'!$BJ$6:$BJ$9995,"",'Valutazione controlli'!$BG$6:$BG$9995,"Applicabile")</f>
        <v>0</v>
      </c>
      <c r="T63" s="42"/>
      <c r="AS63" s="38"/>
      <c r="AT63" s="38"/>
      <c r="AU63" s="38"/>
      <c r="AV63" s="38"/>
    </row>
    <row r="64" spans="2:48" ht="57" customHeight="1" x14ac:dyDescent="0.5">
      <c r="B64" s="41"/>
      <c r="T64" s="42"/>
      <c r="AS64" s="38"/>
      <c r="AT64" s="38"/>
      <c r="AU64" s="38"/>
      <c r="AV64" s="38"/>
    </row>
    <row r="65" spans="1:66" ht="27" customHeight="1" x14ac:dyDescent="0.5">
      <c r="B65" s="41"/>
      <c r="C65" s="50" t="s">
        <v>1614</v>
      </c>
      <c r="T65" s="42"/>
      <c r="AS65" s="38"/>
      <c r="AT65" s="38"/>
      <c r="AU65" s="38"/>
      <c r="AV65" s="38"/>
    </row>
    <row r="66" spans="1:66" ht="37" x14ac:dyDescent="0.5">
      <c r="B66" s="41"/>
      <c r="C66" s="233" t="s">
        <v>1615</v>
      </c>
      <c r="D66" s="307" t="s">
        <v>1610</v>
      </c>
      <c r="E66" s="308" t="s">
        <v>1611</v>
      </c>
      <c r="F66" s="309" t="s">
        <v>1612</v>
      </c>
      <c r="G66" s="310" t="s">
        <v>1613</v>
      </c>
      <c r="H66" s="49"/>
      <c r="I66" s="49"/>
      <c r="J66" s="49"/>
      <c r="R66" s="2" t="s">
        <v>1616</v>
      </c>
      <c r="S66" s="2" t="s">
        <v>1617</v>
      </c>
      <c r="T66" s="42"/>
      <c r="AS66" s="38"/>
      <c r="AT66" s="38"/>
      <c r="AU66" s="38"/>
      <c r="AV66" s="38"/>
    </row>
    <row r="67" spans="1:66" ht="18.5" x14ac:dyDescent="0.55000000000000004">
      <c r="B67" s="41"/>
      <c r="C67" s="312" t="s">
        <v>651</v>
      </c>
      <c r="D67" s="218">
        <f>COUNTIFS('Valutazione controlli'!$C:$C,Dashboard!$C67,'Valutazione controlli'!$BJ:$BJ,Dashboard!D$66)</f>
        <v>0</v>
      </c>
      <c r="E67" s="218">
        <f>COUNTIFS('Valutazione controlli'!$C:$C,Dashboard!$C67,'Valutazione controlli'!$BJ:$BJ,Dashboard!E$66)</f>
        <v>0</v>
      </c>
      <c r="F67" s="218">
        <f>COUNTIFS('Valutazione controlli'!$C:$C,Dashboard!$C67,'Valutazione controlli'!$BJ:$BJ,Dashboard!F$66)</f>
        <v>0</v>
      </c>
      <c r="G67" s="218">
        <f>COUNTIFS('Valutazione controlli'!$C:$C,Dashboard!$C67,'Valutazione controlli'!BG:BG,"Applicabile",'Valutazione controlli'!BJ:BJ,"")</f>
        <v>0</v>
      </c>
      <c r="H67" s="28"/>
      <c r="I67" s="28"/>
      <c r="J67" s="28"/>
      <c r="R67" s="2" t="s">
        <v>1618</v>
      </c>
      <c r="S67" s="2">
        <v>0.54027777777777775</v>
      </c>
      <c r="T67" s="42">
        <v>1</v>
      </c>
      <c r="X67" s="381"/>
      <c r="AS67" s="38"/>
      <c r="AT67" s="38"/>
      <c r="AU67" s="38"/>
      <c r="AV67" s="38"/>
    </row>
    <row r="68" spans="1:66" ht="18.5" x14ac:dyDescent="0.55000000000000004">
      <c r="B68" s="41"/>
      <c r="C68" s="312" t="s">
        <v>760</v>
      </c>
      <c r="D68" s="218">
        <f>COUNTIFS('Valutazione controlli'!$C:$C,Dashboard!$C68,'Valutazione controlli'!$BJ:$BJ,Dashboard!D$66)</f>
        <v>0</v>
      </c>
      <c r="E68" s="218">
        <f>COUNTIFS('Valutazione controlli'!$C:$C,Dashboard!$C68,'Valutazione controlli'!$BJ:$BJ,Dashboard!E$66)</f>
        <v>0</v>
      </c>
      <c r="F68" s="218">
        <f>COUNTIFS('Valutazione controlli'!$C:$C,Dashboard!$C68,'Valutazione controlli'!$BJ:$BJ,Dashboard!F$66)</f>
        <v>0</v>
      </c>
      <c r="G68" s="218">
        <f>COUNTIFS('Valutazione controlli'!$C:$C,Dashboard!$C68,'Valutazione controlli'!BG:BG,"Applicabile",'Valutazione controlli'!BJ:BJ,"")</f>
        <v>0</v>
      </c>
      <c r="H68" s="28"/>
      <c r="I68" s="28"/>
      <c r="J68" s="28"/>
      <c r="R68" s="2" t="s">
        <v>1619</v>
      </c>
      <c r="S68" s="2">
        <v>0.625</v>
      </c>
      <c r="T68" s="42">
        <v>1</v>
      </c>
      <c r="X68" s="381"/>
      <c r="AS68" s="38"/>
      <c r="AT68" s="38"/>
      <c r="AU68" s="38"/>
      <c r="AV68" s="38"/>
    </row>
    <row r="69" spans="1:66" ht="18.5" x14ac:dyDescent="0.55000000000000004">
      <c r="B69" s="41"/>
      <c r="C69" s="312" t="s">
        <v>850</v>
      </c>
      <c r="D69" s="218">
        <f>COUNTIFS('Valutazione controlli'!$C:$C,Dashboard!$C69,'Valutazione controlli'!$BJ:$BJ,Dashboard!D$66)</f>
        <v>0</v>
      </c>
      <c r="E69" s="218">
        <f>COUNTIFS('Valutazione controlli'!$C:$C,Dashboard!$C69,'Valutazione controlli'!$BJ:$BJ,Dashboard!E$66)</f>
        <v>0</v>
      </c>
      <c r="F69" s="218">
        <f>COUNTIFS('Valutazione controlli'!$C:$C,Dashboard!$C69,'Valutazione controlli'!$BJ:$BJ,Dashboard!F$66)</f>
        <v>0</v>
      </c>
      <c r="G69" s="218">
        <f>COUNTIFS('Valutazione controlli'!$C:$C,Dashboard!$C69,'Valutazione controlli'!BG:BG,"Applicabile",'Valutazione controlli'!BJ:BJ,"")</f>
        <v>0</v>
      </c>
      <c r="H69" s="28"/>
      <c r="I69" s="28"/>
      <c r="J69" s="28"/>
      <c r="R69" s="2" t="s">
        <v>1620</v>
      </c>
      <c r="S69" s="2">
        <v>0.6</v>
      </c>
      <c r="T69" s="42">
        <v>1</v>
      </c>
      <c r="X69" s="381"/>
      <c r="AS69" s="38"/>
      <c r="AT69" s="38"/>
      <c r="AU69" s="38"/>
      <c r="AV69" s="38"/>
    </row>
    <row r="70" spans="1:66" ht="18.5" x14ac:dyDescent="0.55000000000000004">
      <c r="B70" s="41"/>
      <c r="C70" s="312" t="s">
        <v>915</v>
      </c>
      <c r="D70" s="218">
        <f>COUNTIFS('Valutazione controlli'!$C:$C,Dashboard!$C70,'Valutazione controlli'!$BJ:$BJ,Dashboard!D$66)</f>
        <v>0</v>
      </c>
      <c r="E70" s="218">
        <f>COUNTIFS('Valutazione controlli'!$C:$C,Dashboard!$C70,'Valutazione controlli'!$BJ:$BJ,Dashboard!E$66)</f>
        <v>0</v>
      </c>
      <c r="F70" s="218">
        <f>COUNTIFS('Valutazione controlli'!$C:$C,Dashboard!$C70,'Valutazione controlli'!$BJ:$BJ,Dashboard!F$66)</f>
        <v>0</v>
      </c>
      <c r="G70" s="218">
        <f>COUNTIFS('Valutazione controlli'!$C:$C,Dashboard!$C70,'Valutazione controlli'!BG:BG,"Applicabile",'Valutazione controlli'!BJ:BJ,"")</f>
        <v>0</v>
      </c>
      <c r="H70" s="28"/>
      <c r="I70" s="28"/>
      <c r="J70" s="28"/>
      <c r="R70" s="2" t="s">
        <v>1621</v>
      </c>
      <c r="S70" s="2">
        <v>0.6</v>
      </c>
      <c r="T70" s="42">
        <v>1</v>
      </c>
      <c r="X70" s="381"/>
      <c r="AS70" s="38"/>
      <c r="AT70" s="38"/>
      <c r="AU70" s="38"/>
      <c r="AV70" s="38"/>
    </row>
    <row r="71" spans="1:66" ht="18.5" x14ac:dyDescent="0.55000000000000004">
      <c r="B71" s="41"/>
      <c r="C71" s="312" t="s">
        <v>928</v>
      </c>
      <c r="D71" s="218">
        <f>COUNTIFS('Valutazione controlli'!$C:$C,Dashboard!$C71,'Valutazione controlli'!$BJ:$BJ,Dashboard!D$66)</f>
        <v>0</v>
      </c>
      <c r="E71" s="218">
        <f>COUNTIFS('Valutazione controlli'!$C:$C,Dashboard!$C71,'Valutazione controlli'!$BJ:$BJ,Dashboard!E$66)</f>
        <v>0</v>
      </c>
      <c r="F71" s="218">
        <f>COUNTIFS('Valutazione controlli'!$C:$C,Dashboard!$C71,'Valutazione controlli'!$BJ:$BJ,Dashboard!F$66)</f>
        <v>0</v>
      </c>
      <c r="G71" s="218">
        <f>COUNTIFS('Valutazione controlli'!$C:$C,Dashboard!$C71,'Valutazione controlli'!BG:BG,"Applicabile",'Valutazione controlli'!BJ:BJ,"")</f>
        <v>0</v>
      </c>
      <c r="H71" s="28"/>
      <c r="I71" s="28"/>
      <c r="J71" s="28"/>
      <c r="R71" s="2" t="s">
        <v>1622</v>
      </c>
      <c r="S71" s="2">
        <v>0.6</v>
      </c>
      <c r="T71" s="42">
        <v>1</v>
      </c>
      <c r="X71" s="381"/>
      <c r="AS71" s="38"/>
      <c r="AT71" s="38"/>
      <c r="AU71" s="38"/>
      <c r="AV71" s="38"/>
    </row>
    <row r="72" spans="1:66" ht="18.5" x14ac:dyDescent="0.55000000000000004">
      <c r="B72" s="41"/>
      <c r="C72" s="312" t="s">
        <v>1027</v>
      </c>
      <c r="D72" s="218">
        <f>COUNTIFS('Valutazione controlli'!$C:$C,Dashboard!$C72,'Valutazione controlli'!$BJ:$BJ,Dashboard!D$66)</f>
        <v>0</v>
      </c>
      <c r="E72" s="218">
        <f>COUNTIFS('Valutazione controlli'!$C:$C,Dashboard!$C72,'Valutazione controlli'!$BJ:$BJ,Dashboard!E$66)</f>
        <v>0</v>
      </c>
      <c r="F72" s="218">
        <f>COUNTIFS('Valutazione controlli'!$C:$C,Dashboard!$C72,'Valutazione controlli'!$BJ:$BJ,Dashboard!F$66)</f>
        <v>0</v>
      </c>
      <c r="G72" s="218">
        <f>COUNTIFS('Valutazione controlli'!$C:$C,Dashboard!$C72,'Valutazione controlli'!BG:BG,"Applicabile",'Valutazione controlli'!BJ:BJ,"")</f>
        <v>0</v>
      </c>
      <c r="T72" s="42"/>
      <c r="X72" s="381"/>
      <c r="AS72" s="38"/>
      <c r="AT72" s="38"/>
      <c r="AU72" s="38"/>
      <c r="AV72" s="38"/>
    </row>
    <row r="73" spans="1:66" ht="18.5" x14ac:dyDescent="0.55000000000000004">
      <c r="B73" s="41"/>
      <c r="C73" s="312" t="s">
        <v>1114</v>
      </c>
      <c r="D73" s="218">
        <f>COUNTIFS('Valutazione controlli'!$C:$C,Dashboard!$C73,'Valutazione controlli'!$BJ:$BJ,Dashboard!D$66)</f>
        <v>0</v>
      </c>
      <c r="E73" s="218">
        <f>COUNTIFS('Valutazione controlli'!$C:$C,Dashboard!$C73,'Valutazione controlli'!$BJ:$BJ,Dashboard!E$66)</f>
        <v>0</v>
      </c>
      <c r="F73" s="218">
        <f>COUNTIFS('Valutazione controlli'!$C:$C,Dashboard!$C73,'Valutazione controlli'!$BJ:$BJ,Dashboard!F$66)</f>
        <v>0</v>
      </c>
      <c r="G73" s="218">
        <f>COUNTIFS('Valutazione controlli'!$C:$C,Dashboard!$C73,'Valutazione controlli'!BG:BG,"Applicabile",'Valutazione controlli'!BJ:BJ,"")</f>
        <v>0</v>
      </c>
      <c r="T73" s="42"/>
      <c r="AS73" s="38"/>
      <c r="AT73" s="38"/>
      <c r="AU73" s="38"/>
      <c r="AV73" s="38"/>
    </row>
    <row r="74" spans="1:66" ht="18.5" x14ac:dyDescent="0.55000000000000004">
      <c r="B74" s="41"/>
      <c r="C74" s="312" t="s">
        <v>1157</v>
      </c>
      <c r="D74" s="218">
        <f>COUNTIFS('Valutazione controlli'!$C:$C,Dashboard!$C74,'Valutazione controlli'!$BJ:$BJ,Dashboard!D$66)</f>
        <v>0</v>
      </c>
      <c r="E74" s="218">
        <f>COUNTIFS('Valutazione controlli'!$C:$C,Dashboard!$C74,'Valutazione controlli'!$BJ:$BJ,Dashboard!E$66)</f>
        <v>0</v>
      </c>
      <c r="F74" s="218">
        <f>COUNTIFS('Valutazione controlli'!$C:$C,Dashboard!$C74,'Valutazione controlli'!$BJ:$BJ,Dashboard!F$66)</f>
        <v>0</v>
      </c>
      <c r="G74" s="218">
        <f>COUNTIFS('Valutazione controlli'!$C:$C,Dashboard!$C74,'Valutazione controlli'!BG:BG,"Applicabile",'Valutazione controlli'!BJ:BJ,"")</f>
        <v>0</v>
      </c>
      <c r="T74" s="42"/>
      <c r="AS74" s="38"/>
      <c r="AT74" s="38"/>
      <c r="AU74" s="38"/>
      <c r="AV74" s="38"/>
    </row>
    <row r="75" spans="1:66" s="2" customFormat="1" ht="18.5" x14ac:dyDescent="0.55000000000000004">
      <c r="A75" s="1"/>
      <c r="B75" s="41"/>
      <c r="C75" s="312" t="s">
        <v>1221</v>
      </c>
      <c r="D75" s="218">
        <f>COUNTIFS('Valutazione controlli'!$C:$C,Dashboard!$C75,'Valutazione controlli'!$BJ:$BJ,Dashboard!D$66)</f>
        <v>0</v>
      </c>
      <c r="E75" s="218">
        <f>COUNTIFS('Valutazione controlli'!$C:$C,Dashboard!$C75,'Valutazione controlli'!$BJ:$BJ,Dashboard!E$66)</f>
        <v>0</v>
      </c>
      <c r="F75" s="218">
        <f>COUNTIFS('Valutazione controlli'!$C:$C,Dashboard!$C75,'Valutazione controlli'!$BJ:$BJ,Dashboard!F$66)</f>
        <v>0</v>
      </c>
      <c r="G75" s="218">
        <f>COUNTIFS('Valutazione controlli'!$C:$C,Dashboard!$C75,'Valutazione controlli'!BG:BG,"Applicabile",'Valutazione controlli'!BJ:BJ,"")</f>
        <v>0</v>
      </c>
      <c r="H75" s="1"/>
      <c r="I75" s="1"/>
      <c r="J75" s="1"/>
      <c r="S75" s="51"/>
      <c r="T75" s="52"/>
      <c r="U75" s="53"/>
      <c r="V75" s="53"/>
      <c r="W75" s="51"/>
      <c r="X75" s="51"/>
      <c r="Y75" s="51"/>
      <c r="AD75" s="38"/>
      <c r="AE75" s="38"/>
      <c r="AF75" s="38"/>
      <c r="AG75" s="38"/>
      <c r="AH75" s="38"/>
      <c r="AI75" s="38"/>
      <c r="AJ75" s="38"/>
      <c r="AK75" s="38"/>
      <c r="AL75" s="38"/>
      <c r="AM75" s="38"/>
      <c r="AN75" s="38"/>
      <c r="AO75" s="38"/>
      <c r="AP75" s="38"/>
      <c r="AQ75" s="38"/>
      <c r="AR75" s="38"/>
      <c r="AS75" s="1"/>
      <c r="AT75" s="1"/>
      <c r="AU75" s="1"/>
      <c r="AV75" s="1"/>
      <c r="AW75" s="1"/>
      <c r="AX75" s="1"/>
      <c r="AY75" s="1"/>
      <c r="AZ75" s="1"/>
      <c r="BA75" s="1"/>
      <c r="BB75" s="1"/>
      <c r="BC75" s="1"/>
      <c r="BD75" s="1"/>
      <c r="BE75" s="1"/>
      <c r="BF75" s="1"/>
      <c r="BG75" s="1"/>
      <c r="BH75" s="1"/>
      <c r="BI75" s="1"/>
      <c r="BJ75" s="1"/>
      <c r="BK75" s="1"/>
      <c r="BL75" s="1"/>
      <c r="BM75" s="1"/>
      <c r="BN75" s="1"/>
    </row>
    <row r="76" spans="1:66" s="2" customFormat="1" ht="18.5" x14ac:dyDescent="0.55000000000000004">
      <c r="A76" s="1"/>
      <c r="B76" s="41"/>
      <c r="C76" s="312" t="s">
        <v>1269</v>
      </c>
      <c r="D76" s="218">
        <f>COUNTIFS('Valutazione controlli'!$C:$C,Dashboard!$C76,'Valutazione controlli'!$BJ:$BJ,Dashboard!D$66)</f>
        <v>0</v>
      </c>
      <c r="E76" s="218">
        <f>COUNTIFS('Valutazione controlli'!$C:$C,Dashboard!$C76,'Valutazione controlli'!$BJ:$BJ,Dashboard!E$66)</f>
        <v>0</v>
      </c>
      <c r="F76" s="218">
        <f>COUNTIFS('Valutazione controlli'!$C:$C,Dashboard!$C76,'Valutazione controlli'!$BJ:$BJ,Dashboard!F$66)</f>
        <v>0</v>
      </c>
      <c r="G76" s="218">
        <f>COUNTIFS('Valutazione controlli'!$C:$C,Dashboard!$C76,'Valutazione controlli'!BG:BG,"Applicabile",'Valutazione controlli'!BJ:BJ,"")</f>
        <v>0</v>
      </c>
      <c r="H76" s="1"/>
      <c r="I76" s="1"/>
      <c r="J76" s="1"/>
      <c r="S76" s="51"/>
      <c r="T76" s="52"/>
      <c r="U76" s="53"/>
      <c r="V76" s="53"/>
      <c r="W76" s="51"/>
      <c r="X76" s="51"/>
      <c r="Y76" s="51"/>
      <c r="AD76" s="38"/>
      <c r="AE76" s="38"/>
      <c r="AF76" s="38"/>
      <c r="AG76" s="38"/>
      <c r="AH76" s="38"/>
      <c r="AI76" s="38"/>
      <c r="AJ76" s="38"/>
      <c r="AK76" s="38"/>
      <c r="AL76" s="38"/>
      <c r="AM76" s="38"/>
      <c r="AN76" s="38"/>
      <c r="AO76" s="38"/>
      <c r="AP76" s="38"/>
      <c r="AQ76" s="38"/>
      <c r="AR76" s="38"/>
      <c r="AS76" s="1"/>
      <c r="AT76" s="1"/>
      <c r="AU76" s="1"/>
      <c r="AV76" s="1"/>
      <c r="AW76" s="1"/>
      <c r="AX76" s="1"/>
      <c r="AY76" s="1"/>
      <c r="AZ76" s="1"/>
      <c r="BA76" s="1"/>
      <c r="BB76" s="1"/>
      <c r="BC76" s="1"/>
      <c r="BD76" s="1"/>
      <c r="BE76" s="1"/>
      <c r="BF76" s="1"/>
      <c r="BG76" s="1"/>
      <c r="BH76" s="1"/>
      <c r="BI76" s="1"/>
      <c r="BJ76" s="1"/>
      <c r="BK76" s="1"/>
      <c r="BL76" s="1"/>
      <c r="BM76" s="1"/>
      <c r="BN76" s="1"/>
    </row>
    <row r="77" spans="1:66" s="2" customFormat="1" ht="18.5" x14ac:dyDescent="0.55000000000000004">
      <c r="A77" s="1"/>
      <c r="B77" s="41"/>
      <c r="C77" s="312" t="s">
        <v>1286</v>
      </c>
      <c r="D77" s="218">
        <f>COUNTIFS('Valutazione controlli'!$C:$C,Dashboard!$C77,'Valutazione controlli'!$BJ:$BJ,Dashboard!D$66)</f>
        <v>0</v>
      </c>
      <c r="E77" s="218">
        <f>COUNTIFS('Valutazione controlli'!$C:$C,Dashboard!$C77,'Valutazione controlli'!$BJ:$BJ,Dashboard!E$66)</f>
        <v>0</v>
      </c>
      <c r="F77" s="218">
        <f>COUNTIFS('Valutazione controlli'!$C:$C,Dashboard!$C77,'Valutazione controlli'!$BJ:$BJ,Dashboard!F$66)</f>
        <v>0</v>
      </c>
      <c r="G77" s="218">
        <f>COUNTIFS('Valutazione controlli'!$C:$C,Dashboard!$C77,'Valutazione controlli'!BG:BG,"Applicabile",'Valutazione controlli'!BJ:BJ,"")</f>
        <v>0</v>
      </c>
      <c r="H77" s="1"/>
      <c r="I77" s="1"/>
      <c r="J77" s="1"/>
      <c r="S77" s="51"/>
      <c r="T77" s="52"/>
      <c r="U77" s="53"/>
      <c r="V77" s="53"/>
      <c r="W77" s="51"/>
      <c r="X77" s="51"/>
      <c r="Y77" s="51"/>
      <c r="AD77" s="38"/>
      <c r="AE77" s="38"/>
      <c r="AF77" s="38"/>
      <c r="AG77" s="38"/>
      <c r="AH77" s="38"/>
      <c r="AI77" s="38"/>
      <c r="AJ77" s="38"/>
      <c r="AK77" s="38"/>
      <c r="AL77" s="38"/>
      <c r="AM77" s="38"/>
      <c r="AN77" s="38"/>
      <c r="AO77" s="38"/>
      <c r="AP77" s="38"/>
      <c r="AQ77" s="38"/>
      <c r="AR77" s="38"/>
      <c r="AS77" s="1"/>
      <c r="AT77" s="1"/>
      <c r="AU77" s="1"/>
      <c r="AV77" s="1"/>
      <c r="AW77" s="1"/>
      <c r="AX77" s="1"/>
      <c r="AY77" s="1"/>
      <c r="AZ77" s="1"/>
      <c r="BA77" s="1"/>
      <c r="BB77" s="1"/>
      <c r="BC77" s="1"/>
      <c r="BD77" s="1"/>
      <c r="BE77" s="1"/>
      <c r="BF77" s="1"/>
      <c r="BG77" s="1"/>
      <c r="BH77" s="1"/>
      <c r="BI77" s="1"/>
      <c r="BJ77" s="1"/>
      <c r="BK77" s="1"/>
      <c r="BL77" s="1"/>
      <c r="BM77" s="1"/>
      <c r="BN77" s="1"/>
    </row>
    <row r="78" spans="1:66" s="2" customFormat="1" ht="18.5" x14ac:dyDescent="0.55000000000000004">
      <c r="A78" s="1"/>
      <c r="B78" s="41"/>
      <c r="C78" s="312" t="s">
        <v>1381</v>
      </c>
      <c r="D78" s="218">
        <f>COUNTIFS('Valutazione controlli'!$C:$C,Dashboard!$C78,'Valutazione controlli'!$BJ:$BJ,Dashboard!D$66)</f>
        <v>0</v>
      </c>
      <c r="E78" s="218">
        <f>COUNTIFS('Valutazione controlli'!$C:$C,Dashboard!$C78,'Valutazione controlli'!$BJ:$BJ,Dashboard!E$66)</f>
        <v>0</v>
      </c>
      <c r="F78" s="218">
        <f>COUNTIFS('Valutazione controlli'!$C:$C,Dashboard!$C78,'Valutazione controlli'!$BJ:$BJ,Dashboard!F$66)</f>
        <v>0</v>
      </c>
      <c r="G78" s="218">
        <f>COUNTIFS('Valutazione controlli'!$C:$C,Dashboard!$C78,'Valutazione controlli'!BG:BG,"Applicabile",'Valutazione controlli'!BJ:BJ,"")</f>
        <v>0</v>
      </c>
      <c r="H78" s="1"/>
      <c r="I78" s="1"/>
      <c r="J78" s="1"/>
      <c r="S78" s="51"/>
      <c r="T78" s="52"/>
      <c r="U78" s="53"/>
      <c r="V78" s="53"/>
      <c r="W78" s="51"/>
      <c r="X78" s="51"/>
      <c r="Y78" s="51"/>
      <c r="AD78" s="38"/>
      <c r="AE78" s="38"/>
      <c r="AF78" s="38"/>
      <c r="AG78" s="38"/>
      <c r="AH78" s="38"/>
      <c r="AI78" s="38"/>
      <c r="AJ78" s="38"/>
      <c r="AK78" s="38"/>
      <c r="AL78" s="38"/>
      <c r="AM78" s="38"/>
      <c r="AN78" s="38"/>
      <c r="AO78" s="38"/>
      <c r="AP78" s="38"/>
      <c r="AQ78" s="38"/>
      <c r="AR78" s="38"/>
      <c r="AS78" s="1"/>
      <c r="AT78" s="1"/>
      <c r="AU78" s="1"/>
      <c r="AV78" s="1"/>
      <c r="AW78" s="1"/>
      <c r="AX78" s="1"/>
      <c r="AY78" s="1"/>
      <c r="AZ78" s="1"/>
      <c r="BA78" s="1"/>
      <c r="BB78" s="1"/>
      <c r="BC78" s="1"/>
      <c r="BD78" s="1"/>
      <c r="BE78" s="1"/>
      <c r="BF78" s="1"/>
      <c r="BG78" s="1"/>
      <c r="BH78" s="1"/>
      <c r="BI78" s="1"/>
      <c r="BJ78" s="1"/>
      <c r="BK78" s="1"/>
      <c r="BL78" s="1"/>
      <c r="BM78" s="1"/>
      <c r="BN78" s="1"/>
    </row>
    <row r="79" spans="1:66" s="2" customFormat="1" ht="18.5" x14ac:dyDescent="0.55000000000000004">
      <c r="A79" s="1"/>
      <c r="B79" s="41"/>
      <c r="C79" s="312" t="s">
        <v>1406</v>
      </c>
      <c r="D79" s="218">
        <f>COUNTIFS('Valutazione controlli'!$C:$C,Dashboard!$C79,'Valutazione controlli'!$BJ:$BJ,Dashboard!D$66)</f>
        <v>0</v>
      </c>
      <c r="E79" s="218">
        <f>COUNTIFS('Valutazione controlli'!$C:$C,Dashboard!$C79,'Valutazione controlli'!$BJ:$BJ,Dashboard!E$66)</f>
        <v>0</v>
      </c>
      <c r="F79" s="218">
        <f>COUNTIFS('Valutazione controlli'!$C:$C,Dashboard!$C79,'Valutazione controlli'!$BJ:$BJ,Dashboard!F$66)</f>
        <v>0</v>
      </c>
      <c r="G79" s="218">
        <f>COUNTIFS('Valutazione controlli'!$C:$C,Dashboard!$C79,'Valutazione controlli'!BG:BG,"Applicabile",'Valutazione controlli'!BJ:BJ,"")</f>
        <v>0</v>
      </c>
      <c r="H79" s="1"/>
      <c r="I79" s="1"/>
      <c r="J79" s="1"/>
      <c r="S79" s="51"/>
      <c r="T79" s="52"/>
      <c r="U79" s="53"/>
      <c r="V79" s="53"/>
      <c r="W79" s="51"/>
      <c r="X79" s="51"/>
      <c r="Y79" s="51"/>
      <c r="AD79" s="38"/>
      <c r="AE79" s="38"/>
      <c r="AF79" s="38"/>
      <c r="AG79" s="38"/>
      <c r="AH79" s="38"/>
      <c r="AI79" s="38"/>
      <c r="AJ79" s="38"/>
      <c r="AK79" s="38"/>
      <c r="AL79" s="38"/>
      <c r="AM79" s="38"/>
      <c r="AN79" s="38"/>
      <c r="AO79" s="38"/>
      <c r="AP79" s="38"/>
      <c r="AQ79" s="38"/>
      <c r="AR79" s="38"/>
      <c r="AS79" s="1"/>
      <c r="AT79" s="1"/>
      <c r="AU79" s="1"/>
      <c r="AV79" s="1"/>
      <c r="AW79" s="1"/>
      <c r="AX79" s="1"/>
      <c r="AY79" s="1"/>
      <c r="AZ79" s="1"/>
      <c r="BA79" s="1"/>
      <c r="BB79" s="1"/>
      <c r="BC79" s="1"/>
      <c r="BD79" s="1"/>
      <c r="BE79" s="1"/>
      <c r="BF79" s="1"/>
      <c r="BG79" s="1"/>
      <c r="BH79" s="1"/>
      <c r="BI79" s="1"/>
      <c r="BJ79" s="1"/>
      <c r="BK79" s="1"/>
      <c r="BL79" s="1"/>
      <c r="BM79" s="1"/>
      <c r="BN79" s="1"/>
    </row>
    <row r="80" spans="1:66" s="2" customFormat="1" ht="18.5" x14ac:dyDescent="0.55000000000000004">
      <c r="A80" s="1"/>
      <c r="B80" s="41"/>
      <c r="C80" s="312" t="s">
        <v>1431</v>
      </c>
      <c r="D80" s="218">
        <f>COUNTIFS('Valutazione controlli'!$C:$C,Dashboard!$C80,'Valutazione controlli'!$BJ:$BJ,Dashboard!D$66)</f>
        <v>0</v>
      </c>
      <c r="E80" s="218">
        <f>COUNTIFS('Valutazione controlli'!$C:$C,Dashboard!$C80,'Valutazione controlli'!$BJ:$BJ,Dashboard!E$66)</f>
        <v>0</v>
      </c>
      <c r="F80" s="218">
        <f>COUNTIFS('Valutazione controlli'!$C:$C,Dashboard!$C80,'Valutazione controlli'!$BJ:$BJ,Dashboard!F$66)</f>
        <v>0</v>
      </c>
      <c r="G80" s="218">
        <f>COUNTIFS('Valutazione controlli'!$C:$C,Dashboard!$C80,'Valutazione controlli'!BG:BG,"Applicabile",'Valutazione controlli'!BJ:BJ,"")</f>
        <v>0</v>
      </c>
      <c r="H80" s="1"/>
      <c r="I80" s="1"/>
      <c r="J80" s="1"/>
      <c r="S80" s="51"/>
      <c r="T80" s="52"/>
      <c r="U80" s="53"/>
      <c r="V80" s="53"/>
      <c r="W80" s="51"/>
      <c r="X80" s="51"/>
      <c r="Y80" s="51"/>
      <c r="AD80" s="38"/>
      <c r="AE80" s="38"/>
      <c r="AF80" s="38"/>
      <c r="AG80" s="38"/>
      <c r="AH80" s="38"/>
      <c r="AI80" s="38"/>
      <c r="AJ80" s="38"/>
      <c r="AK80" s="38"/>
      <c r="AL80" s="38"/>
      <c r="AM80" s="38"/>
      <c r="AN80" s="38"/>
      <c r="AO80" s="38"/>
      <c r="AP80" s="38"/>
      <c r="AQ80" s="38"/>
      <c r="AR80" s="38"/>
      <c r="AS80" s="1"/>
      <c r="AT80" s="1"/>
      <c r="AU80" s="1"/>
      <c r="AV80" s="1"/>
      <c r="AW80" s="1"/>
      <c r="AX80" s="1"/>
      <c r="AY80" s="1"/>
      <c r="AZ80" s="1"/>
      <c r="BA80" s="1"/>
      <c r="BB80" s="1"/>
      <c r="BC80" s="1"/>
      <c r="BD80" s="1"/>
      <c r="BE80" s="1"/>
      <c r="BF80" s="1"/>
      <c r="BG80" s="1"/>
      <c r="BH80" s="1"/>
      <c r="BI80" s="1"/>
      <c r="BJ80" s="1"/>
      <c r="BK80" s="1"/>
      <c r="BL80" s="1"/>
      <c r="BM80" s="1"/>
      <c r="BN80" s="1"/>
    </row>
    <row r="81" spans="1:66" s="2" customFormat="1" ht="18.5" x14ac:dyDescent="0.55000000000000004">
      <c r="A81" s="1"/>
      <c r="B81" s="41"/>
      <c r="C81" s="312" t="s">
        <v>1456</v>
      </c>
      <c r="D81" s="218">
        <f>COUNTIFS('Valutazione controlli'!$C:$C,Dashboard!$C81,'Valutazione controlli'!$BJ:$BJ,Dashboard!D$66)</f>
        <v>0</v>
      </c>
      <c r="E81" s="218">
        <f>COUNTIFS('Valutazione controlli'!$C:$C,Dashboard!$C81,'Valutazione controlli'!$BJ:$BJ,Dashboard!E$66)</f>
        <v>0</v>
      </c>
      <c r="F81" s="218">
        <f>COUNTIFS('Valutazione controlli'!$C:$C,Dashboard!$C81,'Valutazione controlli'!$BJ:$BJ,Dashboard!F$66)</f>
        <v>0</v>
      </c>
      <c r="G81" s="218">
        <f>COUNTIFS('Valutazione controlli'!$C:$C,Dashboard!$C81,'Valutazione controlli'!BG:BG,"Applicabile",'Valutazione controlli'!BJ:BJ,"")</f>
        <v>0</v>
      </c>
      <c r="H81" s="1"/>
      <c r="I81" s="1"/>
      <c r="J81" s="1"/>
      <c r="S81" s="51"/>
      <c r="T81" s="52"/>
      <c r="U81" s="53"/>
      <c r="V81" s="53"/>
      <c r="W81" s="51"/>
      <c r="X81" s="51"/>
      <c r="Y81" s="51"/>
      <c r="AD81" s="38"/>
      <c r="AE81" s="38"/>
      <c r="AF81" s="38"/>
      <c r="AG81" s="38"/>
      <c r="AH81" s="38"/>
      <c r="AI81" s="38"/>
      <c r="AJ81" s="38"/>
      <c r="AK81" s="38"/>
      <c r="AL81" s="38"/>
      <c r="AM81" s="38"/>
      <c r="AN81" s="38"/>
      <c r="AO81" s="38"/>
      <c r="AP81" s="38"/>
      <c r="AQ81" s="38"/>
      <c r="AR81" s="38"/>
      <c r="AS81" s="1"/>
      <c r="AT81" s="1"/>
      <c r="AU81" s="1"/>
      <c r="AV81" s="1"/>
      <c r="AW81" s="1"/>
      <c r="AX81" s="1"/>
      <c r="AY81" s="1"/>
      <c r="AZ81" s="1"/>
      <c r="BA81" s="1"/>
      <c r="BB81" s="1"/>
      <c r="BC81" s="1"/>
      <c r="BD81" s="1"/>
      <c r="BE81" s="1"/>
      <c r="BF81" s="1"/>
      <c r="BG81" s="1"/>
      <c r="BH81" s="1"/>
      <c r="BI81" s="1"/>
      <c r="BJ81" s="1"/>
      <c r="BK81" s="1"/>
      <c r="BL81" s="1"/>
      <c r="BM81" s="1"/>
      <c r="BN81" s="1"/>
    </row>
    <row r="82" spans="1:66" s="2" customFormat="1" ht="17.5" thickBot="1" x14ac:dyDescent="0.55000000000000004">
      <c r="A82" s="1"/>
      <c r="B82" s="45"/>
      <c r="C82" s="46"/>
      <c r="D82" s="46"/>
      <c r="E82" s="46"/>
      <c r="F82" s="46"/>
      <c r="G82" s="46"/>
      <c r="H82" s="46"/>
      <c r="I82" s="46"/>
      <c r="J82" s="46"/>
      <c r="K82" s="47"/>
      <c r="L82" s="47"/>
      <c r="M82" s="47"/>
      <c r="N82" s="47"/>
      <c r="O82" s="47"/>
      <c r="P82" s="47"/>
      <c r="Q82" s="47"/>
      <c r="R82" s="47"/>
      <c r="S82" s="47"/>
      <c r="T82" s="48"/>
      <c r="U82" s="38"/>
      <c r="V82" s="38"/>
      <c r="X82" s="382"/>
      <c r="AD82" s="38"/>
      <c r="AE82" s="38"/>
      <c r="AF82" s="38"/>
      <c r="AG82" s="38"/>
      <c r="AH82" s="38"/>
      <c r="AI82" s="38"/>
      <c r="AJ82" s="38"/>
      <c r="AK82" s="38"/>
      <c r="AL82" s="38"/>
      <c r="AM82" s="38"/>
      <c r="AN82" s="38"/>
      <c r="AO82" s="38"/>
      <c r="AP82" s="38"/>
      <c r="AQ82" s="38"/>
      <c r="AR82" s="38"/>
      <c r="AS82" s="1"/>
      <c r="AT82" s="1"/>
      <c r="AU82" s="1"/>
      <c r="AV82" s="1"/>
      <c r="AW82" s="1"/>
      <c r="AX82" s="1"/>
      <c r="AY82" s="1"/>
      <c r="AZ82" s="1"/>
      <c r="BA82" s="1"/>
      <c r="BB82" s="1"/>
      <c r="BC82" s="1"/>
      <c r="BD82" s="1"/>
      <c r="BE82" s="1"/>
      <c r="BF82" s="1"/>
      <c r="BG82" s="1"/>
      <c r="BH82" s="1"/>
      <c r="BI82" s="1"/>
      <c r="BJ82" s="1"/>
      <c r="BK82" s="1"/>
      <c r="BL82" s="1"/>
      <c r="BM82" s="1"/>
      <c r="BN82" s="1"/>
    </row>
    <row r="83" spans="1:66" s="2" customFormat="1" x14ac:dyDescent="0.5">
      <c r="A83" s="1"/>
      <c r="B83" s="1"/>
      <c r="C83" s="1"/>
      <c r="D83" s="1"/>
      <c r="E83" s="1"/>
      <c r="F83" s="1"/>
      <c r="G83" s="1"/>
      <c r="H83" s="1"/>
      <c r="I83" s="1"/>
      <c r="J83" s="1"/>
      <c r="U83" s="38"/>
      <c r="V83" s="38"/>
      <c r="X83" s="382"/>
      <c r="AD83" s="38"/>
      <c r="AE83" s="38"/>
      <c r="AF83" s="38"/>
      <c r="AG83" s="38"/>
      <c r="AH83" s="38"/>
      <c r="AI83" s="38"/>
      <c r="AJ83" s="38"/>
      <c r="AK83" s="38"/>
      <c r="AL83" s="38"/>
      <c r="AM83" s="38"/>
      <c r="AN83" s="38"/>
      <c r="AO83" s="38"/>
      <c r="AP83" s="38"/>
      <c r="AQ83" s="38"/>
      <c r="AR83" s="38"/>
      <c r="AS83" s="1"/>
      <c r="AT83" s="1"/>
      <c r="AU83" s="1"/>
      <c r="AV83" s="1"/>
      <c r="AW83" s="1"/>
      <c r="AX83" s="1"/>
      <c r="AY83" s="1"/>
      <c r="AZ83" s="1"/>
      <c r="BA83" s="1"/>
      <c r="BB83" s="1"/>
      <c r="BC83" s="1"/>
      <c r="BD83" s="1"/>
      <c r="BE83" s="1"/>
      <c r="BF83" s="1"/>
      <c r="BG83" s="1"/>
      <c r="BH83" s="1"/>
      <c r="BI83" s="1"/>
      <c r="BJ83" s="1"/>
      <c r="BK83" s="1"/>
      <c r="BL83" s="1"/>
      <c r="BM83" s="1"/>
      <c r="BN83" s="1"/>
    </row>
  </sheetData>
  <sheetProtection algorithmName="SHA-512" hashValue="bciQqBoMEB9pA7HcLClSZk4RmmYwLOuqae91wvA5UaQGAu0htcBjOcX62JRF0uDYldNzLWMzZYwBxUMuJjOjlw==" saltValue="7x8utQ/1wGTln53T1p9Unw==" spinCount="100000" sheet="1" objects="1" scenarios="1"/>
  <mergeCells count="3">
    <mergeCell ref="B5:T5"/>
    <mergeCell ref="B38:T38"/>
    <mergeCell ref="B3:T3"/>
  </mergeCells>
  <conditionalFormatting sqref="D8:E29">
    <cfRule type="cellIs" dxfId="13" priority="1" operator="equal">
      <formula>"Basso"</formula>
    </cfRule>
    <cfRule type="cellIs" dxfId="12" priority="2" operator="equal">
      <formula>"Medio"</formula>
    </cfRule>
    <cfRule type="cellIs" dxfId="11" priority="4" operator="equal">
      <formula>"Alto"</formula>
    </cfRule>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5F18A-5D0E-44B9-90C2-DF5DB4EAA764}">
  <sheetPr codeName="Foglio7">
    <tabColor theme="1" tint="0.499984740745262"/>
  </sheetPr>
  <dimension ref="A1:F15"/>
  <sheetViews>
    <sheetView workbookViewId="0">
      <selection sqref="A1:F15"/>
    </sheetView>
  </sheetViews>
  <sheetFormatPr defaultColWidth="0" defaultRowHeight="14.75" customHeight="1" zeroHeight="1" x14ac:dyDescent="0.35"/>
  <cols>
    <col min="1" max="6" width="8.6328125" customWidth="1"/>
    <col min="7" max="16384" width="8.6328125" hidden="1"/>
  </cols>
  <sheetData>
    <row r="1" spans="1:6" ht="14.5" x14ac:dyDescent="0.35">
      <c r="A1" s="476" t="s">
        <v>606</v>
      </c>
      <c r="B1" s="476"/>
      <c r="C1" s="476"/>
      <c r="D1" s="476"/>
      <c r="E1" s="476"/>
      <c r="F1" s="476"/>
    </row>
    <row r="2" spans="1:6" ht="14.5" x14ac:dyDescent="0.35">
      <c r="A2" s="476"/>
      <c r="B2" s="476"/>
      <c r="C2" s="476"/>
      <c r="D2" s="476"/>
      <c r="E2" s="476"/>
      <c r="F2" s="476"/>
    </row>
    <row r="3" spans="1:6" ht="14.5" x14ac:dyDescent="0.35">
      <c r="A3" s="476"/>
      <c r="B3" s="476"/>
      <c r="C3" s="476"/>
      <c r="D3" s="476"/>
      <c r="E3" s="476"/>
      <c r="F3" s="476"/>
    </row>
    <row r="4" spans="1:6" ht="14.5" x14ac:dyDescent="0.35">
      <c r="A4" s="476"/>
      <c r="B4" s="476"/>
      <c r="C4" s="476"/>
      <c r="D4" s="476"/>
      <c r="E4" s="476"/>
      <c r="F4" s="476"/>
    </row>
    <row r="5" spans="1:6" ht="14.5" x14ac:dyDescent="0.35">
      <c r="A5" s="476"/>
      <c r="B5" s="476"/>
      <c r="C5" s="476"/>
      <c r="D5" s="476"/>
      <c r="E5" s="476"/>
      <c r="F5" s="476"/>
    </row>
    <row r="6" spans="1:6" ht="14.5" x14ac:dyDescent="0.35">
      <c r="A6" s="476"/>
      <c r="B6" s="476"/>
      <c r="C6" s="476"/>
      <c r="D6" s="476"/>
      <c r="E6" s="476"/>
      <c r="F6" s="476"/>
    </row>
    <row r="7" spans="1:6" ht="14.5" x14ac:dyDescent="0.35">
      <c r="A7" s="476"/>
      <c r="B7" s="476"/>
      <c r="C7" s="476"/>
      <c r="D7" s="476"/>
      <c r="E7" s="476"/>
      <c r="F7" s="476"/>
    </row>
    <row r="8" spans="1:6" ht="14.5" x14ac:dyDescent="0.35">
      <c r="A8" s="476"/>
      <c r="B8" s="476"/>
      <c r="C8" s="476"/>
      <c r="D8" s="476"/>
      <c r="E8" s="476"/>
      <c r="F8" s="476"/>
    </row>
    <row r="9" spans="1:6" ht="14.5" x14ac:dyDescent="0.35">
      <c r="A9" s="476"/>
      <c r="B9" s="476"/>
      <c r="C9" s="476"/>
      <c r="D9" s="476"/>
      <c r="E9" s="476"/>
      <c r="F9" s="476"/>
    </row>
    <row r="10" spans="1:6" ht="14.5" x14ac:dyDescent="0.35">
      <c r="A10" s="476"/>
      <c r="B10" s="476"/>
      <c r="C10" s="476"/>
      <c r="D10" s="476"/>
      <c r="E10" s="476"/>
      <c r="F10" s="476"/>
    </row>
    <row r="11" spans="1:6" ht="14.5" x14ac:dyDescent="0.35">
      <c r="A11" s="476"/>
      <c r="B11" s="476"/>
      <c r="C11" s="476"/>
      <c r="D11" s="476"/>
      <c r="E11" s="476"/>
      <c r="F11" s="476"/>
    </row>
    <row r="12" spans="1:6" ht="14.5" x14ac:dyDescent="0.35">
      <c r="A12" s="476"/>
      <c r="B12" s="476"/>
      <c r="C12" s="476"/>
      <c r="D12" s="476"/>
      <c r="E12" s="476"/>
      <c r="F12" s="476"/>
    </row>
    <row r="13" spans="1:6" ht="14.5" x14ac:dyDescent="0.35">
      <c r="A13" s="476"/>
      <c r="B13" s="476"/>
      <c r="C13" s="476"/>
      <c r="D13" s="476"/>
      <c r="E13" s="476"/>
      <c r="F13" s="476"/>
    </row>
    <row r="14" spans="1:6" ht="14.5" x14ac:dyDescent="0.35">
      <c r="A14" s="476"/>
      <c r="B14" s="476"/>
      <c r="C14" s="476"/>
      <c r="D14" s="476"/>
      <c r="E14" s="476"/>
      <c r="F14" s="476"/>
    </row>
    <row r="15" spans="1:6" ht="14.5" x14ac:dyDescent="0.35">
      <c r="A15" s="476"/>
      <c r="B15" s="476"/>
      <c r="C15" s="476"/>
      <c r="D15" s="476"/>
      <c r="E15" s="476"/>
      <c r="F15" s="476"/>
    </row>
  </sheetData>
  <mergeCells count="1">
    <mergeCell ref="A1:F15"/>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A73B0-2B61-434B-95CF-850412905A46}">
  <sheetPr codeName="Foglio27">
    <tabColor theme="0" tint="-0.14999847407452621"/>
  </sheetPr>
  <dimension ref="A1:BG41"/>
  <sheetViews>
    <sheetView showGridLines="0" topLeftCell="A4" zoomScale="90" zoomScaleNormal="90" workbookViewId="0">
      <selection activeCell="E8" sqref="E8:H8"/>
    </sheetView>
  </sheetViews>
  <sheetFormatPr defaultColWidth="0" defaultRowHeight="14.5" x14ac:dyDescent="0.45"/>
  <cols>
    <col min="1" max="1" width="3.453125" style="10" customWidth="1"/>
    <col min="2" max="2" width="21.54296875" style="10" customWidth="1"/>
    <col min="3" max="3" width="55.6328125" style="10" customWidth="1"/>
    <col min="4" max="4" width="8.6328125" style="10" customWidth="1"/>
    <col min="5" max="5" width="15.54296875" style="10" customWidth="1"/>
    <col min="6" max="6" width="8.54296875" style="10" customWidth="1"/>
    <col min="7" max="7" width="30.453125" style="10" customWidth="1"/>
    <col min="8" max="8" width="49.453125" style="10" customWidth="1"/>
    <col min="9" max="9" width="36" style="10" customWidth="1"/>
    <col min="10" max="10" width="42.54296875" style="10" customWidth="1"/>
    <col min="11" max="11" width="8.6328125" style="10" customWidth="1"/>
    <col min="12" max="13" width="18.453125" style="17" customWidth="1"/>
    <col min="14" max="14" width="11.54296875" style="248" customWidth="1"/>
    <col min="15" max="15" width="18.453125" style="17" customWidth="1"/>
    <col min="16" max="16" width="28.36328125" style="17" customWidth="1"/>
    <col min="17" max="17" width="8.6328125" style="10" customWidth="1"/>
    <col min="18" max="18" width="13.36328125" style="10" customWidth="1"/>
    <col min="19" max="19" width="11.36328125" style="10" bestFit="1" customWidth="1"/>
    <col min="20" max="20" width="20.54296875" style="10" bestFit="1" customWidth="1"/>
    <col min="21" max="21" width="8.6328125" style="10" customWidth="1"/>
    <col min="22" max="22" width="31.54296875" style="10" customWidth="1"/>
    <col min="23" max="23" width="51.6328125" style="10" customWidth="1"/>
    <col min="24" max="24" width="8.6328125" style="10" customWidth="1"/>
    <col min="25" max="25" width="29.453125" style="10" customWidth="1"/>
    <col min="26" max="26" width="22.36328125" style="10" customWidth="1"/>
    <col min="27" max="27" width="31.453125" style="17" customWidth="1"/>
    <col min="28" max="28" width="8.6328125" style="10" customWidth="1"/>
    <col min="29" max="29" width="42.6328125" style="17" customWidth="1"/>
    <col min="30" max="30" width="13.36328125" style="10" customWidth="1"/>
    <col min="31" max="59" width="0" style="10" hidden="1" customWidth="1"/>
    <col min="60" max="16384" width="8.6328125" style="10" hidden="1"/>
  </cols>
  <sheetData>
    <row r="1" spans="2:40" ht="29.75" customHeight="1" x14ac:dyDescent="0.45"/>
    <row r="2" spans="2:40" x14ac:dyDescent="0.45">
      <c r="B2" s="479" t="s">
        <v>1623</v>
      </c>
      <c r="C2" s="479"/>
      <c r="D2" s="479"/>
      <c r="E2" s="479"/>
      <c r="F2" s="479"/>
      <c r="G2" s="479"/>
      <c r="H2" s="479"/>
      <c r="I2" s="479"/>
      <c r="J2" s="479"/>
      <c r="K2" s="479"/>
      <c r="L2" s="479"/>
      <c r="M2" s="479"/>
      <c r="N2" s="479"/>
      <c r="O2" s="479"/>
      <c r="P2" s="479"/>
      <c r="Q2" s="479"/>
      <c r="R2" s="479"/>
      <c r="S2" s="479"/>
      <c r="T2" s="479"/>
      <c r="U2" s="479"/>
      <c r="V2" s="479"/>
      <c r="W2" s="479"/>
      <c r="X2" s="479"/>
      <c r="Y2" s="479"/>
      <c r="Z2" s="479"/>
      <c r="AA2" s="479"/>
      <c r="AB2" s="479"/>
      <c r="AC2" s="479"/>
    </row>
    <row r="4" spans="2:40" x14ac:dyDescent="0.45">
      <c r="B4" s="477" t="s">
        <v>1624</v>
      </c>
      <c r="C4" s="477"/>
      <c r="E4" s="478" t="s">
        <v>1625</v>
      </c>
      <c r="F4" s="478"/>
      <c r="G4" s="478"/>
      <c r="H4" s="478"/>
      <c r="I4" s="478"/>
      <c r="J4" s="478"/>
      <c r="L4" s="484" t="s">
        <v>1626</v>
      </c>
      <c r="M4" s="484"/>
      <c r="N4" s="484"/>
      <c r="O4" s="484"/>
      <c r="P4" s="484"/>
      <c r="R4" s="483" t="s">
        <v>202</v>
      </c>
      <c r="S4" s="483"/>
      <c r="T4" s="483"/>
      <c r="V4" s="482" t="s">
        <v>1627</v>
      </c>
      <c r="W4" s="482"/>
      <c r="Y4" s="478" t="s">
        <v>1628</v>
      </c>
      <c r="Z4" s="478"/>
      <c r="AA4" s="478"/>
      <c r="AC4" s="262" t="s">
        <v>1629</v>
      </c>
    </row>
    <row r="5" spans="2:40" ht="35" customHeight="1" x14ac:dyDescent="0.45">
      <c r="B5" s="263" t="s">
        <v>446</v>
      </c>
      <c r="C5" s="263" t="s">
        <v>1630</v>
      </c>
      <c r="E5" s="263" t="s">
        <v>1631</v>
      </c>
      <c r="F5" s="263" t="s">
        <v>1632</v>
      </c>
      <c r="G5" s="263" t="s">
        <v>1633</v>
      </c>
      <c r="H5" s="263" t="s">
        <v>482</v>
      </c>
      <c r="I5" s="263" t="s">
        <v>1634</v>
      </c>
      <c r="J5" s="263" t="s">
        <v>483</v>
      </c>
      <c r="L5" s="239" t="s">
        <v>1635</v>
      </c>
      <c r="M5" s="239" t="s">
        <v>1636</v>
      </c>
      <c r="N5" s="239" t="s">
        <v>1637</v>
      </c>
      <c r="O5" s="239" t="s">
        <v>1638</v>
      </c>
      <c r="P5" s="239" t="s">
        <v>1636</v>
      </c>
      <c r="R5" s="238" t="s">
        <v>1639</v>
      </c>
      <c r="S5" s="238" t="s">
        <v>1640</v>
      </c>
      <c r="T5" s="238" t="s">
        <v>1641</v>
      </c>
      <c r="U5" s="13"/>
      <c r="V5" s="264" t="s">
        <v>1642</v>
      </c>
      <c r="W5" s="264" t="s">
        <v>511</v>
      </c>
      <c r="Y5" s="265" t="s">
        <v>331</v>
      </c>
      <c r="Z5" s="266" t="s">
        <v>1643</v>
      </c>
      <c r="AA5" s="267" t="s">
        <v>511</v>
      </c>
      <c r="AC5" s="263" t="s">
        <v>1643</v>
      </c>
      <c r="AH5" s="141"/>
      <c r="AI5" s="141"/>
      <c r="AJ5" s="141"/>
      <c r="AK5" s="141"/>
      <c r="AL5" s="141"/>
      <c r="AM5" s="141"/>
      <c r="AN5" s="141"/>
    </row>
    <row r="6" spans="2:40" ht="174" x14ac:dyDescent="0.45">
      <c r="B6" s="268" t="s">
        <v>485</v>
      </c>
      <c r="C6" s="269" t="s">
        <v>1644</v>
      </c>
      <c r="E6" s="270" t="s">
        <v>1645</v>
      </c>
      <c r="F6" s="271">
        <v>5</v>
      </c>
      <c r="G6" s="272" t="s">
        <v>1646</v>
      </c>
      <c r="H6" s="272" t="s">
        <v>1647</v>
      </c>
      <c r="I6" s="272" t="s">
        <v>1648</v>
      </c>
      <c r="J6" s="272" t="s">
        <v>1649</v>
      </c>
      <c r="L6" s="480" t="s">
        <v>188</v>
      </c>
      <c r="M6" s="481" t="s">
        <v>1650</v>
      </c>
      <c r="N6" s="240">
        <v>1</v>
      </c>
      <c r="O6" s="237" t="s">
        <v>1651</v>
      </c>
      <c r="P6" s="237" t="s">
        <v>1652</v>
      </c>
      <c r="R6" s="241">
        <v>5</v>
      </c>
      <c r="S6" s="242">
        <v>10</v>
      </c>
      <c r="T6" s="243" t="s">
        <v>1653</v>
      </c>
      <c r="V6" s="273" t="s">
        <v>1651</v>
      </c>
      <c r="W6" s="274"/>
      <c r="Y6" s="146" t="s">
        <v>577</v>
      </c>
      <c r="Z6" s="147" t="s">
        <v>1654</v>
      </c>
      <c r="AA6" s="120" t="s">
        <v>1655</v>
      </c>
      <c r="AC6" s="149" t="s">
        <v>1656</v>
      </c>
    </row>
    <row r="7" spans="2:40" ht="130.5" x14ac:dyDescent="0.45">
      <c r="B7" s="268" t="s">
        <v>487</v>
      </c>
      <c r="C7" s="269" t="s">
        <v>1657</v>
      </c>
      <c r="E7" s="275" t="s">
        <v>1658</v>
      </c>
      <c r="F7" s="271">
        <v>4</v>
      </c>
      <c r="G7" s="272" t="s">
        <v>1659</v>
      </c>
      <c r="H7" s="272" t="s">
        <v>1660</v>
      </c>
      <c r="I7" s="272" t="s">
        <v>1661</v>
      </c>
      <c r="J7" s="272" t="s">
        <v>1662</v>
      </c>
      <c r="L7" s="480"/>
      <c r="M7" s="481"/>
      <c r="N7" s="240">
        <v>2</v>
      </c>
      <c r="O7" s="237" t="s">
        <v>1663</v>
      </c>
      <c r="P7" s="237" t="s">
        <v>1664</v>
      </c>
      <c r="R7" s="241">
        <v>11</v>
      </c>
      <c r="S7" s="242">
        <v>15</v>
      </c>
      <c r="T7" s="244" t="s">
        <v>1665</v>
      </c>
      <c r="V7" s="273" t="s">
        <v>541</v>
      </c>
      <c r="W7" s="276" t="s">
        <v>1666</v>
      </c>
      <c r="Y7" s="146" t="s">
        <v>577</v>
      </c>
      <c r="Z7" s="147" t="s">
        <v>1667</v>
      </c>
      <c r="AA7" s="120" t="s">
        <v>1668</v>
      </c>
      <c r="AC7" s="149" t="s">
        <v>1669</v>
      </c>
    </row>
    <row r="8" spans="2:40" ht="116" x14ac:dyDescent="0.45">
      <c r="B8" s="268" t="s">
        <v>489</v>
      </c>
      <c r="C8" s="269" t="s">
        <v>1670</v>
      </c>
      <c r="E8" s="277" t="s">
        <v>1671</v>
      </c>
      <c r="F8" s="271">
        <v>3</v>
      </c>
      <c r="G8" s="272" t="s">
        <v>1672</v>
      </c>
      <c r="H8" s="272" t="s">
        <v>1673</v>
      </c>
      <c r="I8" s="272" t="s">
        <v>1674</v>
      </c>
      <c r="J8" s="272" t="s">
        <v>1675</v>
      </c>
      <c r="L8" s="480"/>
      <c r="M8" s="481"/>
      <c r="N8" s="240">
        <v>3</v>
      </c>
      <c r="O8" s="237" t="s">
        <v>1676</v>
      </c>
      <c r="P8" s="237" t="s">
        <v>1677</v>
      </c>
      <c r="R8" s="241">
        <v>16</v>
      </c>
      <c r="S8" s="242">
        <v>20</v>
      </c>
      <c r="T8" s="245" t="s">
        <v>1658</v>
      </c>
      <c r="V8" s="278" t="s">
        <v>1678</v>
      </c>
      <c r="W8" s="279" t="s">
        <v>1679</v>
      </c>
      <c r="Y8" s="146" t="s">
        <v>577</v>
      </c>
      <c r="Z8" s="147" t="s">
        <v>1680</v>
      </c>
      <c r="AA8" s="120" t="s">
        <v>1681</v>
      </c>
      <c r="AC8" s="149" t="s">
        <v>1682</v>
      </c>
    </row>
    <row r="9" spans="2:40" ht="101.5" x14ac:dyDescent="0.45">
      <c r="B9" s="268" t="s">
        <v>491</v>
      </c>
      <c r="C9" s="269" t="s">
        <v>1683</v>
      </c>
      <c r="E9" s="280" t="s">
        <v>1684</v>
      </c>
      <c r="F9" s="271">
        <v>2</v>
      </c>
      <c r="G9" s="272" t="s">
        <v>1685</v>
      </c>
      <c r="H9" s="272" t="s">
        <v>1686</v>
      </c>
      <c r="I9" s="272" t="s">
        <v>1687</v>
      </c>
      <c r="J9" s="272" t="s">
        <v>1688</v>
      </c>
      <c r="L9" s="480"/>
      <c r="M9" s="481"/>
      <c r="N9" s="240">
        <v>4</v>
      </c>
      <c r="O9" s="237" t="s">
        <v>1689</v>
      </c>
      <c r="P9" s="237" t="s">
        <v>1690</v>
      </c>
      <c r="V9" s="278" t="s">
        <v>1691</v>
      </c>
      <c r="W9" s="279" t="s">
        <v>1692</v>
      </c>
      <c r="Y9" s="146" t="s">
        <v>577</v>
      </c>
      <c r="Z9" s="147" t="s">
        <v>1693</v>
      </c>
      <c r="AA9" s="120" t="s">
        <v>1694</v>
      </c>
      <c r="AC9" s="149" t="s">
        <v>1695</v>
      </c>
    </row>
    <row r="10" spans="2:40" ht="101.5" x14ac:dyDescent="0.45">
      <c r="B10" s="268" t="s">
        <v>493</v>
      </c>
      <c r="C10" s="269" t="s">
        <v>1696</v>
      </c>
      <c r="E10" s="281" t="s">
        <v>1697</v>
      </c>
      <c r="F10" s="271">
        <v>1</v>
      </c>
      <c r="G10" s="272" t="s">
        <v>1698</v>
      </c>
      <c r="H10" s="272" t="s">
        <v>1699</v>
      </c>
      <c r="I10" s="272" t="s">
        <v>1700</v>
      </c>
      <c r="J10" s="272" t="s">
        <v>1701</v>
      </c>
      <c r="L10" s="480" t="s">
        <v>192</v>
      </c>
      <c r="M10" s="481" t="s">
        <v>1702</v>
      </c>
      <c r="N10" s="240">
        <v>1</v>
      </c>
      <c r="O10" s="237" t="s">
        <v>1651</v>
      </c>
      <c r="P10" s="237"/>
      <c r="Y10" s="146" t="s">
        <v>577</v>
      </c>
      <c r="Z10" s="147" t="s">
        <v>1703</v>
      </c>
      <c r="AA10" s="120" t="s">
        <v>1681</v>
      </c>
      <c r="AC10" s="149" t="s">
        <v>1704</v>
      </c>
    </row>
    <row r="11" spans="2:40" ht="87" x14ac:dyDescent="0.45">
      <c r="B11" s="268" t="s">
        <v>495</v>
      </c>
      <c r="C11" s="269" t="s">
        <v>1705</v>
      </c>
      <c r="L11" s="480"/>
      <c r="M11" s="481"/>
      <c r="N11" s="240">
        <v>2</v>
      </c>
      <c r="O11" s="237" t="s">
        <v>1706</v>
      </c>
      <c r="P11" s="237"/>
      <c r="Y11" s="146" t="s">
        <v>577</v>
      </c>
      <c r="Z11" s="147" t="s">
        <v>1707</v>
      </c>
      <c r="AA11" s="120" t="s">
        <v>1681</v>
      </c>
    </row>
    <row r="12" spans="2:40" ht="101.5" x14ac:dyDescent="0.45">
      <c r="B12" s="268" t="s">
        <v>496</v>
      </c>
      <c r="C12" s="269" t="s">
        <v>1708</v>
      </c>
      <c r="L12" s="480"/>
      <c r="M12" s="481"/>
      <c r="N12" s="240">
        <v>3</v>
      </c>
      <c r="O12" s="237" t="s">
        <v>1709</v>
      </c>
      <c r="P12" s="237"/>
      <c r="Y12" s="146" t="s">
        <v>577</v>
      </c>
      <c r="Z12" s="147" t="s">
        <v>1710</v>
      </c>
      <c r="AA12" s="120" t="s">
        <v>1681</v>
      </c>
    </row>
    <row r="13" spans="2:40" ht="68" x14ac:dyDescent="0.45">
      <c r="B13" s="268" t="s">
        <v>497</v>
      </c>
      <c r="C13" s="269" t="s">
        <v>1711</v>
      </c>
      <c r="L13" s="480"/>
      <c r="M13" s="481"/>
      <c r="N13" s="240">
        <v>4</v>
      </c>
      <c r="O13" s="237" t="s">
        <v>1712</v>
      </c>
      <c r="P13" s="237"/>
      <c r="Y13" s="145" t="s">
        <v>579</v>
      </c>
      <c r="Z13" s="147" t="s">
        <v>1713</v>
      </c>
      <c r="AA13" s="120" t="s">
        <v>1714</v>
      </c>
    </row>
    <row r="14" spans="2:40" ht="72.5" x14ac:dyDescent="0.45">
      <c r="B14" s="268" t="s">
        <v>498</v>
      </c>
      <c r="C14" s="269" t="s">
        <v>1715</v>
      </c>
      <c r="L14" s="480" t="s">
        <v>194</v>
      </c>
      <c r="M14" s="481" t="s">
        <v>1716</v>
      </c>
      <c r="N14" s="240">
        <v>1</v>
      </c>
      <c r="O14" s="237" t="s">
        <v>1651</v>
      </c>
      <c r="P14" s="237"/>
      <c r="Y14" s="145" t="s">
        <v>579</v>
      </c>
      <c r="Z14" s="147" t="s">
        <v>1717</v>
      </c>
      <c r="AA14" s="120" t="s">
        <v>1718</v>
      </c>
    </row>
    <row r="15" spans="2:40" ht="102" x14ac:dyDescent="0.45">
      <c r="B15" s="268" t="s">
        <v>500</v>
      </c>
      <c r="C15" s="269" t="s">
        <v>1719</v>
      </c>
      <c r="L15" s="480"/>
      <c r="M15" s="481"/>
      <c r="N15" s="240">
        <v>2</v>
      </c>
      <c r="O15" s="237" t="s">
        <v>1720</v>
      </c>
      <c r="P15" s="237" t="s">
        <v>1692</v>
      </c>
      <c r="Y15" s="145" t="s">
        <v>579</v>
      </c>
      <c r="Z15" s="147" t="s">
        <v>1721</v>
      </c>
      <c r="AA15" s="120" t="s">
        <v>1681</v>
      </c>
    </row>
    <row r="16" spans="2:40" ht="102" x14ac:dyDescent="0.45">
      <c r="B16" s="268" t="s">
        <v>501</v>
      </c>
      <c r="C16" s="269" t="s">
        <v>1722</v>
      </c>
      <c r="L16" s="480"/>
      <c r="M16" s="481"/>
      <c r="N16" s="240">
        <v>3</v>
      </c>
      <c r="O16" s="237" t="s">
        <v>1678</v>
      </c>
      <c r="P16" s="237" t="s">
        <v>1679</v>
      </c>
      <c r="Y16" s="146" t="s">
        <v>581</v>
      </c>
      <c r="Z16" s="147" t="s">
        <v>1723</v>
      </c>
      <c r="AA16" s="120" t="s">
        <v>1724</v>
      </c>
    </row>
    <row r="17" spans="2:27" ht="102" x14ac:dyDescent="0.45">
      <c r="B17" s="268" t="s">
        <v>502</v>
      </c>
      <c r="C17" s="269" t="s">
        <v>1725</v>
      </c>
      <c r="L17" s="480"/>
      <c r="M17" s="481"/>
      <c r="N17" s="240">
        <v>4</v>
      </c>
      <c r="O17" s="237" t="s">
        <v>541</v>
      </c>
      <c r="P17" s="237" t="s">
        <v>1666</v>
      </c>
      <c r="Y17" s="146" t="s">
        <v>581</v>
      </c>
      <c r="Z17" s="147" t="s">
        <v>1726</v>
      </c>
      <c r="AA17" s="120" t="s">
        <v>1727</v>
      </c>
    </row>
    <row r="18" spans="2:27" ht="58" x14ac:dyDescent="0.45">
      <c r="B18" s="268" t="s">
        <v>504</v>
      </c>
      <c r="C18" s="269" t="s">
        <v>1728</v>
      </c>
      <c r="L18" s="480" t="s">
        <v>196</v>
      </c>
      <c r="M18" s="481" t="s">
        <v>1729</v>
      </c>
      <c r="N18" s="240">
        <v>1</v>
      </c>
      <c r="O18" s="237" t="s">
        <v>1730</v>
      </c>
      <c r="P18" s="237" t="s">
        <v>1731</v>
      </c>
      <c r="Y18" s="146" t="s">
        <v>581</v>
      </c>
      <c r="Z18" s="147" t="s">
        <v>1732</v>
      </c>
      <c r="AA18" s="120" t="s">
        <v>1681</v>
      </c>
    </row>
    <row r="19" spans="2:27" ht="68" x14ac:dyDescent="0.45">
      <c r="B19" s="268" t="s">
        <v>505</v>
      </c>
      <c r="C19" s="269" t="s">
        <v>1733</v>
      </c>
      <c r="L19" s="480"/>
      <c r="M19" s="481"/>
      <c r="N19" s="240">
        <v>2</v>
      </c>
      <c r="O19" s="237" t="s">
        <v>1734</v>
      </c>
      <c r="P19" s="237" t="s">
        <v>1735</v>
      </c>
      <c r="Y19" s="146" t="s">
        <v>581</v>
      </c>
      <c r="Z19" s="125" t="s">
        <v>1736</v>
      </c>
      <c r="AA19" s="120" t="s">
        <v>1737</v>
      </c>
    </row>
    <row r="20" spans="2:27" ht="87" x14ac:dyDescent="0.45">
      <c r="B20" s="268" t="s">
        <v>507</v>
      </c>
      <c r="C20" s="269" t="s">
        <v>1738</v>
      </c>
      <c r="L20" s="480"/>
      <c r="M20" s="481"/>
      <c r="N20" s="240">
        <v>3</v>
      </c>
      <c r="O20" s="237" t="s">
        <v>1739</v>
      </c>
      <c r="P20" s="237" t="s">
        <v>1740</v>
      </c>
      <c r="Y20" s="146" t="s">
        <v>581</v>
      </c>
      <c r="Z20" s="125" t="s">
        <v>1741</v>
      </c>
      <c r="AA20" s="120" t="s">
        <v>1681</v>
      </c>
    </row>
    <row r="21" spans="2:27" ht="51" x14ac:dyDescent="0.45">
      <c r="B21" s="268" t="s">
        <v>508</v>
      </c>
      <c r="C21" s="269" t="s">
        <v>1742</v>
      </c>
      <c r="L21" s="480"/>
      <c r="M21" s="481"/>
      <c r="N21" s="240">
        <v>4</v>
      </c>
      <c r="O21" s="237" t="s">
        <v>1743</v>
      </c>
      <c r="P21" s="237" t="s">
        <v>1744</v>
      </c>
      <c r="Y21" s="146" t="s">
        <v>581</v>
      </c>
      <c r="Z21" s="125" t="s">
        <v>1745</v>
      </c>
      <c r="AA21" s="120" t="s">
        <v>1681</v>
      </c>
    </row>
    <row r="22" spans="2:27" ht="72.5" x14ac:dyDescent="0.45">
      <c r="L22" s="480" t="s">
        <v>198</v>
      </c>
      <c r="M22" s="481" t="s">
        <v>1746</v>
      </c>
      <c r="N22" s="240">
        <v>1</v>
      </c>
      <c r="O22" s="237" t="s">
        <v>1747</v>
      </c>
      <c r="P22" s="237" t="s">
        <v>1748</v>
      </c>
      <c r="Y22" s="146" t="s">
        <v>583</v>
      </c>
      <c r="Z22" s="147" t="s">
        <v>1749</v>
      </c>
      <c r="AA22" s="120" t="s">
        <v>1750</v>
      </c>
    </row>
    <row r="23" spans="2:27" ht="85" x14ac:dyDescent="0.45">
      <c r="L23" s="480"/>
      <c r="M23" s="481"/>
      <c r="N23" s="240">
        <v>2</v>
      </c>
      <c r="O23" s="237" t="s">
        <v>1751</v>
      </c>
      <c r="P23" s="237" t="s">
        <v>1752</v>
      </c>
      <c r="Y23" s="146" t="s">
        <v>583</v>
      </c>
      <c r="Z23" s="147" t="s">
        <v>1753</v>
      </c>
      <c r="AA23" s="120" t="s">
        <v>1754</v>
      </c>
    </row>
    <row r="24" spans="2:27" ht="85" x14ac:dyDescent="0.45">
      <c r="L24" s="480"/>
      <c r="M24" s="481"/>
      <c r="N24" s="240">
        <v>3</v>
      </c>
      <c r="O24" s="237" t="s">
        <v>1755</v>
      </c>
      <c r="P24" s="237" t="s">
        <v>1756</v>
      </c>
      <c r="Y24" s="146" t="s">
        <v>583</v>
      </c>
      <c r="Z24" s="147" t="s">
        <v>1757</v>
      </c>
      <c r="AA24" s="120" t="s">
        <v>1758</v>
      </c>
    </row>
    <row r="25" spans="2:27" ht="85" x14ac:dyDescent="0.45">
      <c r="L25" s="480"/>
      <c r="M25" s="481"/>
      <c r="N25" s="240">
        <v>4</v>
      </c>
      <c r="O25" s="237" t="s">
        <v>1759</v>
      </c>
      <c r="P25" s="237" t="s">
        <v>1760</v>
      </c>
      <c r="Y25" s="146" t="s">
        <v>583</v>
      </c>
      <c r="Z25" s="147" t="s">
        <v>1761</v>
      </c>
      <c r="AA25" s="120" t="s">
        <v>1681</v>
      </c>
    </row>
    <row r="26" spans="2:27" ht="72.5" x14ac:dyDescent="0.45">
      <c r="Y26" s="146" t="s">
        <v>583</v>
      </c>
      <c r="Z26" s="147" t="s">
        <v>1762</v>
      </c>
      <c r="AA26" s="120" t="s">
        <v>1681</v>
      </c>
    </row>
    <row r="27" spans="2:27" ht="58" x14ac:dyDescent="0.45">
      <c r="Y27" s="146" t="s">
        <v>583</v>
      </c>
      <c r="Z27" s="147" t="s">
        <v>1763</v>
      </c>
      <c r="AA27" s="120" t="s">
        <v>1681</v>
      </c>
    </row>
    <row r="28" spans="2:27" ht="87" x14ac:dyDescent="0.45">
      <c r="Y28" s="146" t="s">
        <v>583</v>
      </c>
      <c r="Z28" s="147" t="s">
        <v>1764</v>
      </c>
      <c r="AA28" s="120" t="s">
        <v>1681</v>
      </c>
    </row>
    <row r="29" spans="2:27" ht="87" x14ac:dyDescent="0.45">
      <c r="Y29" s="146" t="s">
        <v>585</v>
      </c>
      <c r="Z29" s="147" t="s">
        <v>1723</v>
      </c>
      <c r="AA29" s="120" t="s">
        <v>1765</v>
      </c>
    </row>
    <row r="30" spans="2:27" ht="43.5" x14ac:dyDescent="0.45">
      <c r="Y30" s="146" t="s">
        <v>585</v>
      </c>
      <c r="Z30" s="147" t="s">
        <v>1766</v>
      </c>
      <c r="AA30" s="120" t="s">
        <v>1767</v>
      </c>
    </row>
    <row r="31" spans="2:27" ht="29" x14ac:dyDescent="0.45">
      <c r="Y31" s="146" t="s">
        <v>585</v>
      </c>
      <c r="Z31" s="384" t="s">
        <v>1768</v>
      </c>
      <c r="AA31" s="120" t="s">
        <v>1681</v>
      </c>
    </row>
    <row r="32" spans="2:27" ht="58" x14ac:dyDescent="0.45">
      <c r="Y32" s="145" t="s">
        <v>587</v>
      </c>
      <c r="Z32" s="148" t="s">
        <v>1713</v>
      </c>
      <c r="AA32" s="120" t="s">
        <v>1769</v>
      </c>
    </row>
    <row r="33" spans="25:27" ht="43.5" x14ac:dyDescent="0.45">
      <c r="Y33" s="145" t="s">
        <v>587</v>
      </c>
      <c r="Z33" s="83" t="s">
        <v>1770</v>
      </c>
      <c r="AA33" s="120" t="s">
        <v>1771</v>
      </c>
    </row>
    <row r="34" spans="25:27" ht="101.5" x14ac:dyDescent="0.45">
      <c r="Y34" s="150" t="s">
        <v>587</v>
      </c>
      <c r="Z34" s="151" t="s">
        <v>1772</v>
      </c>
      <c r="AA34" s="120" t="s">
        <v>1681</v>
      </c>
    </row>
    <row r="35" spans="25:27" ht="87" x14ac:dyDescent="0.45">
      <c r="Y35" s="246" t="s">
        <v>589</v>
      </c>
      <c r="Z35" s="129" t="s">
        <v>1773</v>
      </c>
      <c r="AA35" s="123" t="s">
        <v>1774</v>
      </c>
    </row>
    <row r="36" spans="25:27" ht="58" x14ac:dyDescent="0.45">
      <c r="Y36" s="246" t="s">
        <v>589</v>
      </c>
      <c r="Z36" s="125" t="s">
        <v>1723</v>
      </c>
      <c r="AA36" s="120" t="s">
        <v>1775</v>
      </c>
    </row>
    <row r="37" spans="25:27" ht="43.5" x14ac:dyDescent="0.45">
      <c r="Y37" s="246" t="s">
        <v>589</v>
      </c>
      <c r="Z37" s="147" t="s">
        <v>1766</v>
      </c>
      <c r="AA37" s="120" t="s">
        <v>1776</v>
      </c>
    </row>
    <row r="38" spans="25:27" ht="43.5" x14ac:dyDescent="0.45">
      <c r="Y38" s="146" t="s">
        <v>589</v>
      </c>
      <c r="Z38" s="399" t="s">
        <v>1777</v>
      </c>
      <c r="AA38" s="400" t="s">
        <v>1681</v>
      </c>
    </row>
    <row r="39" spans="25:27" ht="34" x14ac:dyDescent="0.45">
      <c r="Y39" s="146" t="s">
        <v>589</v>
      </c>
      <c r="Z39" s="399" t="s">
        <v>1778</v>
      </c>
      <c r="AA39" s="400" t="s">
        <v>1681</v>
      </c>
    </row>
    <row r="40" spans="25:27" ht="43.5" x14ac:dyDescent="0.45">
      <c r="Y40" s="146" t="s">
        <v>589</v>
      </c>
      <c r="Z40" s="399" t="s">
        <v>1779</v>
      </c>
      <c r="AA40" s="400" t="s">
        <v>1681</v>
      </c>
    </row>
    <row r="41" spans="25:27" ht="58" x14ac:dyDescent="0.45">
      <c r="Y41" s="246" t="s">
        <v>589</v>
      </c>
      <c r="Z41" s="384" t="s">
        <v>1780</v>
      </c>
      <c r="AA41" s="401" t="s">
        <v>1681</v>
      </c>
    </row>
  </sheetData>
  <mergeCells count="17">
    <mergeCell ref="L22:L25"/>
    <mergeCell ref="M22:M25"/>
    <mergeCell ref="R4:T4"/>
    <mergeCell ref="L4:P4"/>
    <mergeCell ref="L6:L9"/>
    <mergeCell ref="M6:M9"/>
    <mergeCell ref="L10:L13"/>
    <mergeCell ref="M10:M13"/>
    <mergeCell ref="L14:L17"/>
    <mergeCell ref="M14:M17"/>
    <mergeCell ref="B4:C4"/>
    <mergeCell ref="E4:J4"/>
    <mergeCell ref="B2:AC2"/>
    <mergeCell ref="L18:L21"/>
    <mergeCell ref="M18:M21"/>
    <mergeCell ref="Y4:AA4"/>
    <mergeCell ref="V4:W4"/>
  </mergeCells>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88365-867F-4264-90BE-DAC0B84668B5}">
  <sheetPr codeName="Foglio10">
    <tabColor theme="0" tint="-0.14999847407452621"/>
  </sheetPr>
  <dimension ref="A1:BE69"/>
  <sheetViews>
    <sheetView showGridLines="0" topLeftCell="B46" zoomScale="130" zoomScaleNormal="130" workbookViewId="0">
      <selection activeCell="G50" sqref="G50"/>
    </sheetView>
  </sheetViews>
  <sheetFormatPr defaultColWidth="0" defaultRowHeight="17" zeroHeight="1" x14ac:dyDescent="0.5"/>
  <cols>
    <col min="1" max="1" width="3.54296875" style="1" customWidth="1"/>
    <col min="2" max="2" width="22.6328125" style="3" customWidth="1"/>
    <col min="3" max="3" width="16.36328125" style="28" customWidth="1"/>
    <col min="4" max="6" width="31" style="1" customWidth="1"/>
    <col min="7" max="7" width="36.36328125" style="1" customWidth="1"/>
    <col min="8" max="9" width="31" style="1" customWidth="1"/>
    <col min="10" max="10" width="31" style="1" hidden="1" customWidth="1"/>
    <col min="11" max="12" width="11.54296875" style="1" hidden="1" customWidth="1"/>
    <col min="13" max="13" width="18.6328125" style="1" hidden="1" customWidth="1"/>
    <col min="14" max="17" width="19.54296875" style="1" hidden="1" customWidth="1"/>
    <col min="18" max="18" width="16.54296875" style="1" hidden="1" customWidth="1"/>
    <col min="19" max="23" width="8.6328125" style="1" hidden="1" customWidth="1"/>
    <col min="24" max="24" width="9.453125" style="1" hidden="1" customWidth="1"/>
    <col min="25" max="25" width="16.54296875" style="1" hidden="1" customWidth="1"/>
    <col min="26" max="26" width="11" style="1" hidden="1" customWidth="1"/>
    <col min="27" max="27" width="9.54296875" style="1" hidden="1" customWidth="1"/>
    <col min="28" max="28" width="14.36328125" style="1" hidden="1" customWidth="1"/>
    <col min="29" max="34" width="8.6328125" style="1" hidden="1" customWidth="1"/>
    <col min="35" max="57" width="0" style="1" hidden="1" customWidth="1"/>
    <col min="58" max="16384" width="8.6328125" style="1" hidden="1"/>
  </cols>
  <sheetData>
    <row r="1" spans="1:57" hidden="1" x14ac:dyDescent="0.5">
      <c r="C1" s="1"/>
      <c r="H1" s="2"/>
      <c r="I1" s="2"/>
      <c r="J1" s="2"/>
      <c r="K1" s="2"/>
      <c r="L1" s="2"/>
      <c r="M1" s="2"/>
      <c r="N1" s="2"/>
      <c r="O1" s="2"/>
      <c r="P1" s="2"/>
      <c r="Q1" s="2"/>
      <c r="R1" s="2"/>
    </row>
    <row r="2" spans="1:57" ht="27" customHeight="1" x14ac:dyDescent="0.5">
      <c r="C2" s="1"/>
      <c r="H2" s="2"/>
      <c r="I2" s="2"/>
      <c r="J2" s="37"/>
      <c r="K2" s="2"/>
      <c r="L2" s="2"/>
      <c r="M2" s="54"/>
      <c r="N2" s="54"/>
      <c r="O2" s="55"/>
      <c r="P2" s="55"/>
      <c r="Q2" s="55"/>
      <c r="R2" s="55"/>
      <c r="S2" s="29"/>
      <c r="T2" s="29"/>
      <c r="U2" s="29"/>
      <c r="V2" s="29"/>
      <c r="W2" s="29"/>
      <c r="X2" s="29"/>
      <c r="Y2" s="29"/>
      <c r="Z2" s="29"/>
      <c r="AA2" s="29"/>
      <c r="AB2" s="29"/>
      <c r="AC2" s="29"/>
      <c r="AD2" s="29"/>
      <c r="AE2" s="30"/>
      <c r="AF2" s="30"/>
      <c r="AG2" s="30"/>
      <c r="AH2" s="30"/>
      <c r="AI2" s="30"/>
      <c r="AJ2" s="30"/>
      <c r="AK2" s="30"/>
      <c r="AL2" s="30"/>
      <c r="AM2" s="30"/>
      <c r="AN2" s="30"/>
      <c r="AO2" s="30"/>
      <c r="AP2" s="30"/>
      <c r="AQ2" s="30"/>
      <c r="AR2" s="30"/>
      <c r="AS2" s="30"/>
      <c r="AT2" s="30"/>
      <c r="AU2" s="31"/>
      <c r="AV2" s="31"/>
      <c r="AW2" s="31"/>
      <c r="AX2" s="31"/>
      <c r="AY2" s="31"/>
      <c r="AZ2" s="31"/>
      <c r="BA2" s="31"/>
      <c r="BB2" s="31"/>
      <c r="BC2" s="31"/>
      <c r="BD2" s="31"/>
      <c r="BE2" s="31"/>
    </row>
    <row r="3" spans="1:57" s="32" customFormat="1" ht="25.5" x14ac:dyDescent="0.75">
      <c r="A3" s="214"/>
      <c r="B3" s="479" t="s">
        <v>1781</v>
      </c>
      <c r="C3" s="479"/>
      <c r="D3" s="479"/>
      <c r="E3" s="479"/>
      <c r="F3" s="479"/>
      <c r="G3" s="479"/>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row>
    <row r="4" spans="1:57" x14ac:dyDescent="0.5"/>
    <row r="5" spans="1:57" x14ac:dyDescent="0.5">
      <c r="B5" s="487" t="s">
        <v>1782</v>
      </c>
      <c r="C5" s="487"/>
      <c r="D5" s="487"/>
      <c r="E5" s="487"/>
    </row>
    <row r="6" spans="1:57" x14ac:dyDescent="0.5"/>
    <row r="7" spans="1:57" x14ac:dyDescent="0.5">
      <c r="B7" s="313" t="s">
        <v>1783</v>
      </c>
      <c r="C7" s="313" t="s">
        <v>1784</v>
      </c>
      <c r="D7" s="313" t="s">
        <v>1785</v>
      </c>
      <c r="E7" s="313" t="s">
        <v>1786</v>
      </c>
    </row>
    <row r="8" spans="1:57" ht="39" x14ac:dyDescent="0.5">
      <c r="B8" s="314" t="s">
        <v>1513</v>
      </c>
      <c r="C8" s="211">
        <v>5</v>
      </c>
      <c r="D8" s="212" t="s">
        <v>1704</v>
      </c>
      <c r="E8" s="212" t="s">
        <v>1787</v>
      </c>
    </row>
    <row r="9" spans="1:57" ht="26" x14ac:dyDescent="0.5">
      <c r="B9" s="315" t="s">
        <v>1517</v>
      </c>
      <c r="C9" s="211">
        <v>4</v>
      </c>
      <c r="D9" s="212" t="s">
        <v>1695</v>
      </c>
      <c r="E9" s="212" t="s">
        <v>1788</v>
      </c>
    </row>
    <row r="10" spans="1:57" ht="39" x14ac:dyDescent="0.5">
      <c r="B10" s="316" t="s">
        <v>1521</v>
      </c>
      <c r="C10" s="211">
        <v>3</v>
      </c>
      <c r="D10" s="212" t="s">
        <v>1789</v>
      </c>
      <c r="E10" s="212" t="s">
        <v>1790</v>
      </c>
    </row>
    <row r="11" spans="1:57" ht="39" x14ac:dyDescent="0.5">
      <c r="B11" s="210" t="s">
        <v>1538</v>
      </c>
      <c r="C11" s="211">
        <v>2</v>
      </c>
      <c r="D11" s="212" t="s">
        <v>1669</v>
      </c>
      <c r="E11" s="212" t="s">
        <v>1791</v>
      </c>
    </row>
    <row r="12" spans="1:57" ht="26" x14ac:dyDescent="0.5">
      <c r="B12" s="213" t="s">
        <v>1584</v>
      </c>
      <c r="C12" s="211">
        <v>1</v>
      </c>
      <c r="D12" s="212" t="s">
        <v>1792</v>
      </c>
      <c r="E12" s="212" t="s">
        <v>1793</v>
      </c>
    </row>
    <row r="13" spans="1:57" x14ac:dyDescent="0.5">
      <c r="B13" s="31"/>
      <c r="C13" s="31"/>
      <c r="D13" s="8"/>
      <c r="E13" s="8"/>
    </row>
    <row r="14" spans="1:57" ht="17.75" customHeight="1" x14ac:dyDescent="0.5">
      <c r="B14" s="487" t="s">
        <v>1794</v>
      </c>
      <c r="C14" s="487"/>
      <c r="D14" s="487"/>
      <c r="E14" s="487"/>
      <c r="F14" s="487"/>
    </row>
    <row r="15" spans="1:57" x14ac:dyDescent="0.5">
      <c r="H15" s="2"/>
      <c r="I15" s="2"/>
      <c r="J15" s="2"/>
    </row>
    <row r="16" spans="1:57" x14ac:dyDescent="0.5">
      <c r="B16" s="313" t="s">
        <v>1795</v>
      </c>
      <c r="C16" s="313" t="s">
        <v>1796</v>
      </c>
      <c r="D16" s="313" t="s">
        <v>1797</v>
      </c>
      <c r="E16" s="485" t="s">
        <v>511</v>
      </c>
      <c r="F16" s="486"/>
      <c r="H16" s="2"/>
      <c r="I16" s="2"/>
      <c r="J16" s="2"/>
    </row>
    <row r="17" spans="2:10" x14ac:dyDescent="0.5">
      <c r="B17" s="56" t="s">
        <v>1610</v>
      </c>
      <c r="C17" s="211">
        <v>1</v>
      </c>
      <c r="D17" s="317">
        <v>1</v>
      </c>
      <c r="E17" s="481" t="s">
        <v>1798</v>
      </c>
      <c r="F17" s="481"/>
      <c r="H17" s="2"/>
    </row>
    <row r="18" spans="2:10" ht="34" x14ac:dyDescent="0.5">
      <c r="B18" s="56" t="s">
        <v>1611</v>
      </c>
      <c r="C18" s="211">
        <v>0.5</v>
      </c>
      <c r="D18" s="317">
        <v>0.5</v>
      </c>
      <c r="E18" s="481" t="s">
        <v>1799</v>
      </c>
      <c r="F18" s="481"/>
    </row>
    <row r="19" spans="2:10" x14ac:dyDescent="0.5">
      <c r="B19" s="56" t="s">
        <v>1612</v>
      </c>
      <c r="C19" s="211"/>
      <c r="D19" s="317">
        <v>0</v>
      </c>
      <c r="E19" s="481" t="s">
        <v>1800</v>
      </c>
      <c r="F19" s="481"/>
    </row>
    <row r="20" spans="2:10" x14ac:dyDescent="0.5">
      <c r="D20" s="57"/>
    </row>
    <row r="21" spans="2:10" x14ac:dyDescent="0.5">
      <c r="D21" s="57"/>
    </row>
    <row r="22" spans="2:10" ht="20" customHeight="1" x14ac:dyDescent="0.5">
      <c r="B22" s="487" t="s">
        <v>1801</v>
      </c>
      <c r="C22" s="487"/>
      <c r="D22" s="487"/>
      <c r="E22" s="487"/>
      <c r="F22" s="487"/>
      <c r="J22" s="58"/>
    </row>
    <row r="23" spans="2:10" x14ac:dyDescent="0.5">
      <c r="B23" s="5"/>
      <c r="D23" s="57"/>
    </row>
    <row r="24" spans="2:10" ht="34" x14ac:dyDescent="0.5">
      <c r="B24" s="59" t="s">
        <v>1802</v>
      </c>
      <c r="C24" s="59" t="s">
        <v>1803</v>
      </c>
      <c r="D24" s="57"/>
    </row>
    <row r="25" spans="2:10" x14ac:dyDescent="0.5">
      <c r="B25" s="318">
        <v>5</v>
      </c>
      <c r="C25" s="319" t="s">
        <v>1645</v>
      </c>
      <c r="D25" s="320" t="s">
        <v>1645</v>
      </c>
      <c r="E25" s="231" t="s">
        <v>1658</v>
      </c>
      <c r="F25" s="215" t="s">
        <v>1671</v>
      </c>
      <c r="G25" s="43"/>
      <c r="H25" s="43"/>
      <c r="I25" s="43"/>
      <c r="J25" s="28"/>
    </row>
    <row r="26" spans="2:10" x14ac:dyDescent="0.5">
      <c r="B26" s="318">
        <v>4</v>
      </c>
      <c r="C26" s="319" t="s">
        <v>1658</v>
      </c>
      <c r="D26" s="231" t="s">
        <v>1658</v>
      </c>
      <c r="E26" s="321" t="s">
        <v>1671</v>
      </c>
      <c r="F26" s="216" t="s">
        <v>1684</v>
      </c>
      <c r="G26" s="43"/>
      <c r="H26" s="43"/>
      <c r="I26" s="43"/>
      <c r="J26" s="28"/>
    </row>
    <row r="27" spans="2:10" x14ac:dyDescent="0.5">
      <c r="B27" s="318">
        <v>3</v>
      </c>
      <c r="C27" s="319" t="s">
        <v>1671</v>
      </c>
      <c r="D27" s="321" t="s">
        <v>1671</v>
      </c>
      <c r="E27" s="216" t="s">
        <v>1684</v>
      </c>
      <c r="F27" s="217" t="s">
        <v>1697</v>
      </c>
      <c r="G27" s="28"/>
      <c r="H27" s="28"/>
      <c r="I27" s="28"/>
      <c r="J27" s="28"/>
    </row>
    <row r="28" spans="2:10" x14ac:dyDescent="0.5">
      <c r="B28" s="318">
        <v>2</v>
      </c>
      <c r="C28" s="319" t="s">
        <v>1684</v>
      </c>
      <c r="D28" s="216" t="s">
        <v>1684</v>
      </c>
      <c r="E28" s="322" t="s">
        <v>1697</v>
      </c>
      <c r="F28" s="217" t="s">
        <v>1697</v>
      </c>
      <c r="G28" s="28"/>
      <c r="H28" s="28"/>
      <c r="I28" s="28"/>
      <c r="J28" s="28"/>
    </row>
    <row r="29" spans="2:10" x14ac:dyDescent="0.5">
      <c r="B29" s="318">
        <v>1</v>
      </c>
      <c r="C29" s="319" t="s">
        <v>1697</v>
      </c>
      <c r="D29" s="322" t="s">
        <v>1697</v>
      </c>
      <c r="E29" s="322" t="s">
        <v>1697</v>
      </c>
      <c r="F29" s="217" t="s">
        <v>1697</v>
      </c>
      <c r="G29" s="28"/>
      <c r="H29" s="28"/>
      <c r="I29" s="28"/>
      <c r="J29" s="28"/>
    </row>
    <row r="30" spans="2:10" x14ac:dyDescent="0.5">
      <c r="C30" s="61" t="s">
        <v>1804</v>
      </c>
      <c r="D30" s="218" t="s">
        <v>1612</v>
      </c>
      <c r="E30" s="218" t="s">
        <v>1611</v>
      </c>
      <c r="F30" s="218" t="s">
        <v>1610</v>
      </c>
      <c r="G30" s="28"/>
      <c r="H30" s="28"/>
      <c r="I30" s="28"/>
      <c r="J30" s="28"/>
    </row>
    <row r="31" spans="2:10" x14ac:dyDescent="0.5">
      <c r="C31" s="61" t="s">
        <v>1805</v>
      </c>
      <c r="D31" s="219">
        <v>0</v>
      </c>
      <c r="E31" s="219">
        <v>0.5</v>
      </c>
      <c r="F31" s="219">
        <v>1</v>
      </c>
      <c r="G31" s="62"/>
      <c r="H31" s="62"/>
      <c r="I31" s="62"/>
      <c r="J31" s="62"/>
    </row>
    <row r="32" spans="2:10" x14ac:dyDescent="0.5">
      <c r="C32" s="61" t="s">
        <v>1806</v>
      </c>
      <c r="D32" s="219">
        <v>0.25</v>
      </c>
      <c r="E32" s="219">
        <v>0.75</v>
      </c>
      <c r="F32" s="219">
        <v>1</v>
      </c>
      <c r="G32" s="62"/>
      <c r="H32" s="62"/>
      <c r="I32" s="62"/>
      <c r="J32" s="62"/>
    </row>
    <row r="33" spans="2:10" x14ac:dyDescent="0.5">
      <c r="C33" s="61" t="s">
        <v>1807</v>
      </c>
      <c r="D33" s="219">
        <v>0</v>
      </c>
      <c r="E33" s="219">
        <v>0.25</v>
      </c>
      <c r="F33" s="219">
        <v>0.75</v>
      </c>
      <c r="G33" s="62"/>
      <c r="H33" s="62"/>
      <c r="I33" s="62"/>
      <c r="J33" s="62"/>
    </row>
    <row r="34" spans="2:10" x14ac:dyDescent="0.5">
      <c r="D34" s="488" t="s">
        <v>1808</v>
      </c>
      <c r="E34" s="488"/>
      <c r="F34" s="488"/>
      <c r="G34" s="4"/>
      <c r="H34" s="4"/>
      <c r="I34" s="4"/>
      <c r="J34" s="4"/>
    </row>
    <row r="35" spans="2:10" x14ac:dyDescent="0.5"/>
    <row r="36" spans="2:10" x14ac:dyDescent="0.5"/>
    <row r="37" spans="2:10" x14ac:dyDescent="0.5">
      <c r="B37" s="487" t="s">
        <v>1809</v>
      </c>
      <c r="C37" s="487"/>
      <c r="D37" s="487"/>
      <c r="E37" s="487"/>
      <c r="F37" s="487"/>
    </row>
    <row r="38" spans="2:10" x14ac:dyDescent="0.5"/>
    <row r="39" spans="2:10" ht="34" x14ac:dyDescent="0.5">
      <c r="B39" s="60" t="s">
        <v>1810</v>
      </c>
      <c r="C39" s="59" t="s">
        <v>1811</v>
      </c>
    </row>
    <row r="40" spans="2:10" x14ac:dyDescent="0.5">
      <c r="B40" s="319">
        <v>5</v>
      </c>
      <c r="C40" s="319" t="s">
        <v>1513</v>
      </c>
      <c r="D40" s="320" t="s">
        <v>1513</v>
      </c>
      <c r="E40" s="231" t="s">
        <v>1517</v>
      </c>
      <c r="F40" s="215" t="s">
        <v>1521</v>
      </c>
    </row>
    <row r="41" spans="2:10" x14ac:dyDescent="0.5">
      <c r="B41" s="319">
        <v>4</v>
      </c>
      <c r="C41" s="319" t="s">
        <v>1517</v>
      </c>
      <c r="D41" s="231" t="s">
        <v>1517</v>
      </c>
      <c r="E41" s="215" t="s">
        <v>1521</v>
      </c>
      <c r="F41" s="216" t="s">
        <v>1538</v>
      </c>
    </row>
    <row r="42" spans="2:10" x14ac:dyDescent="0.5">
      <c r="B42" s="319">
        <v>3</v>
      </c>
      <c r="C42" s="319" t="s">
        <v>1521</v>
      </c>
      <c r="D42" s="215" t="s">
        <v>1521</v>
      </c>
      <c r="E42" s="216" t="s">
        <v>1538</v>
      </c>
      <c r="F42" s="217" t="s">
        <v>1584</v>
      </c>
    </row>
    <row r="43" spans="2:10" x14ac:dyDescent="0.5">
      <c r="B43" s="319">
        <v>2</v>
      </c>
      <c r="C43" s="319" t="s">
        <v>1538</v>
      </c>
      <c r="D43" s="216" t="s">
        <v>1538</v>
      </c>
      <c r="E43" s="216" t="s">
        <v>1538</v>
      </c>
      <c r="F43" s="217" t="s">
        <v>1584</v>
      </c>
    </row>
    <row r="44" spans="2:10" x14ac:dyDescent="0.5">
      <c r="B44" s="319">
        <v>1</v>
      </c>
      <c r="C44" s="319" t="s">
        <v>1584</v>
      </c>
      <c r="D44" s="217" t="s">
        <v>1584</v>
      </c>
      <c r="E44" s="217" t="s">
        <v>1584</v>
      </c>
      <c r="F44" s="217" t="s">
        <v>1584</v>
      </c>
    </row>
    <row r="45" spans="2:10" x14ac:dyDescent="0.5">
      <c r="B45" s="1"/>
      <c r="C45" s="61" t="s">
        <v>1804</v>
      </c>
      <c r="D45" s="218" t="s">
        <v>1612</v>
      </c>
      <c r="E45" s="218" t="s">
        <v>1611</v>
      </c>
      <c r="F45" s="218" t="s">
        <v>1610</v>
      </c>
    </row>
    <row r="46" spans="2:10" x14ac:dyDescent="0.5">
      <c r="B46" s="1"/>
      <c r="C46" s="61" t="s">
        <v>1812</v>
      </c>
      <c r="D46" s="219">
        <v>0</v>
      </c>
      <c r="E46" s="219">
        <v>0.5</v>
      </c>
      <c r="F46" s="219">
        <v>1</v>
      </c>
    </row>
    <row r="47" spans="2:10" x14ac:dyDescent="0.5">
      <c r="B47" s="1"/>
      <c r="C47" s="61" t="s">
        <v>1806</v>
      </c>
      <c r="D47" s="219">
        <v>0.25</v>
      </c>
      <c r="E47" s="219">
        <v>0.75</v>
      </c>
      <c r="F47" s="219">
        <v>1</v>
      </c>
    </row>
    <row r="48" spans="2:10" x14ac:dyDescent="0.5">
      <c r="B48" s="1"/>
      <c r="C48" s="61" t="s">
        <v>1807</v>
      </c>
      <c r="D48" s="219">
        <v>0</v>
      </c>
      <c r="E48" s="219">
        <v>0.25</v>
      </c>
      <c r="F48" s="219">
        <v>0.75</v>
      </c>
    </row>
    <row r="49" spans="2:8" x14ac:dyDescent="0.5">
      <c r="B49" s="1"/>
      <c r="C49" s="1"/>
      <c r="D49" s="63" t="s">
        <v>1813</v>
      </c>
      <c r="E49" s="63"/>
      <c r="F49" s="63"/>
    </row>
    <row r="50" spans="2:8" x14ac:dyDescent="0.5">
      <c r="B50" s="1"/>
      <c r="C50" s="1"/>
      <c r="D50" s="4"/>
      <c r="E50" s="4"/>
      <c r="F50" s="4"/>
    </row>
    <row r="51" spans="2:8" x14ac:dyDescent="0.5"/>
    <row r="52" spans="2:8" ht="17.75" customHeight="1" x14ac:dyDescent="0.5">
      <c r="B52" s="487" t="s">
        <v>1814</v>
      </c>
      <c r="C52" s="487"/>
      <c r="D52" s="487"/>
      <c r="E52" s="487"/>
      <c r="F52" s="487"/>
      <c r="G52" s="487"/>
      <c r="H52" s="487"/>
    </row>
    <row r="53" spans="2:8" x14ac:dyDescent="0.5"/>
    <row r="54" spans="2:8" x14ac:dyDescent="0.5">
      <c r="B54" s="60" t="s">
        <v>1815</v>
      </c>
      <c r="C54" s="59" t="s">
        <v>1816</v>
      </c>
    </row>
    <row r="55" spans="2:8" x14ac:dyDescent="0.5">
      <c r="B55" s="319">
        <v>5</v>
      </c>
      <c r="C55" s="319" t="s">
        <v>1513</v>
      </c>
      <c r="D55" s="216" t="s">
        <v>1665</v>
      </c>
      <c r="E55" s="231" t="s">
        <v>1658</v>
      </c>
      <c r="F55" s="231" t="s">
        <v>1658</v>
      </c>
      <c r="G55" s="231" t="s">
        <v>1658</v>
      </c>
      <c r="H55" s="231" t="s">
        <v>1658</v>
      </c>
    </row>
    <row r="56" spans="2:8" x14ac:dyDescent="0.5">
      <c r="B56" s="319">
        <v>4</v>
      </c>
      <c r="C56" s="319" t="s">
        <v>1517</v>
      </c>
      <c r="D56" s="216" t="s">
        <v>1665</v>
      </c>
      <c r="E56" s="216" t="s">
        <v>1665</v>
      </c>
      <c r="F56" s="231" t="s">
        <v>1658</v>
      </c>
      <c r="G56" s="231" t="s">
        <v>1658</v>
      </c>
      <c r="H56" s="231" t="s">
        <v>1658</v>
      </c>
    </row>
    <row r="57" spans="2:8" x14ac:dyDescent="0.5">
      <c r="B57" s="319">
        <v>3</v>
      </c>
      <c r="C57" s="319" t="s">
        <v>1521</v>
      </c>
      <c r="D57" s="217" t="s">
        <v>1653</v>
      </c>
      <c r="E57" s="216" t="s">
        <v>1665</v>
      </c>
      <c r="F57" s="216" t="s">
        <v>1665</v>
      </c>
      <c r="G57" s="231" t="s">
        <v>1658</v>
      </c>
      <c r="H57" s="231" t="s">
        <v>1658</v>
      </c>
    </row>
    <row r="58" spans="2:8" x14ac:dyDescent="0.5">
      <c r="B58" s="319">
        <v>2</v>
      </c>
      <c r="C58" s="319" t="s">
        <v>1538</v>
      </c>
      <c r="D58" s="217" t="s">
        <v>1653</v>
      </c>
      <c r="E58" s="216" t="s">
        <v>1665</v>
      </c>
      <c r="F58" s="216" t="s">
        <v>1665</v>
      </c>
      <c r="G58" s="216" t="s">
        <v>1665</v>
      </c>
      <c r="H58" s="231" t="s">
        <v>1658</v>
      </c>
    </row>
    <row r="59" spans="2:8" x14ac:dyDescent="0.5">
      <c r="B59" s="319">
        <v>1</v>
      </c>
      <c r="C59" s="319" t="s">
        <v>1584</v>
      </c>
      <c r="D59" s="217" t="s">
        <v>1653</v>
      </c>
      <c r="E59" s="217" t="s">
        <v>1653</v>
      </c>
      <c r="F59" s="217" t="s">
        <v>1653</v>
      </c>
      <c r="G59" s="216" t="s">
        <v>1665</v>
      </c>
      <c r="H59" s="216" t="s">
        <v>1665</v>
      </c>
    </row>
    <row r="60" spans="2:8" x14ac:dyDescent="0.5">
      <c r="B60" s="1"/>
      <c r="C60" s="61" t="s">
        <v>1817</v>
      </c>
      <c r="D60" s="218" t="s">
        <v>1697</v>
      </c>
      <c r="E60" s="218" t="s">
        <v>1684</v>
      </c>
      <c r="F60" s="218" t="s">
        <v>1671</v>
      </c>
      <c r="G60" s="218" t="s">
        <v>1658</v>
      </c>
      <c r="H60" s="218" t="s">
        <v>1645</v>
      </c>
    </row>
    <row r="61" spans="2:8" x14ac:dyDescent="0.5">
      <c r="B61" s="1"/>
      <c r="C61" s="61" t="s">
        <v>1818</v>
      </c>
      <c r="D61" s="218">
        <v>1</v>
      </c>
      <c r="E61" s="218">
        <v>2</v>
      </c>
      <c r="F61" s="218">
        <v>3</v>
      </c>
      <c r="G61" s="218">
        <v>4</v>
      </c>
      <c r="H61" s="218">
        <v>5</v>
      </c>
    </row>
    <row r="62" spans="2:8" x14ac:dyDescent="0.5"/>
    <row r="63" spans="2:8" x14ac:dyDescent="0.5"/>
    <row r="64" spans="2:8" x14ac:dyDescent="0.5"/>
    <row r="65" x14ac:dyDescent="0.5"/>
    <row r="66" x14ac:dyDescent="0.5"/>
    <row r="67" x14ac:dyDescent="0.5"/>
    <row r="68" x14ac:dyDescent="0.5"/>
    <row r="69" x14ac:dyDescent="0.5"/>
  </sheetData>
  <mergeCells count="11">
    <mergeCell ref="B37:F37"/>
    <mergeCell ref="E17:F17"/>
    <mergeCell ref="E18:F18"/>
    <mergeCell ref="E19:F19"/>
    <mergeCell ref="B52:H52"/>
    <mergeCell ref="E16:F16"/>
    <mergeCell ref="B14:F14"/>
    <mergeCell ref="B3:G3"/>
    <mergeCell ref="D34:F34"/>
    <mergeCell ref="B5:E5"/>
    <mergeCell ref="B22:F22"/>
  </mergeCells>
  <conditionalFormatting sqref="B17:B19">
    <cfRule type="cellIs" dxfId="2" priority="2" operator="equal">
      <formula>"Non Implementato"</formula>
    </cfRule>
    <cfRule type="cellIs" dxfId="1" priority="3" operator="equal">
      <formula>"Parzialmente Implementato"</formula>
    </cfRule>
    <cfRule type="cellIs" dxfId="0" priority="6" operator="equal">
      <formula>"Implementato"</formula>
    </cfRule>
  </conditionalFormatting>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910166F4076DF4A8E5534D6F49793A9" ma:contentTypeVersion="12" ma:contentTypeDescription="Creare un nuovo documento." ma:contentTypeScope="" ma:versionID="4ac95e3446996a5084d3820d1b296aa7">
  <xsd:schema xmlns:xsd="http://www.w3.org/2001/XMLSchema" xmlns:xs="http://www.w3.org/2001/XMLSchema" xmlns:p="http://schemas.microsoft.com/office/2006/metadata/properties" xmlns:ns1="http://schemas.microsoft.com/sharepoint/v3" xmlns:ns2="6c2f17c9-d55f-48f0-a078-b1be9512a72d" xmlns:ns3="2f06b46d-1788-475e-9aa2-ca00cfe53609" targetNamespace="http://schemas.microsoft.com/office/2006/metadata/properties" ma:root="true" ma:fieldsID="24d1f69398c4b551cd1b0733fb2e63fc" ns1:_="" ns2:_="" ns3:_="">
    <xsd:import namespace="http://schemas.microsoft.com/sharepoint/v3"/>
    <xsd:import namespace="6c2f17c9-d55f-48f0-a078-b1be9512a72d"/>
    <xsd:import namespace="2f06b46d-1788-475e-9aa2-ca00cfe5360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LengthInSeconds" minOccurs="0"/>
                <xsd:element ref="ns2:MediaServiceObjectDetectorVersions" minOccurs="0"/>
                <xsd:element ref="ns3:SharedWithUsers" minOccurs="0"/>
                <xsd:element ref="ns3:SharedWithDetails" minOccurs="0"/>
                <xsd:element ref="ns2:MediaServiceGenerationTime" minOccurs="0"/>
                <xsd:element ref="ns2:MediaServiceEventHashCode"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Proprietà criteri di conformità unificati" ma:hidden="true" ma:internalName="_ip_UnifiedCompliancePolicyProperties">
      <xsd:simpleType>
        <xsd:restriction base="dms:Note"/>
      </xsd:simpleType>
    </xsd:element>
    <xsd:element name="_ip_UnifiedCompliancePolicyUIAction" ma:index="19" nillable="true" ma:displayName="Azione interfaccia utente criteri di conformità unificati"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c2f17c9-d55f-48f0-a078-b1be9512a7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f06b46d-1788-475e-9aa2-ca00cfe53609" elementFormDefault="qualified">
    <xsd:import namespace="http://schemas.microsoft.com/office/2006/documentManagement/types"/>
    <xsd:import namespace="http://schemas.microsoft.com/office/infopath/2007/PartnerControls"/>
    <xsd:element name="SharedWithUsers" ma:index="14"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Condiviso con dettagli"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3737CF94-E664-41F7-BB29-706F7A889A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c2f17c9-d55f-48f0-a078-b1be9512a72d"/>
    <ds:schemaRef ds:uri="2f06b46d-1788-475e-9aa2-ca00cfe5360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42D5CCF-D2F6-4844-B2E1-5C1980534E96}">
  <ds:schemaRefs>
    <ds:schemaRef ds:uri="http://schemas.microsoft.com/sharepoint/v3/contenttype/forms"/>
  </ds:schemaRefs>
</ds:datastoreItem>
</file>

<file path=customXml/itemProps3.xml><?xml version="1.0" encoding="utf-8"?>
<ds:datastoreItem xmlns:ds="http://schemas.openxmlformats.org/officeDocument/2006/customXml" ds:itemID="{743FD0C9-E020-4491-AFF1-770FF1C37CCB}">
  <ds:schemaRefs>
    <ds:schemaRef ds:uri="http://schemas.microsoft.com/office/2006/metadata/properties"/>
    <ds:schemaRef ds:uri="http://schemas.microsoft.com/office/infopath/2007/PartnerControls"/>
    <ds:schemaRef ds:uri="http://schemas.microsoft.com/sharepoint/v3"/>
  </ds:schemaRefs>
</ds:datastoreItem>
</file>

<file path=docMetadata/LabelInfo.xml><?xml version="1.0" encoding="utf-8"?>
<clbl:labelList xmlns:clbl="http://schemas.microsoft.com/office/2020/mipLabelMetadata">
  <clbl:label id="{02ffb15b-7c62-4258-9963-fa836361ea60}" enabled="1" method="Privileged" siteId="{f2d7d6c5-1bee-41ff-9e79-b372a5cce71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27</vt:i4>
      </vt:variant>
      <vt:variant>
        <vt:lpstr>Intervalli denominati</vt:lpstr>
      </vt:variant>
      <vt:variant>
        <vt:i4>10</vt:i4>
      </vt:variant>
    </vt:vector>
  </HeadingPairs>
  <TitlesOfParts>
    <vt:vector size="37" baseType="lpstr">
      <vt:lpstr>Cover</vt:lpstr>
      <vt:lpstr>Istruzioni</vt:lpstr>
      <vt:lpstr>BIA &gt;</vt:lpstr>
      <vt:lpstr>Engagement Scope</vt:lpstr>
      <vt:lpstr>Appoggio_BIA Servizio</vt:lpstr>
      <vt:lpstr>Appoggio_BIA Servizio_val impat</vt:lpstr>
      <vt:lpstr>BIA Servizio</vt:lpstr>
      <vt:lpstr>Processi</vt:lpstr>
      <vt:lpstr>Siti</vt:lpstr>
      <vt:lpstr>Personale Critico</vt:lpstr>
      <vt:lpstr>Addetti Critici</vt:lpstr>
      <vt:lpstr>Fornitori</vt:lpstr>
      <vt:lpstr>Applicazioni</vt:lpstr>
      <vt:lpstr>SW Locali</vt:lpstr>
      <vt:lpstr>Documentazione</vt:lpstr>
      <vt:lpstr>Infrastrutture</vt:lpstr>
      <vt:lpstr>Dipendenze</vt:lpstr>
      <vt:lpstr>Clienti</vt:lpstr>
      <vt:lpstr>Scenari BC</vt:lpstr>
      <vt:lpstr>Impatto RI</vt:lpstr>
      <vt:lpstr>ICT RA &gt;</vt:lpstr>
      <vt:lpstr>Valutazione controlli</vt:lpstr>
      <vt:lpstr>Risk Register</vt:lpstr>
      <vt:lpstr>Dashboard</vt:lpstr>
      <vt:lpstr>Supporto &gt;</vt:lpstr>
      <vt:lpstr>Parametri_BIA</vt:lpstr>
      <vt:lpstr>Parametri_RA</vt:lpstr>
      <vt:lpstr>ALTO</vt:lpstr>
      <vt:lpstr>'Appoggio_BIA Servizio'!Area_stampa</vt:lpstr>
      <vt:lpstr>'Appoggio_BIA Servizio_val impat'!Area_stampa</vt:lpstr>
      <vt:lpstr>'BIA Servizio'!Area_stampa</vt:lpstr>
      <vt:lpstr>ASSET</vt:lpstr>
      <vt:lpstr>CUTOFF</vt:lpstr>
      <vt:lpstr>DECISIONALE</vt:lpstr>
      <vt:lpstr>DOCUMENTAZIONE</vt:lpstr>
      <vt:lpstr>RPORTO</vt:lpstr>
      <vt:lpstr>TDR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Roberto Nordio</dc:creator>
  <cp:keywords/>
  <dc:description/>
  <cp:lastModifiedBy>Mariano Fumante</cp:lastModifiedBy>
  <cp:revision/>
  <dcterms:created xsi:type="dcterms:W3CDTF">2018-05-24T07:19:00Z</dcterms:created>
  <dcterms:modified xsi:type="dcterms:W3CDTF">2026-08-28T22:18:21Z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a623df2-7a25-4a8f-b59b-3a3459c1375f_Enabled">
    <vt:lpwstr>true</vt:lpwstr>
  </property>
  <property fmtid="{D5CDD505-2E9C-101B-9397-08002B2CF9AE}" pid="3" name="MSIP_Label_da623df2-7a25-4a8f-b59b-3a3459c1375f_SetDate">
    <vt:lpwstr>2022-01-17T16:12:42Z</vt:lpwstr>
  </property>
  <property fmtid="{D5CDD505-2E9C-101B-9397-08002B2CF9AE}" pid="4" name="MSIP_Label_da623df2-7a25-4a8f-b59b-3a3459c1375f_Method">
    <vt:lpwstr>Standard</vt:lpwstr>
  </property>
  <property fmtid="{D5CDD505-2E9C-101B-9397-08002B2CF9AE}" pid="5" name="MSIP_Label_da623df2-7a25-4a8f-b59b-3a3459c1375f_Name">
    <vt:lpwstr>General-PRO</vt:lpwstr>
  </property>
  <property fmtid="{D5CDD505-2E9C-101B-9397-08002B2CF9AE}" pid="6" name="MSIP_Label_da623df2-7a25-4a8f-b59b-3a3459c1375f_SiteId">
    <vt:lpwstr>16532572-d567-4d67-8727-f12f7bb6aed3</vt:lpwstr>
  </property>
  <property fmtid="{D5CDD505-2E9C-101B-9397-08002B2CF9AE}" pid="7" name="MSIP_Label_da623df2-7a25-4a8f-b59b-3a3459c1375f_ActionId">
    <vt:lpwstr>6ad31a91-2bd0-4536-baa2-0c58eefafe80</vt:lpwstr>
  </property>
  <property fmtid="{D5CDD505-2E9C-101B-9397-08002B2CF9AE}" pid="8" name="MSIP_Label_da623df2-7a25-4a8f-b59b-3a3459c1375f_ContentBits">
    <vt:lpwstr>0</vt:lpwstr>
  </property>
  <property fmtid="{D5CDD505-2E9C-101B-9397-08002B2CF9AE}" pid="9" name="ContentTypeId">
    <vt:lpwstr>0x0101001910166F4076DF4A8E5534D6F49793A9</vt:lpwstr>
  </property>
  <property fmtid="{D5CDD505-2E9C-101B-9397-08002B2CF9AE}" pid="10" name="MediaServiceImageTags">
    <vt:lpwstr/>
  </property>
  <property fmtid="{D5CDD505-2E9C-101B-9397-08002B2CF9AE}" pid="11" name="WorkbookGuid">
    <vt:lpwstr>a024ebc0-8d9b-4e02-951d-07a6993c1793</vt:lpwstr>
  </property>
  <property fmtid="{D5CDD505-2E9C-101B-9397-08002B2CF9AE}" pid="12" name="ConnectionInfosStorage">
    <vt:lpwstr>WorkbookXmlParts</vt:lpwstr>
  </property>
</Properties>
</file>